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Performance Template\"/>
    </mc:Choice>
  </mc:AlternateContent>
  <xr:revisionPtr revIDLastSave="0" documentId="13_ncr:1_{5250F0D1-E3EF-4997-91C1-45DB71B5F002}" xr6:coauthVersionLast="47" xr6:coauthVersionMax="47" xr10:uidLastSave="{00000000-0000-0000-0000-000000000000}"/>
  <bookViews>
    <workbookView xWindow="-110" yWindow="-110" windowWidth="19420" windowHeight="10300" tabRatio="859" xr2:uid="{00000000-000D-0000-FFFF-FFFF00000000}"/>
  </bookViews>
  <sheets>
    <sheet name="ParameterSheet" sheetId="21" r:id="rId1"/>
    <sheet name="My Permanent Sheets" sheetId="768" r:id="rId2"/>
    <sheet name="Profit Center Master" sheetId="586" r:id="rId3"/>
    <sheet name="Data Sheet Actuals" sheetId="330" r:id="rId4"/>
    <sheet name="Country Summary" sheetId="808" r:id="rId5"/>
    <sheet name="Client" sheetId="809" r:id="rId6"/>
    <sheet name="Unit" sheetId="810" r:id="rId7"/>
  </sheets>
  <functionGroups builtInGroupCount="19"/>
  <definedNames>
    <definedName name="__imp123" localSheetId="1" hidden="1">{#N/A,#N/A,TRUE,"AB_Vertrag";#N/A,#N/A,TRUE,"AB_BWL"}</definedName>
    <definedName name="__imp123" hidden="1">{#N/A,#N/A,TRUE,"AB_Vertrag";#N/A,#N/A,TRUE,"AB_BWL"}</definedName>
    <definedName name="__imp14" localSheetId="1" hidden="1">{#N/A,#N/A,TRUE,"AB_Vertrag";#N/A,#N/A,TRUE,"AB_BWL"}</definedName>
    <definedName name="__imp14" hidden="1">{#N/A,#N/A,TRUE,"AB_Vertrag";#N/A,#N/A,TRUE,"AB_BWL"}</definedName>
    <definedName name="__imp15" localSheetId="1" hidden="1">{#N/A,#N/A,TRUE,"AB_Vertrag";#N/A,#N/A,TRUE,"AB_BWL"}</definedName>
    <definedName name="__imp15" hidden="1">{#N/A,#N/A,TRUE,"AB_Vertrag";#N/A,#N/A,TRUE,"AB_BWL"}</definedName>
    <definedName name="__imp21" localSheetId="1" hidden="1">{#N/A,#N/A,TRUE,"AB_Vertrag";#N/A,#N/A,TRUE,"AB_BWL"}</definedName>
    <definedName name="__imp21" hidden="1">{#N/A,#N/A,TRUE,"AB_Vertrag";#N/A,#N/A,TRUE,"AB_BWL"}</definedName>
    <definedName name="__imp5" localSheetId="1" hidden="1">{#N/A,#N/A,TRUE,"AB_Vertrag";#N/A,#N/A,TRUE,"AB_BWL"}</definedName>
    <definedName name="__imp5" hidden="1">{#N/A,#N/A,TRUE,"AB_Vertrag";#N/A,#N/A,TRUE,"AB_BWL"}</definedName>
    <definedName name="__imp6" localSheetId="1" hidden="1">{#N/A,#N/A,TRUE,"AB_Vertrag";#N/A,#N/A,TRUE,"AB_BWL"}</definedName>
    <definedName name="__imp6" hidden="1">{#N/A,#N/A,TRUE,"AB_Vertrag";#N/A,#N/A,TRUE,"AB_BWL"}</definedName>
    <definedName name="__imp7" localSheetId="1" hidden="1">{#N/A,#N/A,TRUE,"AB_Vertrag";#N/A,#N/A,TRUE,"AB_BWL"}</definedName>
    <definedName name="__imp7" hidden="1">{#N/A,#N/A,TRUE,"AB_Vertrag";#N/A,#N/A,TRUE,"AB_BWL"}</definedName>
    <definedName name="__imp8" localSheetId="1" hidden="1">{#N/A,#N/A,TRUE,"AB_Vertrag";#N/A,#N/A,TRUE,"AB_BWL"}</definedName>
    <definedName name="__imp8" hidden="1">{#N/A,#N/A,TRUE,"AB_Vertrag";#N/A,#N/A,TRUE,"AB_BWL"}</definedName>
    <definedName name="__NEU1" localSheetId="1" hidden="1">{#N/A,#N/A,TRUE,"AB_Vertrag";#N/A,#N/A,TRUE,"AB_BWL"}</definedName>
    <definedName name="__NEU1" hidden="1">{#N/A,#N/A,TRUE,"AB_Vertrag";#N/A,#N/A,TRUE,"AB_BWL"}</definedName>
    <definedName name="_alt2" localSheetId="1" hidden="1">{#N/A,#N/A,TRUE,"AB_Vertrag";#N/A,#N/A,TRUE,"AB_BWL"}</definedName>
    <definedName name="_alt2" hidden="1">{#N/A,#N/A,TRUE,"AB_Vertrag";#N/A,#N/A,TRUE,"AB_BWL"}</definedName>
    <definedName name="_xlnm._FilterDatabase" localSheetId="2" hidden="1">'Profit Center Master'!$A$2:$G$26</definedName>
    <definedName name="_Order1" hidden="1">255</definedName>
    <definedName name="_Order2" hidden="1">255</definedName>
    <definedName name="alt" localSheetId="1" hidden="1">{#N/A,#N/A,TRUE,"AB_Vertrag";#N/A,#N/A,TRUE,"AB_BWL"}</definedName>
    <definedName name="alt" hidden="1">{#N/A,#N/A,TRUE,"AB_Vertrag";#N/A,#N/A,TRUE,"AB_BWL"}</definedName>
    <definedName name="cere" localSheetId="1" hidden="1">{#N/A,#N/A,TRUE,"AB_Vertrag";#N/A,#N/A,TRUE,"AB_BWL"}</definedName>
    <definedName name="cere" hidden="1">{#N/A,#N/A,TRUE,"AB_Vertrag";#N/A,#N/A,TRUE,"AB_BWL"}</definedName>
    <definedName name="CERE1" localSheetId="1" hidden="1">{#N/A,#N/A,TRUE,"AB_Vertrag";#N/A,#N/A,TRUE,"AB_BWL"}</definedName>
    <definedName name="CERE1" hidden="1">{#N/A,#N/A,TRUE,"AB_Vertrag";#N/A,#N/A,TRUE,"AB_BWL"}</definedName>
    <definedName name="CERE2" localSheetId="1" hidden="1">{#N/A,#N/A,TRUE,"AB_Vertrag";#N/A,#N/A,TRUE,"AB_BWL"}</definedName>
    <definedName name="CERE2" hidden="1">{#N/A,#N/A,TRUE,"AB_Vertrag";#N/A,#N/A,TRUE,"AB_BWL"}</definedName>
    <definedName name="cere3" localSheetId="1" hidden="1">{#N/A,#N/A,TRUE,"AB_Vertrag";#N/A,#N/A,TRUE,"AB_BWL"}</definedName>
    <definedName name="cere3" hidden="1">{#N/A,#N/A,TRUE,"AB_Vertrag";#N/A,#N/A,TRUE,"AB_BWL"}</definedName>
    <definedName name="ceren" localSheetId="1" hidden="1">{#N/A,#N/A,TRUE,"AB_Vertrag";#N/A,#N/A,TRUE,"AB_BWL"}</definedName>
    <definedName name="ceren" hidden="1">{#N/A,#N/A,TRUE,"AB_Vertrag";#N/A,#N/A,TRUE,"AB_BWL"}</definedName>
    <definedName name="CEREN1" localSheetId="1" hidden="1">{#N/A,#N/A,TRUE,"AB_Vertrag";#N/A,#N/A,TRUE,"AB_BWL"}</definedName>
    <definedName name="CEREN1" hidden="1">{#N/A,#N/A,TRUE,"AB_Vertrag";#N/A,#N/A,TRUE,"AB_BWL"}</definedName>
    <definedName name="CEREN123" localSheetId="1" hidden="1">{#N/A,#N/A,TRUE,"AB_Vertrag";#N/A,#N/A,TRUE,"AB_BWL"}</definedName>
    <definedName name="CEREN123" hidden="1">{#N/A,#N/A,TRUE,"AB_Vertrag";#N/A,#N/A,TRUE,"AB_BWL"}</definedName>
    <definedName name="imp.334" localSheetId="1" hidden="1">{#N/A,#N/A,TRUE,"Basisdaten";#N/A,#N/A,TRUE,"Betriebsrestaurant";#N/A,#N/A,TRUE,"Zwischenverpflegung";#N/A,#N/A,TRUE,"Automaten";#N/A,#N/A,TRUE,"Etagenservice";#N/A,#N/A,TRUE,"Gästebereich";#N/A,#N/A,TRUE,"Kst_1";#N/A,#N/A,TRUE,"Sonderveranstaltungen";#N/A,#N/A,TRUE,"Kst_2";#N/A,#N/A,TRUE,"Kst_3";#N/A,#N/A,TRUE,"Kst_4";#N/A,#N/A,TRUE,"Kst_5";#N/A,#N/A,TRUE,"Namen"}</definedName>
    <definedName name="imp.334" hidden="1">{#N/A,#N/A,TRUE,"Basisdaten";#N/A,#N/A,TRUE,"Betriebsrestaurant";#N/A,#N/A,TRUE,"Zwischenverpflegung";#N/A,#N/A,TRUE,"Automaten";#N/A,#N/A,TRUE,"Etagenservice";#N/A,#N/A,TRUE,"Gästebereich";#N/A,#N/A,TRUE,"Kst_1";#N/A,#N/A,TRUE,"Sonderveranstaltungen";#N/A,#N/A,TRUE,"Kst_2";#N/A,#N/A,TRUE,"Kst_3";#N/A,#N/A,TRUE,"Kst_4";#N/A,#N/A,TRUE,"Kst_5";#N/A,#N/A,TRUE,"Namen"}</definedName>
    <definedName name="imp.34" localSheetId="1" hidden="1">{#N/A,#N/A,TRUE,"AB_Vertrag";#N/A,#N/A,TRUE,"AB_BWL"}</definedName>
    <definedName name="imp.34" hidden="1">{#N/A,#N/A,TRUE,"AB_Vertrag";#N/A,#N/A,TRUE,"AB_BWL"}</definedName>
    <definedName name="imp_yy" localSheetId="1" hidden="1">{#N/A,#N/A,TRUE,"AB_Vertrag";#N/A,#N/A,TRUE,"AB_BWL"}</definedName>
    <definedName name="imp_yy" hidden="1">{#N/A,#N/A,TRUE,"AB_Vertrag";#N/A,#N/A,TRUE,"AB_BWL"}</definedName>
    <definedName name="neu" localSheetId="1" hidden="1">{#N/A,#N/A,TRUE,"AB_Vertrag";#N/A,#N/A,TRUE,"AB_BWL"}</definedName>
    <definedName name="neu" hidden="1">{#N/A,#N/A,TRUE,"AB_Vertrag";#N/A,#N/A,TRUE,"AB_BWL"}</definedName>
    <definedName name="tt" localSheetId="1" hidden="1">{#N/A,#N/A,TRUE,"AB_Vertrag";#N/A,#N/A,TRUE,"AB_BWL"}</definedName>
    <definedName name="tt" hidden="1">{#N/A,#N/A,TRUE,"AB_Vertrag";#N/A,#N/A,TRUE,"AB_BWL"}</definedName>
    <definedName name="wrn.Analyse." localSheetId="1" hidden="1">{#N/A,#N/A,TRUE,"AB_Vertrag";#N/A,#N/A,TRUE,"AB_BWL"}</definedName>
    <definedName name="wrn.Analyse." hidden="1">{#N/A,#N/A,TRUE,"AB_Vertrag";#N/A,#N/A,TRUE,"AB_BWL"}</definedName>
    <definedName name="wrn.Budgetplanung._.97_98." localSheetId="1" hidden="1">{#N/A,#N/A,TRUE,"Basisdaten";#N/A,#N/A,TRUE,"Betriebsrestaurant";#N/A,#N/A,TRUE,"Zwischenverpflegung";#N/A,#N/A,TRUE,"Automaten";#N/A,#N/A,TRUE,"Etagenservice";#N/A,#N/A,TRUE,"Gästebereich";#N/A,#N/A,TRUE,"Kst_1";#N/A,#N/A,TRUE,"Sonderveranstaltungen";#N/A,#N/A,TRUE,"Kst_2";#N/A,#N/A,TRUE,"Kst_3";#N/A,#N/A,TRUE,"Kst_4";#N/A,#N/A,TRUE,"Kst_5";#N/A,#N/A,TRUE,"Namen"}</definedName>
    <definedName name="wrn.Budgetplanung._.97_98." hidden="1">{#N/A,#N/A,TRUE,"Basisdaten";#N/A,#N/A,TRUE,"Betriebsrestaurant";#N/A,#N/A,TRUE,"Zwischenverpflegung";#N/A,#N/A,TRUE,"Automaten";#N/A,#N/A,TRUE,"Etagenservice";#N/A,#N/A,TRUE,"Gästebereich";#N/A,#N/A,TRUE,"Kst_1";#N/A,#N/A,TRUE,"Sonderveranstaltungen";#N/A,#N/A,TRUE,"Kst_2";#N/A,#N/A,TRUE,"Kst_3";#N/A,#N/A,TRUE,"Kst_4";#N/A,#N/A,TRUE,"Kst_5";#N/A,#N/A,TRUE,"Namen"}</definedName>
    <definedName name="yy" localSheetId="1" hidden="1">{#N/A,#N/A,TRUE,"AB_Vertrag";#N/A,#N/A,TRUE,"AB_BWL"}</definedName>
    <definedName name="yy" hidden="1">{#N/A,#N/A,TRUE,"AB_Vertrag";#N/A,#N/A,TRUE,"AB_BWL"}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2" i="808" l="1"/>
  <c r="Z11" i="808"/>
  <c r="Z10" i="808"/>
  <c r="Z9" i="808"/>
  <c r="Z8" i="808"/>
  <c r="X12" i="808"/>
  <c r="X11" i="808"/>
  <c r="X10" i="808"/>
  <c r="X9" i="808"/>
  <c r="X8" i="808"/>
  <c r="V12" i="808"/>
  <c r="V11" i="808"/>
  <c r="V10" i="808"/>
  <c r="V9" i="808"/>
  <c r="V8" i="808"/>
  <c r="T12" i="808"/>
  <c r="T11" i="808"/>
  <c r="T10" i="808"/>
  <c r="T9" i="808"/>
  <c r="T8" i="808"/>
  <c r="R12" i="808"/>
  <c r="R11" i="808"/>
  <c r="R10" i="808"/>
  <c r="R9" i="808"/>
  <c r="R8" i="808"/>
  <c r="P12" i="808"/>
  <c r="P11" i="808"/>
  <c r="P10" i="808"/>
  <c r="P9" i="808"/>
  <c r="P8" i="808"/>
  <c r="N12" i="808"/>
  <c r="N11" i="808"/>
  <c r="N10" i="808"/>
  <c r="N9" i="808"/>
  <c r="N8" i="808"/>
  <c r="L12" i="808"/>
  <c r="L11" i="808"/>
  <c r="L10" i="808"/>
  <c r="L9" i="808"/>
  <c r="L8" i="808"/>
  <c r="J12" i="808"/>
  <c r="J11" i="808"/>
  <c r="J10" i="808"/>
  <c r="J9" i="808"/>
  <c r="J8" i="808"/>
  <c r="H12" i="808"/>
  <c r="H11" i="808"/>
  <c r="H10" i="808"/>
  <c r="H9" i="808"/>
  <c r="H8" i="808"/>
  <c r="F12" i="808"/>
  <c r="F11" i="808"/>
  <c r="F10" i="808"/>
  <c r="F9" i="808"/>
  <c r="F8" i="808"/>
  <c r="D12" i="808"/>
  <c r="D11" i="808"/>
  <c r="D10" i="808"/>
  <c r="D9" i="808"/>
  <c r="D8" i="808"/>
  <c r="G4" i="586"/>
  <c r="E3" i="810" l="1"/>
  <c r="D3" i="810"/>
  <c r="E3" i="808"/>
  <c r="D3" i="808"/>
  <c r="E3" i="809"/>
  <c r="D3" i="809"/>
  <c r="C12" i="21"/>
  <c r="Z12" i="810" l="1"/>
  <c r="T11" i="810"/>
  <c r="N10" i="810"/>
  <c r="H9" i="810"/>
  <c r="Z11" i="810"/>
  <c r="T10" i="810"/>
  <c r="N9" i="810"/>
  <c r="H8" i="810"/>
  <c r="Z10" i="810"/>
  <c r="T9" i="810"/>
  <c r="N8" i="810"/>
  <c r="F12" i="810"/>
  <c r="Z9" i="810"/>
  <c r="T8" i="810"/>
  <c r="L12" i="810"/>
  <c r="F11" i="810"/>
  <c r="Z8" i="810"/>
  <c r="R12" i="810"/>
  <c r="L11" i="810"/>
  <c r="F10" i="810"/>
  <c r="X12" i="810"/>
  <c r="R11" i="810"/>
  <c r="L10" i="810"/>
  <c r="F9" i="810"/>
  <c r="X11" i="810"/>
  <c r="R10" i="810"/>
  <c r="L9" i="810"/>
  <c r="F8" i="810"/>
  <c r="X10" i="810"/>
  <c r="R9" i="810"/>
  <c r="L8" i="810"/>
  <c r="D12" i="810"/>
  <c r="X9" i="810"/>
  <c r="R8" i="810"/>
  <c r="J12" i="810"/>
  <c r="D11" i="810"/>
  <c r="X8" i="810"/>
  <c r="P12" i="810"/>
  <c r="J11" i="810"/>
  <c r="D10" i="810"/>
  <c r="V12" i="810"/>
  <c r="P11" i="810"/>
  <c r="J10" i="810"/>
  <c r="D9" i="810"/>
  <c r="J9" i="810"/>
  <c r="V9" i="810"/>
  <c r="H12" i="810"/>
  <c r="H11" i="810"/>
  <c r="N11" i="810"/>
  <c r="V10" i="810"/>
  <c r="P9" i="810"/>
  <c r="V11" i="810"/>
  <c r="P10" i="810"/>
  <c r="D8" i="810"/>
  <c r="J8" i="810"/>
  <c r="P8" i="810"/>
  <c r="V8" i="810"/>
  <c r="N12" i="810"/>
  <c r="T12" i="810"/>
  <c r="H10" i="810"/>
  <c r="Z8" i="809"/>
  <c r="R12" i="809"/>
  <c r="L11" i="809"/>
  <c r="F10" i="809"/>
  <c r="R11" i="809"/>
  <c r="L10" i="809"/>
  <c r="F9" i="809"/>
  <c r="R10" i="809"/>
  <c r="L9" i="809"/>
  <c r="F8" i="809"/>
  <c r="X10" i="809"/>
  <c r="L8" i="809"/>
  <c r="X9" i="809"/>
  <c r="D11" i="809"/>
  <c r="P12" i="809"/>
  <c r="P11" i="809"/>
  <c r="P10" i="809"/>
  <c r="D8" i="809"/>
  <c r="P9" i="809"/>
  <c r="H12" i="809"/>
  <c r="H10" i="809"/>
  <c r="Z11" i="809"/>
  <c r="T9" i="809"/>
  <c r="T8" i="809"/>
  <c r="X12" i="809"/>
  <c r="D12" i="809"/>
  <c r="J12" i="809"/>
  <c r="X8" i="809"/>
  <c r="D10" i="809"/>
  <c r="J10" i="809"/>
  <c r="J9" i="809"/>
  <c r="V10" i="809"/>
  <c r="V9" i="809"/>
  <c r="N12" i="809"/>
  <c r="N11" i="809"/>
  <c r="N9" i="809"/>
  <c r="Z10" i="809"/>
  <c r="Z9" i="809"/>
  <c r="X11" i="809"/>
  <c r="R9" i="809"/>
  <c r="R8" i="809"/>
  <c r="J11" i="809"/>
  <c r="V12" i="809"/>
  <c r="V11" i="809"/>
  <c r="J8" i="809"/>
  <c r="P8" i="809"/>
  <c r="V8" i="809"/>
  <c r="T12" i="809"/>
  <c r="T11" i="809"/>
  <c r="T10" i="809"/>
  <c r="N8" i="809"/>
  <c r="L12" i="809"/>
  <c r="D9" i="809"/>
  <c r="H9" i="809"/>
  <c r="H8" i="809"/>
  <c r="F12" i="809"/>
  <c r="F11" i="809"/>
  <c r="N10" i="809"/>
  <c r="H11" i="809"/>
  <c r="Z12" i="809"/>
  <c r="L45" i="809"/>
  <c r="X43" i="809"/>
  <c r="F34" i="809"/>
  <c r="Z31" i="809"/>
  <c r="Z21" i="809"/>
  <c r="V20" i="809"/>
  <c r="R19" i="809"/>
  <c r="N18" i="809"/>
  <c r="V52" i="810"/>
  <c r="F52" i="810"/>
  <c r="R51" i="810"/>
  <c r="Z50" i="810"/>
  <c r="J50" i="810"/>
  <c r="V49" i="810"/>
  <c r="F49" i="810"/>
  <c r="R48" i="810"/>
  <c r="R47" i="810"/>
  <c r="J47" i="810"/>
  <c r="V46" i="810"/>
  <c r="N46" i="810"/>
  <c r="F46" i="810"/>
  <c r="Z45" i="810"/>
  <c r="R45" i="810"/>
  <c r="J45" i="810"/>
  <c r="Z44" i="810"/>
  <c r="R44" i="810"/>
  <c r="J44" i="810"/>
  <c r="V43" i="810"/>
  <c r="N43" i="810"/>
  <c r="F43" i="810"/>
  <c r="Z42" i="810"/>
  <c r="R42" i="810"/>
  <c r="J42" i="810"/>
  <c r="V41" i="810"/>
  <c r="N41" i="810"/>
  <c r="F41" i="810"/>
  <c r="Z40" i="810"/>
  <c r="R40" i="810"/>
  <c r="J40" i="810"/>
  <c r="V34" i="810"/>
  <c r="N34" i="810"/>
  <c r="F34" i="810"/>
  <c r="Z33" i="810"/>
  <c r="R33" i="810"/>
  <c r="J33" i="810"/>
  <c r="V32" i="810"/>
  <c r="N32" i="810"/>
  <c r="F32" i="810"/>
  <c r="Z31" i="810"/>
  <c r="R31" i="810"/>
  <c r="J31" i="810"/>
  <c r="V22" i="810"/>
  <c r="N22" i="810"/>
  <c r="F22" i="810"/>
  <c r="Z21" i="810"/>
  <c r="R21" i="810"/>
  <c r="J21" i="810"/>
  <c r="V20" i="810"/>
  <c r="N20" i="810"/>
  <c r="F20" i="810"/>
  <c r="Z19" i="810"/>
  <c r="R19" i="810"/>
  <c r="J19" i="810"/>
  <c r="V18" i="810"/>
  <c r="N18" i="810"/>
  <c r="F18" i="810"/>
  <c r="Z52" i="808"/>
  <c r="X52" i="808"/>
  <c r="V52" i="808"/>
  <c r="T52" i="808"/>
  <c r="R52" i="808"/>
  <c r="P52" i="808"/>
  <c r="N52" i="808"/>
  <c r="L52" i="808"/>
  <c r="J52" i="808"/>
  <c r="H52" i="808"/>
  <c r="F52" i="808"/>
  <c r="D52" i="808"/>
  <c r="Z51" i="808"/>
  <c r="X51" i="808"/>
  <c r="V51" i="808"/>
  <c r="T51" i="808"/>
  <c r="R51" i="808"/>
  <c r="P51" i="808"/>
  <c r="N51" i="808"/>
  <c r="L51" i="808"/>
  <c r="J51" i="808"/>
  <c r="H51" i="808"/>
  <c r="F51" i="808"/>
  <c r="D51" i="808"/>
  <c r="Z50" i="808"/>
  <c r="X50" i="808"/>
  <c r="V50" i="808"/>
  <c r="T50" i="808"/>
  <c r="R50" i="808"/>
  <c r="P50" i="808"/>
  <c r="N50" i="808"/>
  <c r="L50" i="808"/>
  <c r="J50" i="808"/>
  <c r="H50" i="808"/>
  <c r="F50" i="808"/>
  <c r="D50" i="808"/>
  <c r="Z49" i="808"/>
  <c r="X49" i="808"/>
  <c r="V49" i="808"/>
  <c r="T49" i="808"/>
  <c r="R49" i="808"/>
  <c r="P49" i="808"/>
  <c r="N49" i="808"/>
  <c r="L49" i="808"/>
  <c r="J49" i="808"/>
  <c r="H49" i="808"/>
  <c r="F49" i="808"/>
  <c r="D49" i="808"/>
  <c r="Z48" i="808"/>
  <c r="X48" i="808"/>
  <c r="V48" i="808"/>
  <c r="T48" i="808"/>
  <c r="R48" i="808"/>
  <c r="P48" i="808"/>
  <c r="N48" i="808"/>
  <c r="L48" i="808"/>
  <c r="J48" i="808"/>
  <c r="H48" i="808"/>
  <c r="F48" i="808"/>
  <c r="D48" i="808"/>
  <c r="Z47" i="808"/>
  <c r="X47" i="808"/>
  <c r="V47" i="808"/>
  <c r="T47" i="808"/>
  <c r="R47" i="808"/>
  <c r="P47" i="808"/>
  <c r="N47" i="808"/>
  <c r="L47" i="808"/>
  <c r="J47" i="808"/>
  <c r="H47" i="808"/>
  <c r="F47" i="808"/>
  <c r="D47" i="808"/>
  <c r="Z46" i="808"/>
  <c r="X46" i="808"/>
  <c r="V46" i="808"/>
  <c r="T46" i="808"/>
  <c r="R46" i="808"/>
  <c r="P46" i="808"/>
  <c r="N46" i="808"/>
  <c r="L46" i="808"/>
  <c r="J46" i="808"/>
  <c r="H46" i="808"/>
  <c r="F46" i="808"/>
  <c r="D46" i="808"/>
  <c r="Z45" i="808"/>
  <c r="X45" i="808"/>
  <c r="V45" i="808"/>
  <c r="T45" i="808"/>
  <c r="R45" i="808"/>
  <c r="P45" i="808"/>
  <c r="N45" i="808"/>
  <c r="L45" i="808"/>
  <c r="J45" i="808"/>
  <c r="H45" i="808"/>
  <c r="F45" i="808"/>
  <c r="D45" i="808"/>
  <c r="Z44" i="808"/>
  <c r="X44" i="808"/>
  <c r="V44" i="808"/>
  <c r="T44" i="808"/>
  <c r="R44" i="808"/>
  <c r="P44" i="808"/>
  <c r="N44" i="808"/>
  <c r="L44" i="808"/>
  <c r="J44" i="808"/>
  <c r="H44" i="808"/>
  <c r="F44" i="808"/>
  <c r="D44" i="808"/>
  <c r="Z43" i="808"/>
  <c r="X43" i="808"/>
  <c r="V43" i="808"/>
  <c r="T43" i="808"/>
  <c r="R43" i="808"/>
  <c r="P43" i="808"/>
  <c r="N43" i="808"/>
  <c r="L43" i="808"/>
  <c r="J43" i="808"/>
  <c r="H43" i="808"/>
  <c r="F43" i="808"/>
  <c r="D43" i="808"/>
  <c r="Z42" i="808"/>
  <c r="X42" i="808"/>
  <c r="V42" i="808"/>
  <c r="T42" i="808"/>
  <c r="R42" i="808"/>
  <c r="P42" i="808"/>
  <c r="N42" i="808"/>
  <c r="L42" i="808"/>
  <c r="J42" i="808"/>
  <c r="H42" i="808"/>
  <c r="F42" i="808"/>
  <c r="D42" i="808"/>
  <c r="Z41" i="808"/>
  <c r="X41" i="808"/>
  <c r="V41" i="808"/>
  <c r="T41" i="808"/>
  <c r="R41" i="808"/>
  <c r="P41" i="808"/>
  <c r="N41" i="808"/>
  <c r="L41" i="808"/>
  <c r="J41" i="808"/>
  <c r="H41" i="808"/>
  <c r="F41" i="808"/>
  <c r="D41" i="808"/>
  <c r="Z40" i="808"/>
  <c r="X40" i="808"/>
  <c r="V40" i="808"/>
  <c r="T40" i="808"/>
  <c r="R40" i="808"/>
  <c r="P40" i="808"/>
  <c r="N40" i="808"/>
  <c r="L40" i="808"/>
  <c r="J40" i="808"/>
  <c r="H40" i="808"/>
  <c r="F40" i="808"/>
  <c r="D40" i="808"/>
  <c r="Z34" i="808"/>
  <c r="X34" i="808"/>
  <c r="V34" i="808"/>
  <c r="T34" i="808"/>
  <c r="R34" i="808"/>
  <c r="P34" i="808"/>
  <c r="N34" i="808"/>
  <c r="L34" i="808"/>
  <c r="J34" i="808"/>
  <c r="H34" i="808"/>
  <c r="F34" i="808"/>
  <c r="D34" i="808"/>
  <c r="Z33" i="808"/>
  <c r="X33" i="808"/>
  <c r="V33" i="808"/>
  <c r="T33" i="808"/>
  <c r="R33" i="808"/>
  <c r="P33" i="808"/>
  <c r="N33" i="808"/>
  <c r="L33" i="808"/>
  <c r="J33" i="808"/>
  <c r="H33" i="808"/>
  <c r="F33" i="808"/>
  <c r="D33" i="808"/>
  <c r="Z32" i="808"/>
  <c r="X32" i="808"/>
  <c r="V32" i="808"/>
  <c r="T32" i="808"/>
  <c r="R32" i="808"/>
  <c r="P32" i="808"/>
  <c r="N32" i="808"/>
  <c r="L32" i="808"/>
  <c r="J32" i="808"/>
  <c r="H32" i="808"/>
  <c r="F32" i="808"/>
  <c r="D32" i="808"/>
  <c r="Z31" i="808"/>
  <c r="X31" i="808"/>
  <c r="V31" i="808"/>
  <c r="T31" i="808"/>
  <c r="R31" i="808"/>
  <c r="P31" i="808"/>
  <c r="N31" i="808"/>
  <c r="L31" i="808"/>
  <c r="J31" i="808"/>
  <c r="H31" i="808"/>
  <c r="F31" i="808"/>
  <c r="D31" i="808"/>
  <c r="Z22" i="808"/>
  <c r="X22" i="808"/>
  <c r="V22" i="808"/>
  <c r="T22" i="808"/>
  <c r="R22" i="808"/>
  <c r="P22" i="808"/>
  <c r="N22" i="808"/>
  <c r="L22" i="808"/>
  <c r="J22" i="808"/>
  <c r="H22" i="808"/>
  <c r="F22" i="808"/>
  <c r="D22" i="808"/>
  <c r="Z21" i="808"/>
  <c r="X21" i="808"/>
  <c r="V21" i="808"/>
  <c r="T21" i="808"/>
  <c r="R21" i="808"/>
  <c r="P21" i="808"/>
  <c r="N21" i="808"/>
  <c r="L21" i="808"/>
  <c r="J21" i="808"/>
  <c r="H21" i="808"/>
  <c r="F21" i="808"/>
  <c r="D21" i="808"/>
  <c r="Z20" i="808"/>
  <c r="X20" i="808"/>
  <c r="V20" i="808"/>
  <c r="T20" i="808"/>
  <c r="R20" i="808"/>
  <c r="P20" i="808"/>
  <c r="N20" i="808"/>
  <c r="L20" i="808"/>
  <c r="J20" i="808"/>
  <c r="H20" i="808"/>
  <c r="F20" i="808"/>
  <c r="D20" i="808"/>
  <c r="Z19" i="808"/>
  <c r="X19" i="808"/>
  <c r="V19" i="808"/>
  <c r="T19" i="808"/>
  <c r="R19" i="808"/>
  <c r="P19" i="808"/>
  <c r="N19" i="808"/>
  <c r="L19" i="808"/>
  <c r="J19" i="808"/>
  <c r="H19" i="808"/>
  <c r="F19" i="808"/>
  <c r="D19" i="808"/>
  <c r="Z18" i="808"/>
  <c r="X18" i="808"/>
  <c r="V18" i="808"/>
  <c r="T18" i="808"/>
  <c r="R18" i="808"/>
  <c r="P18" i="808"/>
  <c r="N18" i="808"/>
  <c r="L18" i="808"/>
  <c r="J18" i="808"/>
  <c r="H18" i="808"/>
  <c r="F18" i="808"/>
  <c r="D18" i="808"/>
  <c r="I19" i="808" l="1"/>
  <c r="Q20" i="808"/>
  <c r="Y21" i="808"/>
  <c r="W18" i="808"/>
  <c r="G20" i="808"/>
  <c r="O21" i="808"/>
  <c r="W22" i="808"/>
  <c r="G19" i="808"/>
  <c r="O20" i="808"/>
  <c r="W21" i="808"/>
  <c r="M18" i="808"/>
  <c r="U19" i="808"/>
  <c r="E21" i="808"/>
  <c r="M22" i="808"/>
  <c r="K19" i="808"/>
  <c r="S20" i="808"/>
  <c r="AA21" i="808"/>
  <c r="M19" i="808"/>
  <c r="K18" i="808"/>
  <c r="S19" i="808"/>
  <c r="AA20" i="808"/>
  <c r="K22" i="808"/>
  <c r="O18" i="808"/>
  <c r="W19" i="808"/>
  <c r="G21" i="808"/>
  <c r="O22" i="808"/>
  <c r="Q18" i="808"/>
  <c r="Y19" i="808"/>
  <c r="I21" i="808"/>
  <c r="Q22" i="808"/>
  <c r="S18" i="808"/>
  <c r="AA19" i="808"/>
  <c r="K21" i="808"/>
  <c r="S22" i="808"/>
  <c r="U18" i="808"/>
  <c r="E20" i="808"/>
  <c r="M21" i="808"/>
  <c r="U22" i="808"/>
  <c r="Y18" i="808"/>
  <c r="I20" i="808"/>
  <c r="Q21" i="808"/>
  <c r="Y22" i="808"/>
  <c r="AA18" i="808"/>
  <c r="K20" i="808"/>
  <c r="S21" i="808"/>
  <c r="AA22" i="808"/>
  <c r="E19" i="808"/>
  <c r="M20" i="808"/>
  <c r="U21" i="808"/>
  <c r="E18" i="808"/>
  <c r="E22" i="808"/>
  <c r="G18" i="808"/>
  <c r="O19" i="808"/>
  <c r="W20" i="808"/>
  <c r="G22" i="808"/>
  <c r="U20" i="808"/>
  <c r="I18" i="808"/>
  <c r="Q19" i="808"/>
  <c r="Y20" i="808"/>
  <c r="I22" i="808"/>
  <c r="G22" i="810"/>
  <c r="O22" i="810"/>
  <c r="W22" i="810"/>
  <c r="AB12" i="808"/>
  <c r="AC12" i="808" s="1"/>
  <c r="AB21" i="808"/>
  <c r="AB32" i="808"/>
  <c r="AB41" i="808"/>
  <c r="AB45" i="808"/>
  <c r="AB49" i="808"/>
  <c r="AB52" i="808"/>
  <c r="AB8" i="808"/>
  <c r="AB11" i="808"/>
  <c r="AC11" i="808" s="1"/>
  <c r="AB20" i="808"/>
  <c r="AB31" i="808"/>
  <c r="AB40" i="808"/>
  <c r="AB44" i="808"/>
  <c r="AB48" i="808"/>
  <c r="AB51" i="808"/>
  <c r="AB34" i="808"/>
  <c r="AB43" i="808"/>
  <c r="AB47" i="808"/>
  <c r="AB10" i="808"/>
  <c r="AC10" i="808" s="1"/>
  <c r="AB19" i="808"/>
  <c r="AB22" i="808"/>
  <c r="AB33" i="808"/>
  <c r="AB42" i="808"/>
  <c r="AB46" i="808"/>
  <c r="AB50" i="808"/>
  <c r="AB9" i="808"/>
  <c r="AC9" i="808" s="1"/>
  <c r="AB18" i="808"/>
  <c r="X24" i="808"/>
  <c r="Z24" i="808"/>
  <c r="L24" i="808"/>
  <c r="N24" i="808"/>
  <c r="P24" i="808"/>
  <c r="R24" i="808"/>
  <c r="T24" i="808"/>
  <c r="V24" i="808"/>
  <c r="D24" i="808"/>
  <c r="F24" i="808"/>
  <c r="H24" i="808"/>
  <c r="J24" i="808"/>
  <c r="D14" i="808"/>
  <c r="E40" i="808" s="1"/>
  <c r="N14" i="808"/>
  <c r="O49" i="808" s="1"/>
  <c r="T14" i="808"/>
  <c r="U40" i="808" s="1"/>
  <c r="V14" i="808"/>
  <c r="W46" i="808" s="1"/>
  <c r="X14" i="808"/>
  <c r="Y41" i="808" s="1"/>
  <c r="Z14" i="808"/>
  <c r="AA43" i="808" s="1"/>
  <c r="L14" i="808"/>
  <c r="M41" i="808" s="1"/>
  <c r="R14" i="808"/>
  <c r="S45" i="808" s="1"/>
  <c r="H14" i="808"/>
  <c r="I41" i="808" s="1"/>
  <c r="J14" i="808"/>
  <c r="F14" i="808"/>
  <c r="G48" i="808" s="1"/>
  <c r="P14" i="808"/>
  <c r="Q42" i="808" s="1"/>
  <c r="S9" i="808"/>
  <c r="S12" i="808"/>
  <c r="W12" i="808"/>
  <c r="W9" i="808"/>
  <c r="W11" i="808"/>
  <c r="V36" i="808"/>
  <c r="Z54" i="808"/>
  <c r="J54" i="808"/>
  <c r="R36" i="808"/>
  <c r="D36" i="808"/>
  <c r="F36" i="808"/>
  <c r="AA11" i="808"/>
  <c r="K12" i="808"/>
  <c r="H54" i="808"/>
  <c r="W8" i="808"/>
  <c r="T36" i="808"/>
  <c r="P54" i="808"/>
  <c r="X54" i="808"/>
  <c r="H36" i="808"/>
  <c r="P36" i="808"/>
  <c r="X36" i="808"/>
  <c r="L54" i="808"/>
  <c r="G10" i="808"/>
  <c r="S11" i="808"/>
  <c r="AA10" i="808"/>
  <c r="K11" i="808"/>
  <c r="K9" i="808"/>
  <c r="K8" i="808"/>
  <c r="AA12" i="808"/>
  <c r="AA9" i="808"/>
  <c r="AA8" i="808"/>
  <c r="O9" i="808"/>
  <c r="K10" i="808"/>
  <c r="G9" i="808"/>
  <c r="O11" i="808"/>
  <c r="G11" i="808"/>
  <c r="G12" i="808"/>
  <c r="W10" i="808"/>
  <c r="O8" i="808"/>
  <c r="S8" i="808"/>
  <c r="S10" i="808"/>
  <c r="G8" i="808"/>
  <c r="O10" i="808"/>
  <c r="O12" i="808"/>
  <c r="Z52" i="810"/>
  <c r="R52" i="810"/>
  <c r="J52" i="810"/>
  <c r="V51" i="810"/>
  <c r="N51" i="810"/>
  <c r="F51" i="810"/>
  <c r="V50" i="810"/>
  <c r="N50" i="810"/>
  <c r="F50" i="810"/>
  <c r="Z49" i="810"/>
  <c r="R49" i="810"/>
  <c r="J49" i="810"/>
  <c r="V48" i="810"/>
  <c r="N48" i="810"/>
  <c r="F48" i="810"/>
  <c r="Z47" i="810"/>
  <c r="X52" i="810"/>
  <c r="P52" i="810"/>
  <c r="H52" i="810"/>
  <c r="T51" i="810"/>
  <c r="L51" i="810"/>
  <c r="D51" i="810"/>
  <c r="T50" i="810"/>
  <c r="L50" i="810"/>
  <c r="D50" i="810"/>
  <c r="X49" i="810"/>
  <c r="P49" i="810"/>
  <c r="H49" i="810"/>
  <c r="T48" i="810"/>
  <c r="L48" i="810"/>
  <c r="D48" i="810"/>
  <c r="X47" i="810"/>
  <c r="H18" i="810"/>
  <c r="P18" i="810"/>
  <c r="X18" i="810"/>
  <c r="D19" i="810"/>
  <c r="L19" i="810"/>
  <c r="T19" i="810"/>
  <c r="H20" i="810"/>
  <c r="P20" i="810"/>
  <c r="X20" i="810"/>
  <c r="D21" i="810"/>
  <c r="L21" i="810"/>
  <c r="T21" i="810"/>
  <c r="H22" i="810"/>
  <c r="P22" i="810"/>
  <c r="X22" i="810"/>
  <c r="D31" i="810"/>
  <c r="L31" i="810"/>
  <c r="T31" i="810"/>
  <c r="H32" i="810"/>
  <c r="P32" i="810"/>
  <c r="X32" i="810"/>
  <c r="D33" i="810"/>
  <c r="L33" i="810"/>
  <c r="T33" i="810"/>
  <c r="H34" i="810"/>
  <c r="P34" i="810"/>
  <c r="X34" i="810"/>
  <c r="D40" i="810"/>
  <c r="L40" i="810"/>
  <c r="T40" i="810"/>
  <c r="H41" i="810"/>
  <c r="P41" i="810"/>
  <c r="X41" i="810"/>
  <c r="D42" i="810"/>
  <c r="L42" i="810"/>
  <c r="T42" i="810"/>
  <c r="H43" i="810"/>
  <c r="P43" i="810"/>
  <c r="X43" i="810"/>
  <c r="D44" i="810"/>
  <c r="L44" i="810"/>
  <c r="T44" i="810"/>
  <c r="D45" i="810"/>
  <c r="L45" i="810"/>
  <c r="T45" i="810"/>
  <c r="H46" i="810"/>
  <c r="P46" i="810"/>
  <c r="X46" i="810"/>
  <c r="D47" i="810"/>
  <c r="L47" i="810"/>
  <c r="T47" i="810"/>
  <c r="H48" i="810"/>
  <c r="X48" i="810"/>
  <c r="L49" i="810"/>
  <c r="P50" i="810"/>
  <c r="H51" i="810"/>
  <c r="X51" i="810"/>
  <c r="L52" i="810"/>
  <c r="G18" i="810"/>
  <c r="O18" i="810"/>
  <c r="W18" i="810"/>
  <c r="K19" i="810"/>
  <c r="S19" i="810"/>
  <c r="AA19" i="810"/>
  <c r="G20" i="810"/>
  <c r="O20" i="810"/>
  <c r="W20" i="810"/>
  <c r="K21" i="810"/>
  <c r="S21" i="810"/>
  <c r="AA21" i="810"/>
  <c r="J18" i="810"/>
  <c r="K18" i="810" s="1"/>
  <c r="R18" i="810"/>
  <c r="S18" i="810" s="1"/>
  <c r="Z18" i="810"/>
  <c r="AA18" i="810" s="1"/>
  <c r="F19" i="810"/>
  <c r="G19" i="810" s="1"/>
  <c r="N19" i="810"/>
  <c r="O19" i="810" s="1"/>
  <c r="V19" i="810"/>
  <c r="W19" i="810" s="1"/>
  <c r="J20" i="810"/>
  <c r="R20" i="810"/>
  <c r="Z20" i="810"/>
  <c r="F21" i="810"/>
  <c r="N21" i="810"/>
  <c r="V21" i="810"/>
  <c r="J22" i="810"/>
  <c r="R22" i="810"/>
  <c r="Z22" i="810"/>
  <c r="F31" i="810"/>
  <c r="N31" i="810"/>
  <c r="V31" i="810"/>
  <c r="J32" i="810"/>
  <c r="R32" i="810"/>
  <c r="Z32" i="810"/>
  <c r="F33" i="810"/>
  <c r="N33" i="810"/>
  <c r="V33" i="810"/>
  <c r="J34" i="810"/>
  <c r="R34" i="810"/>
  <c r="Z34" i="810"/>
  <c r="F40" i="810"/>
  <c r="N40" i="810"/>
  <c r="V40" i="810"/>
  <c r="J41" i="810"/>
  <c r="R41" i="810"/>
  <c r="Z41" i="810"/>
  <c r="F42" i="810"/>
  <c r="N42" i="810"/>
  <c r="V42" i="810"/>
  <c r="J43" i="810"/>
  <c r="R43" i="810"/>
  <c r="Z43" i="810"/>
  <c r="F44" i="810"/>
  <c r="N44" i="810"/>
  <c r="V44" i="810"/>
  <c r="F45" i="810"/>
  <c r="N45" i="810"/>
  <c r="V45" i="810"/>
  <c r="J46" i="810"/>
  <c r="R46" i="810"/>
  <c r="Z46" i="810"/>
  <c r="F47" i="810"/>
  <c r="N47" i="810"/>
  <c r="V47" i="810"/>
  <c r="J48" i="810"/>
  <c r="Z48" i="810"/>
  <c r="N49" i="810"/>
  <c r="R50" i="810"/>
  <c r="J51" i="810"/>
  <c r="Z51" i="810"/>
  <c r="N52" i="810"/>
  <c r="D18" i="810"/>
  <c r="L18" i="810"/>
  <c r="T18" i="810"/>
  <c r="H19" i="810"/>
  <c r="P19" i="810"/>
  <c r="X19" i="810"/>
  <c r="D20" i="810"/>
  <c r="L20" i="810"/>
  <c r="T20" i="810"/>
  <c r="H21" i="810"/>
  <c r="P21" i="810"/>
  <c r="X21" i="810"/>
  <c r="D22" i="810"/>
  <c r="L22" i="810"/>
  <c r="T22" i="810"/>
  <c r="H31" i="810"/>
  <c r="P31" i="810"/>
  <c r="X31" i="810"/>
  <c r="D32" i="810"/>
  <c r="L32" i="810"/>
  <c r="T32" i="810"/>
  <c r="H33" i="810"/>
  <c r="P33" i="810"/>
  <c r="X33" i="810"/>
  <c r="D34" i="810"/>
  <c r="L34" i="810"/>
  <c r="T34" i="810"/>
  <c r="H40" i="810"/>
  <c r="P40" i="810"/>
  <c r="X40" i="810"/>
  <c r="D41" i="810"/>
  <c r="L41" i="810"/>
  <c r="T41" i="810"/>
  <c r="H42" i="810"/>
  <c r="P42" i="810"/>
  <c r="X42" i="810"/>
  <c r="D43" i="810"/>
  <c r="L43" i="810"/>
  <c r="T43" i="810"/>
  <c r="H44" i="810"/>
  <c r="P44" i="810"/>
  <c r="X44" i="810"/>
  <c r="H45" i="810"/>
  <c r="P45" i="810"/>
  <c r="X45" i="810"/>
  <c r="D46" i="810"/>
  <c r="L46" i="810"/>
  <c r="T46" i="810"/>
  <c r="H47" i="810"/>
  <c r="P47" i="810"/>
  <c r="P48" i="810"/>
  <c r="D49" i="810"/>
  <c r="T49" i="810"/>
  <c r="H50" i="810"/>
  <c r="X50" i="810"/>
  <c r="P51" i="810"/>
  <c r="D52" i="810"/>
  <c r="T52" i="810"/>
  <c r="V18" i="809"/>
  <c r="Z19" i="809"/>
  <c r="F22" i="809"/>
  <c r="F32" i="809"/>
  <c r="J33" i="809"/>
  <c r="N34" i="809"/>
  <c r="L40" i="809"/>
  <c r="P46" i="809"/>
  <c r="Z52" i="809"/>
  <c r="R52" i="809"/>
  <c r="J52" i="809"/>
  <c r="V51" i="809"/>
  <c r="N51" i="809"/>
  <c r="F51" i="809"/>
  <c r="V50" i="809"/>
  <c r="N50" i="809"/>
  <c r="F50" i="809"/>
  <c r="Z49" i="809"/>
  <c r="R49" i="809"/>
  <c r="J49" i="809"/>
  <c r="V48" i="809"/>
  <c r="N48" i="809"/>
  <c r="F48" i="809"/>
  <c r="Z47" i="809"/>
  <c r="R47" i="809"/>
  <c r="J47" i="809"/>
  <c r="V46" i="809"/>
  <c r="N46" i="809"/>
  <c r="F46" i="809"/>
  <c r="Z45" i="809"/>
  <c r="R45" i="809"/>
  <c r="J45" i="809"/>
  <c r="Z44" i="809"/>
  <c r="R44" i="809"/>
  <c r="J44" i="809"/>
  <c r="V43" i="809"/>
  <c r="N43" i="809"/>
  <c r="F43" i="809"/>
  <c r="Z42" i="809"/>
  <c r="R42" i="809"/>
  <c r="J42" i="809"/>
  <c r="V41" i="809"/>
  <c r="N41" i="809"/>
  <c r="F41" i="809"/>
  <c r="Z40" i="809"/>
  <c r="R40" i="809"/>
  <c r="J40" i="809"/>
  <c r="X52" i="809"/>
  <c r="P52" i="809"/>
  <c r="H52" i="809"/>
  <c r="T51" i="809"/>
  <c r="L51" i="809"/>
  <c r="D51" i="809"/>
  <c r="T50" i="809"/>
  <c r="L50" i="809"/>
  <c r="D50" i="809"/>
  <c r="X49" i="809"/>
  <c r="P49" i="809"/>
  <c r="H49" i="809"/>
  <c r="T48" i="809"/>
  <c r="L48" i="809"/>
  <c r="D48" i="809"/>
  <c r="X47" i="809"/>
  <c r="P47" i="809"/>
  <c r="H47" i="809"/>
  <c r="T46" i="809"/>
  <c r="L46" i="809"/>
  <c r="D46" i="809"/>
  <c r="X45" i="809"/>
  <c r="P45" i="809"/>
  <c r="H45" i="809"/>
  <c r="X44" i="809"/>
  <c r="P44" i="809"/>
  <c r="H44" i="809"/>
  <c r="T43" i="809"/>
  <c r="L43" i="809"/>
  <c r="D43" i="809"/>
  <c r="X42" i="809"/>
  <c r="P42" i="809"/>
  <c r="H42" i="809"/>
  <c r="T41" i="809"/>
  <c r="L41" i="809"/>
  <c r="D41" i="809"/>
  <c r="X40" i="809"/>
  <c r="P40" i="809"/>
  <c r="H40" i="809"/>
  <c r="V52" i="809"/>
  <c r="N52" i="809"/>
  <c r="F52" i="809"/>
  <c r="Z51" i="809"/>
  <c r="R51" i="809"/>
  <c r="J51" i="809"/>
  <c r="Z50" i="809"/>
  <c r="R50" i="809"/>
  <c r="J50" i="809"/>
  <c r="V49" i="809"/>
  <c r="N49" i="809"/>
  <c r="F49" i="809"/>
  <c r="Z48" i="809"/>
  <c r="R48" i="809"/>
  <c r="J48" i="809"/>
  <c r="V47" i="809"/>
  <c r="N47" i="809"/>
  <c r="F47" i="809"/>
  <c r="Z46" i="809"/>
  <c r="R46" i="809"/>
  <c r="J46" i="809"/>
  <c r="V45" i="809"/>
  <c r="N45" i="809"/>
  <c r="F45" i="809"/>
  <c r="V44" i="809"/>
  <c r="N44" i="809"/>
  <c r="F44" i="809"/>
  <c r="Z43" i="809"/>
  <c r="R43" i="809"/>
  <c r="J43" i="809"/>
  <c r="V42" i="809"/>
  <c r="N42" i="809"/>
  <c r="F42" i="809"/>
  <c r="Z41" i="809"/>
  <c r="R41" i="809"/>
  <c r="J41" i="809"/>
  <c r="V40" i="809"/>
  <c r="N40" i="809"/>
  <c r="F40" i="809"/>
  <c r="D52" i="809"/>
  <c r="X50" i="809"/>
  <c r="T49" i="809"/>
  <c r="P48" i="809"/>
  <c r="L47" i="809"/>
  <c r="H46" i="809"/>
  <c r="D45" i="809"/>
  <c r="T44" i="809"/>
  <c r="P43" i="809"/>
  <c r="L42" i="809"/>
  <c r="H41" i="809"/>
  <c r="D40" i="809"/>
  <c r="T34" i="809"/>
  <c r="L34" i="809"/>
  <c r="D34" i="809"/>
  <c r="X33" i="809"/>
  <c r="P33" i="809"/>
  <c r="H33" i="809"/>
  <c r="T32" i="809"/>
  <c r="L32" i="809"/>
  <c r="D32" i="809"/>
  <c r="X31" i="809"/>
  <c r="P31" i="809"/>
  <c r="H31" i="809"/>
  <c r="T22" i="809"/>
  <c r="L22" i="809"/>
  <c r="D22" i="809"/>
  <c r="X21" i="809"/>
  <c r="P21" i="809"/>
  <c r="H21" i="809"/>
  <c r="T20" i="809"/>
  <c r="L20" i="809"/>
  <c r="D20" i="809"/>
  <c r="X19" i="809"/>
  <c r="P19" i="809"/>
  <c r="H19" i="809"/>
  <c r="T18" i="809"/>
  <c r="L18" i="809"/>
  <c r="D18" i="809"/>
  <c r="X51" i="809"/>
  <c r="P50" i="809"/>
  <c r="L49" i="809"/>
  <c r="H48" i="809"/>
  <c r="D47" i="809"/>
  <c r="L44" i="809"/>
  <c r="H43" i="809"/>
  <c r="D42" i="809"/>
  <c r="Z34" i="809"/>
  <c r="R34" i="809"/>
  <c r="J34" i="809"/>
  <c r="V33" i="809"/>
  <c r="N33" i="809"/>
  <c r="F33" i="809"/>
  <c r="Z32" i="809"/>
  <c r="R32" i="809"/>
  <c r="J32" i="809"/>
  <c r="V31" i="809"/>
  <c r="N31" i="809"/>
  <c r="F31" i="809"/>
  <c r="Z22" i="809"/>
  <c r="R22" i="809"/>
  <c r="J22" i="809"/>
  <c r="V21" i="809"/>
  <c r="N21" i="809"/>
  <c r="F21" i="809"/>
  <c r="Z20" i="809"/>
  <c r="R20" i="809"/>
  <c r="J20" i="809"/>
  <c r="V19" i="809"/>
  <c r="N19" i="809"/>
  <c r="F19" i="809"/>
  <c r="Z18" i="809"/>
  <c r="R18" i="809"/>
  <c r="J18" i="809"/>
  <c r="T52" i="809"/>
  <c r="P51" i="809"/>
  <c r="H50" i="809"/>
  <c r="D49" i="809"/>
  <c r="X46" i="809"/>
  <c r="T45" i="809"/>
  <c r="D44" i="809"/>
  <c r="X41" i="809"/>
  <c r="T40" i="809"/>
  <c r="X34" i="809"/>
  <c r="P34" i="809"/>
  <c r="H34" i="809"/>
  <c r="T33" i="809"/>
  <c r="L33" i="809"/>
  <c r="D33" i="809"/>
  <c r="X32" i="809"/>
  <c r="P32" i="809"/>
  <c r="H32" i="809"/>
  <c r="T31" i="809"/>
  <c r="L31" i="809"/>
  <c r="D31" i="809"/>
  <c r="X22" i="809"/>
  <c r="P22" i="809"/>
  <c r="H22" i="809"/>
  <c r="T21" i="809"/>
  <c r="L21" i="809"/>
  <c r="D21" i="809"/>
  <c r="X20" i="809"/>
  <c r="P20" i="809"/>
  <c r="H20" i="809"/>
  <c r="T19" i="809"/>
  <c r="U19" i="809" s="1"/>
  <c r="L19" i="809"/>
  <c r="M19" i="809" s="1"/>
  <c r="D19" i="809"/>
  <c r="E19" i="809" s="1"/>
  <c r="X18" i="809"/>
  <c r="Y18" i="809" s="1"/>
  <c r="P18" i="809"/>
  <c r="Q18" i="809" s="1"/>
  <c r="H18" i="809"/>
  <c r="I18" i="809" s="1"/>
  <c r="F20" i="809"/>
  <c r="J21" i="809"/>
  <c r="N22" i="809"/>
  <c r="J31" i="809"/>
  <c r="N32" i="809"/>
  <c r="R33" i="809"/>
  <c r="V34" i="809"/>
  <c r="P41" i="809"/>
  <c r="T47" i="809"/>
  <c r="H51" i="809"/>
  <c r="O18" i="809"/>
  <c r="S19" i="809"/>
  <c r="W20" i="809"/>
  <c r="AA21" i="809"/>
  <c r="F18" i="809"/>
  <c r="J19" i="809"/>
  <c r="N20" i="809"/>
  <c r="R21" i="809"/>
  <c r="V22" i="809"/>
  <c r="R31" i="809"/>
  <c r="V32" i="809"/>
  <c r="Z33" i="809"/>
  <c r="T42" i="809"/>
  <c r="X48" i="809"/>
  <c r="L52" i="809"/>
  <c r="L36" i="808"/>
  <c r="M36" i="808" s="1"/>
  <c r="R54" i="808"/>
  <c r="S54" i="808" s="1"/>
  <c r="N36" i="808"/>
  <c r="D54" i="808"/>
  <c r="T54" i="808"/>
  <c r="J36" i="808"/>
  <c r="Z36" i="808"/>
  <c r="AA36" i="808" s="1"/>
  <c r="F54" i="808"/>
  <c r="N54" i="808"/>
  <c r="O54" i="808" s="1"/>
  <c r="V54" i="808"/>
  <c r="D6" i="21"/>
  <c r="D5" i="21"/>
  <c r="G16" i="586"/>
  <c r="G3" i="586"/>
  <c r="G17" i="586"/>
  <c r="G18" i="586"/>
  <c r="G14" i="586"/>
  <c r="G7" i="586"/>
  <c r="G10" i="586"/>
  <c r="G5" i="586"/>
  <c r="G9" i="586"/>
  <c r="G25" i="586"/>
  <c r="G22" i="586"/>
  <c r="G15" i="586"/>
  <c r="G26" i="586"/>
  <c r="G24" i="586"/>
  <c r="G20" i="586"/>
  <c r="G8" i="586"/>
  <c r="G13" i="586"/>
  <c r="G23" i="586"/>
  <c r="G12" i="586"/>
  <c r="G11" i="586"/>
  <c r="G6" i="586"/>
  <c r="G21" i="586"/>
  <c r="G19" i="586"/>
  <c r="W54" i="808" l="1"/>
  <c r="U54" i="808"/>
  <c r="O36" i="808"/>
  <c r="G54" i="808"/>
  <c r="AA18" i="809"/>
  <c r="U18" i="810"/>
  <c r="G19" i="809"/>
  <c r="E54" i="808"/>
  <c r="K18" i="809"/>
  <c r="M18" i="810"/>
  <c r="E18" i="810"/>
  <c r="W19" i="809"/>
  <c r="Q19" i="810"/>
  <c r="O19" i="809"/>
  <c r="M32" i="808"/>
  <c r="AA34" i="808"/>
  <c r="AA31" i="808"/>
  <c r="I33" i="808"/>
  <c r="I34" i="808"/>
  <c r="U32" i="808"/>
  <c r="AA33" i="808"/>
  <c r="K31" i="808"/>
  <c r="S33" i="808"/>
  <c r="I31" i="808"/>
  <c r="O32" i="808"/>
  <c r="U33" i="808"/>
  <c r="Q33" i="808"/>
  <c r="S34" i="808"/>
  <c r="I32" i="808"/>
  <c r="U31" i="808"/>
  <c r="Y33" i="808"/>
  <c r="W34" i="808"/>
  <c r="Q32" i="808"/>
  <c r="O33" i="808"/>
  <c r="Q34" i="808"/>
  <c r="Y32" i="808"/>
  <c r="G32" i="808"/>
  <c r="Q31" i="808"/>
  <c r="AA32" i="808"/>
  <c r="Y31" i="808"/>
  <c r="G34" i="808"/>
  <c r="W33" i="808"/>
  <c r="K32" i="808"/>
  <c r="S31" i="808"/>
  <c r="K54" i="808"/>
  <c r="W32" i="808"/>
  <c r="O31" i="808"/>
  <c r="G31" i="808"/>
  <c r="U34" i="808"/>
  <c r="O34" i="808"/>
  <c r="M33" i="808"/>
  <c r="G33" i="808"/>
  <c r="E34" i="808"/>
  <c r="E32" i="808"/>
  <c r="W31" i="808"/>
  <c r="K34" i="808"/>
  <c r="M31" i="808"/>
  <c r="E31" i="808"/>
  <c r="M34" i="808"/>
  <c r="E33" i="808"/>
  <c r="S32" i="808"/>
  <c r="Y34" i="808"/>
  <c r="K33" i="808"/>
  <c r="Y19" i="810"/>
  <c r="U41" i="808"/>
  <c r="Y49" i="808"/>
  <c r="AC19" i="808"/>
  <c r="AC18" i="808"/>
  <c r="Y47" i="808"/>
  <c r="AC20" i="808"/>
  <c r="Q51" i="808"/>
  <c r="Q54" i="808"/>
  <c r="AA48" i="808"/>
  <c r="U44" i="808"/>
  <c r="U52" i="808"/>
  <c r="U51" i="808"/>
  <c r="U36" i="808"/>
  <c r="Y45" i="808"/>
  <c r="Y43" i="808"/>
  <c r="U24" i="808"/>
  <c r="Q41" i="808"/>
  <c r="Q24" i="808"/>
  <c r="U50" i="808"/>
  <c r="Y40" i="808"/>
  <c r="U46" i="808"/>
  <c r="G36" i="808"/>
  <c r="Y36" i="808"/>
  <c r="U49" i="808"/>
  <c r="AA47" i="808"/>
  <c r="O50" i="808"/>
  <c r="O43" i="808"/>
  <c r="K41" i="808"/>
  <c r="O46" i="808"/>
  <c r="AA54" i="808"/>
  <c r="O42" i="808"/>
  <c r="AA46" i="808"/>
  <c r="Q52" i="808"/>
  <c r="M50" i="808"/>
  <c r="S49" i="808"/>
  <c r="O51" i="808"/>
  <c r="Q49" i="808"/>
  <c r="U47" i="808"/>
  <c r="O48" i="808"/>
  <c r="M46" i="808"/>
  <c r="AA50" i="808"/>
  <c r="O44" i="808"/>
  <c r="O52" i="808"/>
  <c r="Q43" i="808"/>
  <c r="AA42" i="808"/>
  <c r="Q48" i="808"/>
  <c r="Q46" i="808"/>
  <c r="AA52" i="808"/>
  <c r="AA49" i="808"/>
  <c r="Q44" i="808"/>
  <c r="AA45" i="808"/>
  <c r="Q40" i="808"/>
  <c r="AA51" i="808"/>
  <c r="O24" i="808"/>
  <c r="AA44" i="808"/>
  <c r="AA40" i="808"/>
  <c r="O47" i="808"/>
  <c r="G47" i="808"/>
  <c r="M51" i="808"/>
  <c r="I51" i="808"/>
  <c r="O45" i="808"/>
  <c r="E49" i="808"/>
  <c r="S48" i="808"/>
  <c r="M19" i="810"/>
  <c r="M54" i="808"/>
  <c r="W36" i="808"/>
  <c r="W45" i="808"/>
  <c r="Y50" i="808"/>
  <c r="G44" i="808"/>
  <c r="K50" i="808"/>
  <c r="Y51" i="808"/>
  <c r="S41" i="808"/>
  <c r="K47" i="808"/>
  <c r="W42" i="808"/>
  <c r="W51" i="808"/>
  <c r="Q36" i="808"/>
  <c r="K24" i="808"/>
  <c r="G43" i="808"/>
  <c r="M48" i="808"/>
  <c r="I48" i="808"/>
  <c r="O41" i="808"/>
  <c r="E45" i="808"/>
  <c r="S47" i="808"/>
  <c r="I50" i="808"/>
  <c r="S44" i="808"/>
  <c r="K19" i="809"/>
  <c r="G18" i="809"/>
  <c r="I36" i="808"/>
  <c r="I24" i="808"/>
  <c r="W41" i="808"/>
  <c r="E47" i="808"/>
  <c r="Y46" i="808"/>
  <c r="G40" i="808"/>
  <c r="G52" i="808"/>
  <c r="U43" i="808"/>
  <c r="K46" i="808"/>
  <c r="Y48" i="808"/>
  <c r="G50" i="808"/>
  <c r="E50" i="808"/>
  <c r="K43" i="808"/>
  <c r="Y54" i="808"/>
  <c r="G24" i="808"/>
  <c r="AC22" i="808"/>
  <c r="Y52" i="808"/>
  <c r="O40" i="808"/>
  <c r="U45" i="808"/>
  <c r="Q45" i="808"/>
  <c r="M52" i="808"/>
  <c r="I52" i="808"/>
  <c r="M42" i="808"/>
  <c r="Q47" i="808"/>
  <c r="W48" i="808"/>
  <c r="U48" i="808"/>
  <c r="AA41" i="808"/>
  <c r="E24" i="808"/>
  <c r="M44" i="808"/>
  <c r="I44" i="808"/>
  <c r="E51" i="808"/>
  <c r="K52" i="808"/>
  <c r="E41" i="808"/>
  <c r="S43" i="808"/>
  <c r="I46" i="808"/>
  <c r="M47" i="808"/>
  <c r="S40" i="808"/>
  <c r="W24" i="808"/>
  <c r="E43" i="808"/>
  <c r="Y42" i="808"/>
  <c r="Q50" i="808"/>
  <c r="G49" i="808"/>
  <c r="K42" i="808"/>
  <c r="Y44" i="808"/>
  <c r="G46" i="808"/>
  <c r="E46" i="808"/>
  <c r="K51" i="808"/>
  <c r="M49" i="808"/>
  <c r="S50" i="808"/>
  <c r="I49" i="808"/>
  <c r="W47" i="808"/>
  <c r="W44" i="808"/>
  <c r="I54" i="808"/>
  <c r="S24" i="808"/>
  <c r="AC21" i="808"/>
  <c r="M40" i="808"/>
  <c r="I40" i="808"/>
  <c r="E48" i="808"/>
  <c r="K49" i="808"/>
  <c r="I42" i="808"/>
  <c r="M43" i="808"/>
  <c r="I47" i="808"/>
  <c r="K44" i="808"/>
  <c r="G45" i="808"/>
  <c r="G42" i="808"/>
  <c r="E42" i="808"/>
  <c r="W52" i="808"/>
  <c r="G51" i="808"/>
  <c r="M45" i="808"/>
  <c r="S46" i="808"/>
  <c r="I45" i="808"/>
  <c r="W43" i="808"/>
  <c r="W40" i="808"/>
  <c r="M24" i="808"/>
  <c r="W50" i="808"/>
  <c r="E44" i="808"/>
  <c r="K45" i="808"/>
  <c r="U18" i="809"/>
  <c r="E36" i="808"/>
  <c r="AA24" i="808"/>
  <c r="I43" i="808"/>
  <c r="S52" i="808"/>
  <c r="K40" i="808"/>
  <c r="U42" i="808"/>
  <c r="E52" i="808"/>
  <c r="S51" i="808"/>
  <c r="S36" i="808"/>
  <c r="Y24" i="808"/>
  <c r="W49" i="808"/>
  <c r="K48" i="808"/>
  <c r="G41" i="808"/>
  <c r="S42" i="808"/>
  <c r="J57" i="808"/>
  <c r="K57" i="808" s="1"/>
  <c r="K36" i="808"/>
  <c r="Y21" i="809"/>
  <c r="U21" i="810"/>
  <c r="K22" i="809"/>
  <c r="S22" i="810"/>
  <c r="K20" i="809"/>
  <c r="E22" i="809"/>
  <c r="U22" i="810"/>
  <c r="K22" i="810"/>
  <c r="M21" i="810"/>
  <c r="M22" i="809"/>
  <c r="M22" i="810"/>
  <c r="W21" i="810"/>
  <c r="E21" i="810"/>
  <c r="AA20" i="809"/>
  <c r="U22" i="809"/>
  <c r="G22" i="809"/>
  <c r="E22" i="810"/>
  <c r="O21" i="810"/>
  <c r="Y20" i="810"/>
  <c r="S20" i="809"/>
  <c r="W22" i="809"/>
  <c r="G21" i="809"/>
  <c r="AA19" i="809"/>
  <c r="Y21" i="810"/>
  <c r="G21" i="810"/>
  <c r="Q20" i="810"/>
  <c r="S21" i="809"/>
  <c r="O20" i="809"/>
  <c r="O21" i="809"/>
  <c r="E18" i="809"/>
  <c r="W18" i="809"/>
  <c r="Q21" i="810"/>
  <c r="AA20" i="810"/>
  <c r="I20" i="810"/>
  <c r="I20" i="809"/>
  <c r="W21" i="809"/>
  <c r="M18" i="809"/>
  <c r="I21" i="810"/>
  <c r="S20" i="810"/>
  <c r="U19" i="810"/>
  <c r="S22" i="809"/>
  <c r="I19" i="809"/>
  <c r="M20" i="810"/>
  <c r="E19" i="810"/>
  <c r="AA22" i="809"/>
  <c r="Q19" i="809"/>
  <c r="E20" i="810"/>
  <c r="Y18" i="810"/>
  <c r="K20" i="810"/>
  <c r="Y20" i="809"/>
  <c r="E21" i="809"/>
  <c r="M21" i="809"/>
  <c r="Y19" i="809"/>
  <c r="Q18" i="810"/>
  <c r="U20" i="810"/>
  <c r="U21" i="809"/>
  <c r="E20" i="809"/>
  <c r="I18" i="810"/>
  <c r="Q20" i="809"/>
  <c r="I22" i="809"/>
  <c r="S18" i="809"/>
  <c r="M20" i="809"/>
  <c r="I19" i="810"/>
  <c r="O22" i="809"/>
  <c r="Q22" i="809"/>
  <c r="U20" i="809"/>
  <c r="Y22" i="810"/>
  <c r="K21" i="809"/>
  <c r="Y22" i="809"/>
  <c r="I21" i="809"/>
  <c r="Q22" i="810"/>
  <c r="G20" i="809"/>
  <c r="Q21" i="809"/>
  <c r="AA22" i="810"/>
  <c r="I22" i="810"/>
  <c r="N57" i="808"/>
  <c r="O57" i="808" s="1"/>
  <c r="AB14" i="808"/>
  <c r="AC14" i="808" s="1"/>
  <c r="AB36" i="808"/>
  <c r="AB24" i="808"/>
  <c r="AB54" i="808"/>
  <c r="AC8" i="808"/>
  <c r="F57" i="808"/>
  <c r="G57" i="808" s="1"/>
  <c r="H57" i="808"/>
  <c r="I57" i="808" s="1"/>
  <c r="X57" i="808"/>
  <c r="Y57" i="808" s="1"/>
  <c r="V57" i="808"/>
  <c r="W57" i="808" s="1"/>
  <c r="P57" i="808"/>
  <c r="Q57" i="808" s="1"/>
  <c r="T57" i="808"/>
  <c r="U57" i="808" s="1"/>
  <c r="Z57" i="808"/>
  <c r="AA57" i="808" s="1"/>
  <c r="L57" i="808"/>
  <c r="M57" i="808" s="1"/>
  <c r="R57" i="808"/>
  <c r="S57" i="808" s="1"/>
  <c r="D57" i="808"/>
  <c r="E57" i="808" s="1"/>
  <c r="D14" i="809"/>
  <c r="E33" i="809" s="1"/>
  <c r="X14" i="809"/>
  <c r="Y31" i="809" s="1"/>
  <c r="N24" i="809"/>
  <c r="F24" i="809"/>
  <c r="V24" i="810"/>
  <c r="N24" i="810"/>
  <c r="F24" i="810"/>
  <c r="Z24" i="810"/>
  <c r="P24" i="809"/>
  <c r="R24" i="810"/>
  <c r="D24" i="809"/>
  <c r="J24" i="809"/>
  <c r="L24" i="809"/>
  <c r="R24" i="809"/>
  <c r="J24" i="810"/>
  <c r="Z24" i="809"/>
  <c r="H24" i="809"/>
  <c r="T24" i="809"/>
  <c r="X24" i="809"/>
  <c r="X24" i="810"/>
  <c r="P24" i="810"/>
  <c r="P14" i="809"/>
  <c r="Q31" i="809" s="1"/>
  <c r="H24" i="810"/>
  <c r="H14" i="809"/>
  <c r="I31" i="809" s="1"/>
  <c r="T24" i="810"/>
  <c r="P14" i="810"/>
  <c r="Q34" i="810" s="1"/>
  <c r="V24" i="809"/>
  <c r="L24" i="810"/>
  <c r="D24" i="810"/>
  <c r="L14" i="809"/>
  <c r="M32" i="809" s="1"/>
  <c r="T14" i="809"/>
  <c r="U33" i="809" s="1"/>
  <c r="Z14" i="810"/>
  <c r="AA34" i="810" s="1"/>
  <c r="R14" i="810"/>
  <c r="S32" i="810" s="1"/>
  <c r="J14" i="810"/>
  <c r="N14" i="809"/>
  <c r="O31" i="809" s="1"/>
  <c r="H14" i="810"/>
  <c r="I33" i="810" s="1"/>
  <c r="F14" i="809"/>
  <c r="G34" i="809" s="1"/>
  <c r="Z14" i="809"/>
  <c r="AA31" i="809" s="1"/>
  <c r="R14" i="809"/>
  <c r="S34" i="809" s="1"/>
  <c r="V14" i="809"/>
  <c r="W31" i="809" s="1"/>
  <c r="J14" i="809"/>
  <c r="K34" i="809" s="1"/>
  <c r="T14" i="810"/>
  <c r="U34" i="810" s="1"/>
  <c r="V14" i="810"/>
  <c r="W33" i="810" s="1"/>
  <c r="L14" i="810"/>
  <c r="M32" i="810" s="1"/>
  <c r="N14" i="810"/>
  <c r="O31" i="810" s="1"/>
  <c r="D14" i="810"/>
  <c r="E32" i="810" s="1"/>
  <c r="X14" i="810"/>
  <c r="Y32" i="810" s="1"/>
  <c r="F14" i="810"/>
  <c r="S14" i="808"/>
  <c r="G14" i="808"/>
  <c r="AB44" i="809"/>
  <c r="AB49" i="809"/>
  <c r="AB21" i="809"/>
  <c r="AB11" i="809"/>
  <c r="AB19" i="809"/>
  <c r="AB9" i="809"/>
  <c r="AB8" i="809"/>
  <c r="AB47" i="809"/>
  <c r="B1" i="810"/>
  <c r="AB42" i="810"/>
  <c r="AB31" i="810"/>
  <c r="AB18" i="810"/>
  <c r="AB34" i="810"/>
  <c r="AB41" i="810"/>
  <c r="AB12" i="810"/>
  <c r="AB10" i="810"/>
  <c r="AB50" i="810"/>
  <c r="AB49" i="810"/>
  <c r="AB22" i="810"/>
  <c r="AB9" i="810"/>
  <c r="AB40" i="810"/>
  <c r="AB47" i="810"/>
  <c r="AB21" i="810"/>
  <c r="AB8" i="810"/>
  <c r="AB51" i="810"/>
  <c r="AB44" i="810"/>
  <c r="AB33" i="810"/>
  <c r="AB46" i="810"/>
  <c r="AB43" i="810"/>
  <c r="AB32" i="810"/>
  <c r="AB48" i="810"/>
  <c r="AB20" i="810"/>
  <c r="AB52" i="810"/>
  <c r="AB11" i="810"/>
  <c r="AB45" i="810"/>
  <c r="AB19" i="810"/>
  <c r="AB10" i="809"/>
  <c r="AB42" i="809"/>
  <c r="AB46" i="809"/>
  <c r="AB40" i="809"/>
  <c r="AB51" i="809"/>
  <c r="AB32" i="809"/>
  <c r="AB33" i="809"/>
  <c r="AB20" i="809"/>
  <c r="AB48" i="809"/>
  <c r="AB45" i="809"/>
  <c r="AB41" i="809"/>
  <c r="AB34" i="809"/>
  <c r="AB22" i="809"/>
  <c r="AB50" i="809"/>
  <c r="AB12" i="809"/>
  <c r="AB52" i="809"/>
  <c r="AB43" i="809"/>
  <c r="AB31" i="809"/>
  <c r="AB18" i="809"/>
  <c r="K14" i="808"/>
  <c r="O14" i="808"/>
  <c r="B1" i="809"/>
  <c r="I8" i="808"/>
  <c r="Q9" i="808"/>
  <c r="I12" i="808"/>
  <c r="B1" i="808"/>
  <c r="I9" i="808"/>
  <c r="Y8" i="808"/>
  <c r="Y9" i="808"/>
  <c r="U11" i="808"/>
  <c r="U10" i="808"/>
  <c r="U12" i="808"/>
  <c r="I11" i="808"/>
  <c r="M9" i="808"/>
  <c r="M11" i="808"/>
  <c r="M8" i="808"/>
  <c r="M12" i="808"/>
  <c r="Q10" i="808"/>
  <c r="Q11" i="808"/>
  <c r="Q8" i="808"/>
  <c r="E10" i="808"/>
  <c r="E9" i="808"/>
  <c r="Y11" i="808"/>
  <c r="I10" i="808"/>
  <c r="Q12" i="808"/>
  <c r="U8" i="808"/>
  <c r="I14" i="808"/>
  <c r="E11" i="808"/>
  <c r="Y10" i="808"/>
  <c r="E12" i="808"/>
  <c r="Y12" i="808"/>
  <c r="U9" i="808"/>
  <c r="M10" i="808"/>
  <c r="E8" i="808"/>
  <c r="Y14" i="808"/>
  <c r="D36" i="810"/>
  <c r="H36" i="810"/>
  <c r="L36" i="810"/>
  <c r="P36" i="810"/>
  <c r="T36" i="810"/>
  <c r="X36" i="810"/>
  <c r="F36" i="810"/>
  <c r="J36" i="810"/>
  <c r="N36" i="810"/>
  <c r="R36" i="810"/>
  <c r="V36" i="810"/>
  <c r="Z36" i="810"/>
  <c r="D54" i="810"/>
  <c r="H54" i="810"/>
  <c r="L54" i="810"/>
  <c r="P54" i="810"/>
  <c r="T54" i="810"/>
  <c r="X54" i="810"/>
  <c r="F54" i="810"/>
  <c r="J54" i="810"/>
  <c r="N54" i="810"/>
  <c r="R54" i="810"/>
  <c r="V54" i="810"/>
  <c r="Z54" i="810"/>
  <c r="D54" i="809"/>
  <c r="H36" i="809"/>
  <c r="X36" i="809"/>
  <c r="X54" i="809"/>
  <c r="R36" i="809"/>
  <c r="L54" i="809"/>
  <c r="D36" i="809"/>
  <c r="N36" i="809"/>
  <c r="T36" i="809"/>
  <c r="F54" i="809"/>
  <c r="N54" i="809"/>
  <c r="J36" i="809"/>
  <c r="P36" i="809"/>
  <c r="Z36" i="809"/>
  <c r="H54" i="809"/>
  <c r="P54" i="809"/>
  <c r="F36" i="809"/>
  <c r="L36" i="809"/>
  <c r="V36" i="809"/>
  <c r="J54" i="809"/>
  <c r="T54" i="809"/>
  <c r="R54" i="809"/>
  <c r="V54" i="809"/>
  <c r="Z54" i="809"/>
  <c r="W14" i="808"/>
  <c r="U14" i="808"/>
  <c r="AA14" i="808"/>
  <c r="AC19" i="810" l="1"/>
  <c r="I31" i="810"/>
  <c r="G31" i="809"/>
  <c r="G32" i="809"/>
  <c r="Q31" i="810"/>
  <c r="Y34" i="809"/>
  <c r="Y33" i="810"/>
  <c r="Y33" i="809"/>
  <c r="AC32" i="808"/>
  <c r="M34" i="810"/>
  <c r="W31" i="810"/>
  <c r="O33" i="810"/>
  <c r="K33" i="809"/>
  <c r="Y31" i="810"/>
  <c r="AA34" i="809"/>
  <c r="K31" i="809"/>
  <c r="I32" i="810"/>
  <c r="AC31" i="808"/>
  <c r="U31" i="809"/>
  <c r="E33" i="810"/>
  <c r="AA33" i="809"/>
  <c r="E34" i="810"/>
  <c r="M31" i="809"/>
  <c r="M31" i="810"/>
  <c r="M33" i="810"/>
  <c r="M33" i="809"/>
  <c r="U34" i="809"/>
  <c r="U32" i="809"/>
  <c r="S34" i="810"/>
  <c r="Q33" i="809"/>
  <c r="G33" i="809"/>
  <c r="M34" i="809"/>
  <c r="K33" i="810"/>
  <c r="K31" i="810"/>
  <c r="O33" i="809"/>
  <c r="G34" i="810"/>
  <c r="G32" i="810"/>
  <c r="Y32" i="809"/>
  <c r="Y34" i="810"/>
  <c r="O34" i="810"/>
  <c r="O32" i="810"/>
  <c r="S33" i="809"/>
  <c r="G31" i="810"/>
  <c r="O34" i="809"/>
  <c r="E34" i="809"/>
  <c r="AA32" i="809"/>
  <c r="W34" i="809"/>
  <c r="S31" i="809"/>
  <c r="Q33" i="810"/>
  <c r="E31" i="810"/>
  <c r="I34" i="810"/>
  <c r="U32" i="810"/>
  <c r="K32" i="810"/>
  <c r="AA33" i="810"/>
  <c r="AA31" i="810"/>
  <c r="Q34" i="809"/>
  <c r="Q32" i="809"/>
  <c r="S32" i="809"/>
  <c r="AC34" i="808"/>
  <c r="O32" i="809"/>
  <c r="W32" i="810"/>
  <c r="W34" i="810"/>
  <c r="AA32" i="810"/>
  <c r="AC33" i="808"/>
  <c r="U33" i="810"/>
  <c r="U31" i="810"/>
  <c r="Q32" i="810"/>
  <c r="W33" i="809"/>
  <c r="K32" i="809"/>
  <c r="K34" i="810"/>
  <c r="E31" i="809"/>
  <c r="I32" i="809"/>
  <c r="I33" i="809"/>
  <c r="W32" i="809"/>
  <c r="G33" i="810"/>
  <c r="I34" i="809"/>
  <c r="E32" i="809"/>
  <c r="S31" i="810"/>
  <c r="S33" i="810"/>
  <c r="AC47" i="808"/>
  <c r="AC40" i="808"/>
  <c r="AC51" i="808"/>
  <c r="AC42" i="808"/>
  <c r="AC36" i="808"/>
  <c r="AC46" i="808"/>
  <c r="AC45" i="808"/>
  <c r="AC48" i="808"/>
  <c r="AC54" i="808"/>
  <c r="AC44" i="808"/>
  <c r="AC41" i="808"/>
  <c r="AC24" i="808"/>
  <c r="AC43" i="808"/>
  <c r="AC50" i="808"/>
  <c r="AC18" i="810"/>
  <c r="AC52" i="808"/>
  <c r="AC49" i="808"/>
  <c r="W54" i="809"/>
  <c r="W52" i="809"/>
  <c r="W51" i="809"/>
  <c r="W50" i="809"/>
  <c r="W49" i="809"/>
  <c r="W48" i="809"/>
  <c r="W47" i="809"/>
  <c r="W46" i="809"/>
  <c r="W45" i="809"/>
  <c r="W44" i="809"/>
  <c r="W43" i="809"/>
  <c r="W36" i="809"/>
  <c r="W42" i="809"/>
  <c r="W40" i="809"/>
  <c r="W41" i="809"/>
  <c r="G24" i="810"/>
  <c r="Y24" i="810"/>
  <c r="AC19" i="809"/>
  <c r="O24" i="810"/>
  <c r="AC21" i="809"/>
  <c r="O46" i="809"/>
  <c r="O43" i="809"/>
  <c r="O45" i="809"/>
  <c r="O44" i="809"/>
  <c r="O42" i="809"/>
  <c r="O41" i="809"/>
  <c r="O40" i="809"/>
  <c r="O36" i="809"/>
  <c r="O54" i="809"/>
  <c r="O52" i="809"/>
  <c r="O48" i="809"/>
  <c r="O51" i="809"/>
  <c r="O47" i="809"/>
  <c r="O50" i="809"/>
  <c r="O49" i="809"/>
  <c r="Y24" i="809"/>
  <c r="O24" i="809"/>
  <c r="I24" i="810"/>
  <c r="Y44" i="809"/>
  <c r="Y43" i="809"/>
  <c r="Y41" i="809"/>
  <c r="Y42" i="809"/>
  <c r="Y40" i="809"/>
  <c r="Y36" i="809"/>
  <c r="Y54" i="809"/>
  <c r="Y52" i="809"/>
  <c r="Y51" i="809"/>
  <c r="Y45" i="809"/>
  <c r="Y50" i="809"/>
  <c r="Y49" i="809"/>
  <c r="Y48" i="809"/>
  <c r="Y47" i="809"/>
  <c r="Y46" i="809"/>
  <c r="S40" i="810"/>
  <c r="S36" i="810"/>
  <c r="S52" i="810"/>
  <c r="S54" i="810"/>
  <c r="S51" i="810"/>
  <c r="S50" i="810"/>
  <c r="S49" i="810"/>
  <c r="S48" i="810"/>
  <c r="S47" i="810"/>
  <c r="S46" i="810"/>
  <c r="S41" i="810"/>
  <c r="S45" i="810"/>
  <c r="S42" i="810"/>
  <c r="S44" i="810"/>
  <c r="S43" i="810"/>
  <c r="I24" i="809"/>
  <c r="E51" i="809"/>
  <c r="E49" i="809"/>
  <c r="E50" i="809"/>
  <c r="E48" i="809"/>
  <c r="E46" i="809"/>
  <c r="E44" i="809"/>
  <c r="E43" i="809"/>
  <c r="E36" i="809"/>
  <c r="E42" i="809"/>
  <c r="E41" i="809"/>
  <c r="E54" i="809"/>
  <c r="E40" i="809"/>
  <c r="E45" i="809"/>
  <c r="E52" i="809"/>
  <c r="E47" i="809"/>
  <c r="AC22" i="810"/>
  <c r="W24" i="810"/>
  <c r="G24" i="809"/>
  <c r="G51" i="810"/>
  <c r="G50" i="810"/>
  <c r="G49" i="810"/>
  <c r="G48" i="810"/>
  <c r="G46" i="810"/>
  <c r="G45" i="810"/>
  <c r="G44" i="810"/>
  <c r="G43" i="810"/>
  <c r="G42" i="810"/>
  <c r="G41" i="810"/>
  <c r="G40" i="810"/>
  <c r="G36" i="810"/>
  <c r="G54" i="810"/>
  <c r="G52" i="810"/>
  <c r="G47" i="810"/>
  <c r="AA24" i="809"/>
  <c r="AC22" i="809"/>
  <c r="I42" i="810"/>
  <c r="I36" i="810"/>
  <c r="I41" i="810"/>
  <c r="I40" i="810"/>
  <c r="I54" i="810"/>
  <c r="I52" i="810"/>
  <c r="I51" i="810"/>
  <c r="I50" i="810"/>
  <c r="I44" i="810"/>
  <c r="I49" i="810"/>
  <c r="I48" i="810"/>
  <c r="I47" i="810"/>
  <c r="I46" i="810"/>
  <c r="I45" i="810"/>
  <c r="I43" i="810"/>
  <c r="AA48" i="810"/>
  <c r="AA47" i="810"/>
  <c r="AA45" i="810"/>
  <c r="AA46" i="810"/>
  <c r="AA44" i="810"/>
  <c r="AA43" i="810"/>
  <c r="AA42" i="810"/>
  <c r="AA41" i="810"/>
  <c r="AA40" i="810"/>
  <c r="AA36" i="810"/>
  <c r="AA50" i="810"/>
  <c r="AA54" i="810"/>
  <c r="AA52" i="810"/>
  <c r="AA51" i="810"/>
  <c r="AA49" i="810"/>
  <c r="Y42" i="810"/>
  <c r="Y41" i="810"/>
  <c r="Y36" i="810"/>
  <c r="Y40" i="810"/>
  <c r="Y54" i="810"/>
  <c r="Y52" i="810"/>
  <c r="Y51" i="810"/>
  <c r="Y50" i="810"/>
  <c r="Y49" i="810"/>
  <c r="Y48" i="810"/>
  <c r="Y43" i="810"/>
  <c r="Y47" i="810"/>
  <c r="Y46" i="810"/>
  <c r="Y44" i="810"/>
  <c r="Y45" i="810"/>
  <c r="U48" i="809"/>
  <c r="U47" i="809"/>
  <c r="U45" i="809"/>
  <c r="U46" i="809"/>
  <c r="U44" i="809"/>
  <c r="U43" i="809"/>
  <c r="U42" i="809"/>
  <c r="U41" i="809"/>
  <c r="U40" i="809"/>
  <c r="U36" i="809"/>
  <c r="U54" i="809"/>
  <c r="U52" i="809"/>
  <c r="U49" i="809"/>
  <c r="U51" i="809"/>
  <c r="U50" i="809"/>
  <c r="K24" i="810"/>
  <c r="S42" i="809"/>
  <c r="S36" i="809"/>
  <c r="S41" i="809"/>
  <c r="S40" i="809"/>
  <c r="S54" i="809"/>
  <c r="S52" i="809"/>
  <c r="S51" i="809"/>
  <c r="S50" i="809"/>
  <c r="S49" i="809"/>
  <c r="S48" i="809"/>
  <c r="S44" i="809"/>
  <c r="S47" i="809"/>
  <c r="S46" i="809"/>
  <c r="S45" i="809"/>
  <c r="S43" i="809"/>
  <c r="AA50" i="809"/>
  <c r="AA49" i="809"/>
  <c r="AA47" i="809"/>
  <c r="AA48" i="809"/>
  <c r="AA46" i="809"/>
  <c r="AA45" i="809"/>
  <c r="AA44" i="809"/>
  <c r="AA43" i="809"/>
  <c r="AA42" i="809"/>
  <c r="AA41" i="809"/>
  <c r="AA40" i="809"/>
  <c r="AA36" i="809"/>
  <c r="AA51" i="809"/>
  <c r="AA54" i="809"/>
  <c r="AA52" i="809"/>
  <c r="G54" i="809"/>
  <c r="G52" i="809"/>
  <c r="G51" i="809"/>
  <c r="G50" i="809"/>
  <c r="G49" i="809"/>
  <c r="G48" i="809"/>
  <c r="G47" i="809"/>
  <c r="G46" i="809"/>
  <c r="G45" i="809"/>
  <c r="G44" i="809"/>
  <c r="G43" i="809"/>
  <c r="G42" i="809"/>
  <c r="G40" i="809"/>
  <c r="G41" i="809"/>
  <c r="G36" i="809"/>
  <c r="AC20" i="810"/>
  <c r="U24" i="809"/>
  <c r="AC20" i="809"/>
  <c r="E50" i="810"/>
  <c r="E49" i="810"/>
  <c r="E47" i="810"/>
  <c r="E48" i="810"/>
  <c r="E46" i="810"/>
  <c r="E44" i="810"/>
  <c r="E42" i="810"/>
  <c r="E41" i="810"/>
  <c r="E40" i="810"/>
  <c r="E36" i="810"/>
  <c r="E51" i="810"/>
  <c r="E54" i="810"/>
  <c r="E52" i="810"/>
  <c r="E45" i="810"/>
  <c r="E43" i="810"/>
  <c r="M40" i="809"/>
  <c r="M36" i="809"/>
  <c r="M52" i="809"/>
  <c r="M54" i="809"/>
  <c r="M51" i="809"/>
  <c r="M50" i="809"/>
  <c r="M49" i="809"/>
  <c r="M48" i="809"/>
  <c r="M47" i="809"/>
  <c r="M42" i="809"/>
  <c r="M46" i="809"/>
  <c r="M45" i="809"/>
  <c r="M44" i="809"/>
  <c r="M41" i="809"/>
  <c r="M43" i="809"/>
  <c r="S24" i="809"/>
  <c r="AA24" i="810"/>
  <c r="Q24" i="810"/>
  <c r="AC18" i="809"/>
  <c r="O44" i="810"/>
  <c r="O43" i="810"/>
  <c r="O41" i="810"/>
  <c r="O36" i="810"/>
  <c r="O42" i="810"/>
  <c r="O40" i="810"/>
  <c r="O54" i="810"/>
  <c r="O52" i="810"/>
  <c r="O51" i="810"/>
  <c r="O50" i="810"/>
  <c r="O49" i="810"/>
  <c r="O46" i="810"/>
  <c r="O48" i="810"/>
  <c r="O45" i="810"/>
  <c r="O47" i="810"/>
  <c r="E24" i="810"/>
  <c r="M24" i="809"/>
  <c r="M54" i="810"/>
  <c r="M52" i="810"/>
  <c r="M51" i="810"/>
  <c r="M50" i="810"/>
  <c r="M48" i="810"/>
  <c r="M47" i="810"/>
  <c r="M46" i="810"/>
  <c r="M45" i="810"/>
  <c r="M44" i="810"/>
  <c r="M43" i="810"/>
  <c r="M40" i="810"/>
  <c r="M42" i="810"/>
  <c r="M41" i="810"/>
  <c r="M49" i="810"/>
  <c r="M36" i="810"/>
  <c r="M24" i="810"/>
  <c r="K24" i="809"/>
  <c r="W51" i="810"/>
  <c r="W49" i="810"/>
  <c r="W50" i="810"/>
  <c r="W48" i="810"/>
  <c r="W47" i="810"/>
  <c r="W46" i="810"/>
  <c r="W45" i="810"/>
  <c r="W44" i="810"/>
  <c r="W43" i="810"/>
  <c r="W54" i="810"/>
  <c r="W42" i="810"/>
  <c r="W41" i="810"/>
  <c r="W40" i="810"/>
  <c r="W36" i="810"/>
  <c r="W52" i="810"/>
  <c r="W24" i="809"/>
  <c r="E24" i="809"/>
  <c r="K48" i="810"/>
  <c r="K47" i="810"/>
  <c r="K46" i="810"/>
  <c r="K45" i="810"/>
  <c r="K44" i="810"/>
  <c r="K43" i="810"/>
  <c r="K42" i="810"/>
  <c r="K41" i="810"/>
  <c r="K40" i="810"/>
  <c r="K36" i="810"/>
  <c r="K54" i="810"/>
  <c r="K52" i="810"/>
  <c r="K50" i="810"/>
  <c r="K51" i="810"/>
  <c r="K49" i="810"/>
  <c r="AC21" i="810"/>
  <c r="U46" i="810"/>
  <c r="U45" i="810"/>
  <c r="U43" i="810"/>
  <c r="U44" i="810"/>
  <c r="U42" i="810"/>
  <c r="U41" i="810"/>
  <c r="U40" i="810"/>
  <c r="U36" i="810"/>
  <c r="U54" i="810"/>
  <c r="U52" i="810"/>
  <c r="U51" i="810"/>
  <c r="U48" i="810"/>
  <c r="U47" i="810"/>
  <c r="U50" i="810"/>
  <c r="U49" i="810"/>
  <c r="Q50" i="810"/>
  <c r="Q47" i="810"/>
  <c r="Q49" i="810"/>
  <c r="Q48" i="810"/>
  <c r="Q46" i="810"/>
  <c r="Q45" i="810"/>
  <c r="Q44" i="810"/>
  <c r="Q43" i="810"/>
  <c r="Q42" i="810"/>
  <c r="Q41" i="810"/>
  <c r="Q40" i="810"/>
  <c r="Q36" i="810"/>
  <c r="Q54" i="810"/>
  <c r="Q51" i="810"/>
  <c r="Q52" i="810"/>
  <c r="S24" i="810"/>
  <c r="I44" i="809"/>
  <c r="I41" i="809"/>
  <c r="I43" i="809"/>
  <c r="I42" i="809"/>
  <c r="I40" i="809"/>
  <c r="I36" i="809"/>
  <c r="I54" i="809"/>
  <c r="I52" i="809"/>
  <c r="I51" i="809"/>
  <c r="I50" i="809"/>
  <c r="I49" i="809"/>
  <c r="I48" i="809"/>
  <c r="I46" i="809"/>
  <c r="I47" i="809"/>
  <c r="I45" i="809"/>
  <c r="Q51" i="809"/>
  <c r="Q49" i="809"/>
  <c r="Q50" i="809"/>
  <c r="Q48" i="809"/>
  <c r="Q47" i="809"/>
  <c r="Q46" i="809"/>
  <c r="Q45" i="809"/>
  <c r="Q44" i="809"/>
  <c r="Q43" i="809"/>
  <c r="Q42" i="809"/>
  <c r="Q41" i="809"/>
  <c r="Q52" i="809"/>
  <c r="Q40" i="809"/>
  <c r="Q36" i="809"/>
  <c r="Q54" i="809"/>
  <c r="K50" i="809"/>
  <c r="K47" i="809"/>
  <c r="K49" i="809"/>
  <c r="K48" i="809"/>
  <c r="K46" i="809"/>
  <c r="K45" i="809"/>
  <c r="K44" i="809"/>
  <c r="K43" i="809"/>
  <c r="K42" i="809"/>
  <c r="K41" i="809"/>
  <c r="K51" i="809"/>
  <c r="K40" i="809"/>
  <c r="K36" i="809"/>
  <c r="K54" i="809"/>
  <c r="K52" i="809"/>
  <c r="U24" i="810"/>
  <c r="Q24" i="809"/>
  <c r="AB27" i="808"/>
  <c r="AC27" i="808" s="1"/>
  <c r="T57" i="809"/>
  <c r="U57" i="809" s="1"/>
  <c r="H57" i="810"/>
  <c r="I57" i="810" s="1"/>
  <c r="AB57" i="808"/>
  <c r="AC57" i="808" s="1"/>
  <c r="J57" i="809"/>
  <c r="K57" i="809" s="1"/>
  <c r="N57" i="809"/>
  <c r="O57" i="809" s="1"/>
  <c r="F57" i="809"/>
  <c r="G57" i="809" s="1"/>
  <c r="P57" i="810"/>
  <c r="Q57" i="810" s="1"/>
  <c r="L57" i="810"/>
  <c r="M57" i="810" s="1"/>
  <c r="Z57" i="810"/>
  <c r="AA57" i="810" s="1"/>
  <c r="V57" i="810"/>
  <c r="W57" i="810" s="1"/>
  <c r="R57" i="810"/>
  <c r="S57" i="810" s="1"/>
  <c r="N57" i="810"/>
  <c r="O57" i="810" s="1"/>
  <c r="J57" i="810"/>
  <c r="K57" i="810" s="1"/>
  <c r="F57" i="810"/>
  <c r="G57" i="810" s="1"/>
  <c r="X57" i="810"/>
  <c r="Y57" i="810" s="1"/>
  <c r="T57" i="810"/>
  <c r="U57" i="810" s="1"/>
  <c r="L57" i="809"/>
  <c r="M57" i="809" s="1"/>
  <c r="V57" i="809"/>
  <c r="W57" i="809" s="1"/>
  <c r="H57" i="809"/>
  <c r="I57" i="809" s="1"/>
  <c r="Z57" i="809"/>
  <c r="AA57" i="809" s="1"/>
  <c r="R57" i="809"/>
  <c r="S57" i="809" s="1"/>
  <c r="X57" i="809"/>
  <c r="Y57" i="809" s="1"/>
  <c r="P57" i="809"/>
  <c r="Q57" i="809" s="1"/>
  <c r="D57" i="809"/>
  <c r="E57" i="809" s="1"/>
  <c r="D57" i="810"/>
  <c r="E57" i="810" s="1"/>
  <c r="AB24" i="810"/>
  <c r="AB24" i="809"/>
  <c r="AB14" i="809"/>
  <c r="AC33" i="809" s="1"/>
  <c r="AB14" i="810"/>
  <c r="AC31" i="810" s="1"/>
  <c r="R27" i="808"/>
  <c r="AB36" i="809"/>
  <c r="AB54" i="809"/>
  <c r="AB36" i="810"/>
  <c r="AB54" i="810"/>
  <c r="H27" i="808"/>
  <c r="F27" i="808"/>
  <c r="G27" i="808" s="1"/>
  <c r="T27" i="808"/>
  <c r="Z27" i="808"/>
  <c r="X27" i="808"/>
  <c r="N27" i="808"/>
  <c r="J27" i="808"/>
  <c r="V27" i="808"/>
  <c r="Y11" i="809"/>
  <c r="Y12" i="809"/>
  <c r="Y9" i="809"/>
  <c r="Y8" i="809"/>
  <c r="Y10" i="809"/>
  <c r="I8" i="809"/>
  <c r="I11" i="809"/>
  <c r="I12" i="809"/>
  <c r="I9" i="809"/>
  <c r="I10" i="809"/>
  <c r="S9" i="809"/>
  <c r="S8" i="809"/>
  <c r="S10" i="809"/>
  <c r="S12" i="809"/>
  <c r="S11" i="809"/>
  <c r="Q11" i="809"/>
  <c r="Q12" i="809"/>
  <c r="Q10" i="809"/>
  <c r="Q9" i="809"/>
  <c r="Q8" i="809"/>
  <c r="AA8" i="809"/>
  <c r="AA11" i="809"/>
  <c r="AA9" i="809"/>
  <c r="AA10" i="809"/>
  <c r="AA12" i="809"/>
  <c r="K12" i="809"/>
  <c r="K10" i="809"/>
  <c r="K9" i="809"/>
  <c r="K8" i="809"/>
  <c r="K11" i="809"/>
  <c r="K10" i="810"/>
  <c r="K11" i="810"/>
  <c r="K12" i="810"/>
  <c r="K9" i="810"/>
  <c r="K8" i="810"/>
  <c r="S12" i="810"/>
  <c r="S9" i="810"/>
  <c r="S11" i="810"/>
  <c r="S8" i="810"/>
  <c r="S10" i="810"/>
  <c r="AA11" i="810"/>
  <c r="AA9" i="810"/>
  <c r="AA12" i="810"/>
  <c r="AA8" i="810"/>
  <c r="AA10" i="810"/>
  <c r="E12" i="810"/>
  <c r="E8" i="810"/>
  <c r="E9" i="810"/>
  <c r="E11" i="810"/>
  <c r="E10" i="810"/>
  <c r="M8" i="810"/>
  <c r="M9" i="810"/>
  <c r="M10" i="810"/>
  <c r="M11" i="810"/>
  <c r="M12" i="810"/>
  <c r="U8" i="810"/>
  <c r="U9" i="810"/>
  <c r="U10" i="810"/>
  <c r="U11" i="810"/>
  <c r="U12" i="810"/>
  <c r="AC11" i="809"/>
  <c r="AC12" i="809"/>
  <c r="AC8" i="809"/>
  <c r="AC10" i="809"/>
  <c r="AC9" i="809"/>
  <c r="O8" i="809"/>
  <c r="O12" i="809"/>
  <c r="O10" i="809"/>
  <c r="O11" i="809"/>
  <c r="O9" i="809"/>
  <c r="M10" i="809"/>
  <c r="M11" i="809"/>
  <c r="M8" i="809"/>
  <c r="M12" i="809"/>
  <c r="M9" i="809"/>
  <c r="W10" i="809"/>
  <c r="W12" i="809"/>
  <c r="W8" i="809"/>
  <c r="W9" i="809"/>
  <c r="W11" i="809"/>
  <c r="G11" i="809"/>
  <c r="G12" i="809"/>
  <c r="G10" i="809"/>
  <c r="G8" i="809"/>
  <c r="G9" i="809"/>
  <c r="E9" i="809"/>
  <c r="E10" i="809"/>
  <c r="E11" i="809"/>
  <c r="E8" i="809"/>
  <c r="E12" i="809"/>
  <c r="U9" i="809"/>
  <c r="U12" i="809"/>
  <c r="U8" i="809"/>
  <c r="U11" i="809"/>
  <c r="U10" i="809"/>
  <c r="G10" i="810"/>
  <c r="G8" i="810"/>
  <c r="G9" i="810"/>
  <c r="G11" i="810"/>
  <c r="G12" i="810"/>
  <c r="O10" i="810"/>
  <c r="O9" i="810"/>
  <c r="O11" i="810"/>
  <c r="O8" i="810"/>
  <c r="O12" i="810"/>
  <c r="W8" i="810"/>
  <c r="W9" i="810"/>
  <c r="W11" i="810"/>
  <c r="W12" i="810"/>
  <c r="W10" i="810"/>
  <c r="AC10" i="810"/>
  <c r="AC9" i="810"/>
  <c r="AC11" i="810"/>
  <c r="AC12" i="810"/>
  <c r="AC8" i="810"/>
  <c r="I8" i="810"/>
  <c r="I9" i="810"/>
  <c r="I10" i="810"/>
  <c r="I11" i="810"/>
  <c r="I12" i="810"/>
  <c r="Q9" i="810"/>
  <c r="Q10" i="810"/>
  <c r="Q11" i="810"/>
  <c r="Q12" i="810"/>
  <c r="Q8" i="810"/>
  <c r="Y11" i="810"/>
  <c r="Y12" i="810"/>
  <c r="Y8" i="810"/>
  <c r="Y10" i="810"/>
  <c r="Y9" i="810"/>
  <c r="E14" i="808"/>
  <c r="D27" i="808"/>
  <c r="Q14" i="808"/>
  <c r="P27" i="808"/>
  <c r="M14" i="808"/>
  <c r="L27" i="808"/>
  <c r="AC32" i="810" l="1"/>
  <c r="AC31" i="809"/>
  <c r="AC32" i="809"/>
  <c r="AC34" i="809"/>
  <c r="AC33" i="810"/>
  <c r="AC34" i="810"/>
  <c r="R59" i="808"/>
  <c r="S59" i="808" s="1"/>
  <c r="S27" i="808"/>
  <c r="J59" i="808"/>
  <c r="K59" i="808" s="1"/>
  <c r="K27" i="808"/>
  <c r="D59" i="808"/>
  <c r="E59" i="808" s="1"/>
  <c r="E27" i="808"/>
  <c r="N59" i="808"/>
  <c r="O59" i="808" s="1"/>
  <c r="O27" i="808"/>
  <c r="V59" i="808"/>
  <c r="W59" i="808" s="1"/>
  <c r="W27" i="808"/>
  <c r="X59" i="808"/>
  <c r="Y59" i="808" s="1"/>
  <c r="Y27" i="808"/>
  <c r="Z59" i="808"/>
  <c r="AA59" i="808" s="1"/>
  <c r="AA27" i="808"/>
  <c r="H59" i="808"/>
  <c r="I59" i="808" s="1"/>
  <c r="I27" i="808"/>
  <c r="T59" i="808"/>
  <c r="U59" i="808" s="1"/>
  <c r="U27" i="808"/>
  <c r="L59" i="808"/>
  <c r="M59" i="808" s="1"/>
  <c r="M27" i="808"/>
  <c r="P59" i="808"/>
  <c r="Q59" i="808" s="1"/>
  <c r="Q27" i="808"/>
  <c r="AC54" i="810"/>
  <c r="AC52" i="810"/>
  <c r="AC51" i="810"/>
  <c r="AC50" i="810"/>
  <c r="AC49" i="810"/>
  <c r="AC48" i="810"/>
  <c r="AC47" i="810"/>
  <c r="AC46" i="810"/>
  <c r="AC45" i="810"/>
  <c r="AC44" i="810"/>
  <c r="AC36" i="810"/>
  <c r="AC43" i="810"/>
  <c r="AC42" i="810"/>
  <c r="AC40" i="810"/>
  <c r="AC41" i="810"/>
  <c r="AC40" i="809"/>
  <c r="AC36" i="809"/>
  <c r="AC54" i="809"/>
  <c r="AC52" i="809"/>
  <c r="AC51" i="809"/>
  <c r="AC50" i="809"/>
  <c r="AC49" i="809"/>
  <c r="AC48" i="809"/>
  <c r="AC47" i="809"/>
  <c r="AC46" i="809"/>
  <c r="AC45" i="809"/>
  <c r="AC41" i="809"/>
  <c r="AC44" i="809"/>
  <c r="AC43" i="809"/>
  <c r="AC42" i="809"/>
  <c r="AC24" i="809"/>
  <c r="AC24" i="810"/>
  <c r="AB59" i="808"/>
  <c r="AC59" i="808" s="1"/>
  <c r="AB57" i="810"/>
  <c r="AC57" i="810" s="1"/>
  <c r="AB57" i="809"/>
  <c r="AC57" i="809" s="1"/>
  <c r="F59" i="808"/>
  <c r="G59" i="808" s="1"/>
  <c r="AC14" i="809"/>
  <c r="X27" i="810"/>
  <c r="Y14" i="810"/>
  <c r="T27" i="810"/>
  <c r="U14" i="810"/>
  <c r="P27" i="810"/>
  <c r="Q14" i="810"/>
  <c r="L27" i="810"/>
  <c r="M14" i="810"/>
  <c r="H27" i="810"/>
  <c r="I14" i="810"/>
  <c r="D27" i="810"/>
  <c r="E14" i="810"/>
  <c r="Z27" i="810"/>
  <c r="AA14" i="810"/>
  <c r="V27" i="810"/>
  <c r="W14" i="810"/>
  <c r="R27" i="810"/>
  <c r="S14" i="810"/>
  <c r="N27" i="810"/>
  <c r="O14" i="810"/>
  <c r="J27" i="810"/>
  <c r="K14" i="810"/>
  <c r="F27" i="810"/>
  <c r="G14" i="810"/>
  <c r="AA14" i="809"/>
  <c r="Z27" i="809"/>
  <c r="K14" i="809"/>
  <c r="J27" i="809"/>
  <c r="W14" i="809"/>
  <c r="V27" i="809"/>
  <c r="G14" i="809"/>
  <c r="F27" i="809"/>
  <c r="R27" i="809"/>
  <c r="S14" i="809"/>
  <c r="O14" i="809"/>
  <c r="N27" i="809"/>
  <c r="E14" i="809"/>
  <c r="D27" i="809"/>
  <c r="I14" i="809"/>
  <c r="H27" i="809"/>
  <c r="M14" i="809"/>
  <c r="L27" i="809"/>
  <c r="Q14" i="809"/>
  <c r="P27" i="809"/>
  <c r="U14" i="809"/>
  <c r="T27" i="809"/>
  <c r="Y14" i="809"/>
  <c r="X27" i="809"/>
  <c r="R59" i="809" l="1"/>
  <c r="S59" i="809" s="1"/>
  <c r="S27" i="809"/>
  <c r="X59" i="809"/>
  <c r="Y59" i="809" s="1"/>
  <c r="Y27" i="809"/>
  <c r="N59" i="809"/>
  <c r="O59" i="809" s="1"/>
  <c r="O27" i="809"/>
  <c r="T59" i="809"/>
  <c r="U59" i="809" s="1"/>
  <c r="U27" i="809"/>
  <c r="J59" i="809"/>
  <c r="K59" i="809" s="1"/>
  <c r="K27" i="809"/>
  <c r="V59" i="809"/>
  <c r="W59" i="809" s="1"/>
  <c r="W27" i="809"/>
  <c r="P59" i="810"/>
  <c r="Q59" i="810" s="1"/>
  <c r="Q27" i="810"/>
  <c r="T59" i="810"/>
  <c r="U59" i="810" s="1"/>
  <c r="U27" i="810"/>
  <c r="L59" i="809"/>
  <c r="M59" i="809" s="1"/>
  <c r="M27" i="809"/>
  <c r="J59" i="810"/>
  <c r="K59" i="810" s="1"/>
  <c r="K27" i="810"/>
  <c r="R59" i="810"/>
  <c r="S59" i="810" s="1"/>
  <c r="S27" i="810"/>
  <c r="F59" i="809"/>
  <c r="G59" i="809" s="1"/>
  <c r="G27" i="809"/>
  <c r="Z59" i="809"/>
  <c r="AA59" i="809" s="1"/>
  <c r="AA27" i="809"/>
  <c r="N59" i="810"/>
  <c r="O59" i="810" s="1"/>
  <c r="O27" i="810"/>
  <c r="X59" i="810"/>
  <c r="Y59" i="810" s="1"/>
  <c r="Y27" i="810"/>
  <c r="V59" i="810"/>
  <c r="W59" i="810" s="1"/>
  <c r="W27" i="810"/>
  <c r="Z59" i="810"/>
  <c r="AA59" i="810" s="1"/>
  <c r="AA27" i="810"/>
  <c r="P59" i="809"/>
  <c r="Q59" i="809" s="1"/>
  <c r="Q27" i="809"/>
  <c r="D59" i="810"/>
  <c r="E59" i="810" s="1"/>
  <c r="E27" i="810"/>
  <c r="H59" i="810"/>
  <c r="I59" i="810" s="1"/>
  <c r="I27" i="810"/>
  <c r="H59" i="809"/>
  <c r="I59" i="809" s="1"/>
  <c r="I27" i="809"/>
  <c r="F59" i="810"/>
  <c r="G59" i="810" s="1"/>
  <c r="G27" i="810"/>
  <c r="L59" i="810"/>
  <c r="M59" i="810" s="1"/>
  <c r="M27" i="810"/>
  <c r="D59" i="809"/>
  <c r="E59" i="809" s="1"/>
  <c r="E27" i="809"/>
  <c r="AB27" i="810"/>
  <c r="AB27" i="809"/>
  <c r="AC14" i="810"/>
  <c r="AB59" i="809" l="1"/>
  <c r="AC59" i="809" s="1"/>
  <c r="AC27" i="809"/>
  <c r="AB59" i="810"/>
  <c r="AC59" i="810" s="1"/>
  <c r="AC27" i="810"/>
</calcChain>
</file>

<file path=xl/sharedStrings.xml><?xml version="1.0" encoding="utf-8"?>
<sst xmlns="http://schemas.openxmlformats.org/spreadsheetml/2006/main" count="17936" uniqueCount="135">
  <si>
    <t>Gross Profit</t>
  </si>
  <si>
    <t>Performance Report</t>
  </si>
  <si>
    <t>Please Don't delete any column</t>
  </si>
  <si>
    <t>Master Sheet Properties</t>
  </si>
  <si>
    <t>Master Sheet Range</t>
  </si>
  <si>
    <t>Profit Center Starting</t>
  </si>
  <si>
    <t>Sheet Name Cell</t>
  </si>
  <si>
    <t>Sl No</t>
  </si>
  <si>
    <t>PC Code</t>
  </si>
  <si>
    <t>PC Name</t>
  </si>
  <si>
    <t>Tab Color</t>
  </si>
  <si>
    <t>Tab Color Index</t>
  </si>
  <si>
    <t>Tab Color Index cell</t>
  </si>
  <si>
    <t>B1</t>
  </si>
  <si>
    <t>GL Code</t>
  </si>
  <si>
    <t>Report Dt</t>
  </si>
  <si>
    <t>Amount</t>
  </si>
  <si>
    <t>Zoom Factor</t>
  </si>
  <si>
    <t>Print Area</t>
  </si>
  <si>
    <t>Profit Center Ending</t>
  </si>
  <si>
    <t>Country Summary</t>
  </si>
  <si>
    <t>Serial number counter</t>
  </si>
  <si>
    <t>&lt;- do not change</t>
  </si>
  <si>
    <t>Permanent Sheets - should always be retained</t>
  </si>
  <si>
    <t>Master Sheet Name</t>
  </si>
  <si>
    <t>Client</t>
  </si>
  <si>
    <t>Unit</t>
  </si>
  <si>
    <t>D3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</si>
  <si>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</si>
  <si>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</si>
  <si>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</si>
  <si>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</si>
  <si>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</si>
  <si>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</si>
  <si>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</si>
  <si>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</si>
  <si>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</si>
  <si>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</si>
  <si>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</si>
  <si>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</si>
  <si>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TOTAL</t>
  </si>
  <si>
    <t>%</t>
  </si>
  <si>
    <t>-</t>
  </si>
  <si>
    <t>Total Net Revenue</t>
  </si>
  <si>
    <t>COST OF SALES</t>
  </si>
  <si>
    <t xml:space="preserve"> Total Cost of Sales</t>
  </si>
  <si>
    <t>OPERATING EXPENSE</t>
  </si>
  <si>
    <t>Postage and Mailing</t>
  </si>
  <si>
    <t>Depreciation</t>
  </si>
  <si>
    <t>=</t>
  </si>
  <si>
    <t>My Permanent Sheets</t>
  </si>
  <si>
    <t>Profit Center Master</t>
  </si>
  <si>
    <t>Data Sheet Actuals</t>
  </si>
  <si>
    <t>SUMMARY</t>
  </si>
  <si>
    <t>ParameterSheet</t>
  </si>
  <si>
    <t>Client / Head Office</t>
  </si>
  <si>
    <t>HO-CA</t>
  </si>
  <si>
    <t>HO-NY</t>
  </si>
  <si>
    <t>HO-TX</t>
  </si>
  <si>
    <t>HO-FL</t>
  </si>
  <si>
    <t>HO-IL</t>
  </si>
  <si>
    <t>BRN-90001</t>
  </si>
  <si>
    <t>BRN-94105</t>
  </si>
  <si>
    <t>BRN-92101</t>
  </si>
  <si>
    <t>BRN-10001</t>
  </si>
  <si>
    <t>BRN-11201</t>
  </si>
  <si>
    <t>BRN-14201</t>
  </si>
  <si>
    <t>BRN-13201</t>
  </si>
  <si>
    <t>BRN-77001</t>
  </si>
  <si>
    <t>BRN-75201</t>
  </si>
  <si>
    <t>BRN-33101</t>
  </si>
  <si>
    <t>BRN-32801</t>
  </si>
  <si>
    <t>BRN-32202</t>
  </si>
  <si>
    <t>BRN-60601</t>
  </si>
  <si>
    <t>BRN-62701</t>
  </si>
  <si>
    <t>BRN-95814</t>
  </si>
  <si>
    <t>BRN-10701</t>
  </si>
  <si>
    <t>BRN-78701</t>
  </si>
  <si>
    <t>BRN-33301</t>
  </si>
  <si>
    <t>Client/Head Office</t>
  </si>
  <si>
    <t>HO-California</t>
  </si>
  <si>
    <t>BRN-Los Angeles</t>
  </si>
  <si>
    <t>BRN-San Francisco</t>
  </si>
  <si>
    <t>BRN-San Diego</t>
  </si>
  <si>
    <t>BRN-Sacramento</t>
  </si>
  <si>
    <t>HO-New York</t>
  </si>
  <si>
    <t>BRN-New York City</t>
  </si>
  <si>
    <t>BRN-Brooklyn</t>
  </si>
  <si>
    <t>BRN-Buffalo</t>
  </si>
  <si>
    <t>BRN-Syracuse</t>
  </si>
  <si>
    <t>BRN-Yonkers</t>
  </si>
  <si>
    <t>HO-Texas</t>
  </si>
  <si>
    <t>BRN-Houston</t>
  </si>
  <si>
    <t>BRN-Dallas</t>
  </si>
  <si>
    <t>BRN-Austin</t>
  </si>
  <si>
    <t>HO-Florida</t>
  </si>
  <si>
    <t>BRN-Miami</t>
  </si>
  <si>
    <t>BRN-Orlando</t>
  </si>
  <si>
    <t>BRN-Jacksonville</t>
  </si>
  <si>
    <t>BRN-Fort Lauderdale</t>
  </si>
  <si>
    <t>HO-Illinois</t>
  </si>
  <si>
    <t>BRN-Chicago</t>
  </si>
  <si>
    <t>BRN-Springfield</t>
  </si>
  <si>
    <t>REVENUE</t>
  </si>
  <si>
    <t>Category A</t>
  </si>
  <si>
    <t>Category B</t>
  </si>
  <si>
    <t>Category C</t>
  </si>
  <si>
    <t>Category D</t>
  </si>
  <si>
    <t>Other Revenue</t>
  </si>
  <si>
    <t>Other Costs</t>
  </si>
  <si>
    <t>STAFF COST</t>
  </si>
  <si>
    <t>Salaries and Wages</t>
  </si>
  <si>
    <t>Staff Welfare Expenses</t>
  </si>
  <si>
    <t>Staff Incentive / Bonus</t>
  </si>
  <si>
    <t>Contribution to PF/ESI</t>
  </si>
  <si>
    <t>Total Staff Cost</t>
  </si>
  <si>
    <t>OVERHEAD</t>
  </si>
  <si>
    <t>Office Rent</t>
  </si>
  <si>
    <t>Travelling &amp; Conveyance</t>
  </si>
  <si>
    <t>Advertising and Promotion</t>
  </si>
  <si>
    <t>Legal &amp; Professional Fee</t>
  </si>
  <si>
    <t>Repairs &amp; Maintenance</t>
  </si>
  <si>
    <t>Printing &amp; Stationery</t>
  </si>
  <si>
    <t>Electricity &amp; Water</t>
  </si>
  <si>
    <t>Telephone &amp; Communication</t>
  </si>
  <si>
    <t>Rates &amp; Taxes</t>
  </si>
  <si>
    <t>Insurance Expenses</t>
  </si>
  <si>
    <t>Miscellaneous Overhead</t>
  </si>
  <si>
    <t>Total Overhead</t>
  </si>
  <si>
    <t>Net Profit</t>
  </si>
  <si>
    <t>Total Operating Expenses</t>
  </si>
  <si>
    <t>A1:AC63</t>
  </si>
  <si>
    <t>A:AC</t>
  </si>
  <si>
    <t>GL Transaction Summary</t>
  </si>
  <si>
    <t>Color index master for reference - do not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</si>
</sst>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,##0.00;\(#,###,##0.00\)"/>
    <numFmt numFmtId="165" formatCode="#,##0.00%"/>
  </numFmts>
  <fonts count="21"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sz val="11"/>
      <color indexed="8"/>
      <name val="Trebuchet MS"/>
      <family val="2"/>
    </font>
    <font>
      <sz val="11"/>
      <color theme="1"/>
      <name val="Trebuchet MS"/>
      <family val="2"/>
    </font>
    <font>
      <sz val="10"/>
      <name val="Arial"/>
      <family val="2"/>
    </font>
    <font>
      <b/>
      <sz val="16"/>
      <name val="Trebuchet MS"/>
      <family val="2"/>
    </font>
    <font>
      <b/>
      <u/>
      <sz val="16"/>
      <name val="Trebuchet MS"/>
      <family val="2"/>
    </font>
    <font>
      <sz val="12"/>
      <color rgb="FFFF0000"/>
      <name val="Tahoma"/>
      <family val="2"/>
    </font>
    <font>
      <sz val="11"/>
      <color theme="1"/>
      <name val="Tahoma"/>
      <family val="2"/>
    </font>
    <font>
      <b/>
      <sz val="14"/>
      <color rgb="FF993300"/>
      <name val="Calibri"/>
      <family val="2"/>
    </font>
    <font>
      <sz val="16"/>
      <color theme="1"/>
      <name val="Calibri"/>
      <family val="2"/>
      <scheme val="minor"/>
    </font>
    <font>
      <sz val="11"/>
      <color theme="0"/>
      <name val="Trebuchet MS"/>
      <family val="2"/>
    </font>
    <font>
      <sz val="10"/>
      <color indexed="0"/>
      <name val="Arial"/>
      <family val="2"/>
    </font>
    <font>
      <sz val="10"/>
      <color indexed="8"/>
      <name val="Arial"/>
      <family val="2"/>
    </font>
    <font>
      <b/>
      <sz val="16"/>
      <color theme="0"/>
      <name val="Trebuchet MS"/>
      <family val="2"/>
    </font>
    <font>
      <b/>
      <u/>
      <sz val="14"/>
      <name val="Trebuchet MS"/>
      <family val="2"/>
    </font>
    <font>
      <b/>
      <sz val="11"/>
      <color theme="1"/>
      <name val="Calibri"/>
      <family val="2"/>
      <scheme val="minor"/>
    </font>
    <font>
      <b/>
      <u/>
      <sz val="12"/>
      <name val="Trebuchet MS"/>
      <family val="2"/>
    </font>
    <font>
      <b/>
      <sz val="10"/>
      <color indexed="0"/>
      <name val="Arial"/>
      <family val="2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9" fontId="4" fillId="0" borderId="0" applyFont="0" applyFill="0" applyBorder="0" applyAlignment="0" applyProtection="0"/>
    <xf numFmtId="164" fontId="12" fillId="0" borderId="0"/>
    <xf numFmtId="0" fontId="12" fillId="0" borderId="0"/>
  </cellStyleXfs>
  <cellXfs count="122">
    <xf numFmtId="0" fontId="0" fillId="0" borderId="0" xfId="0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left"/>
    </xf>
    <xf numFmtId="0" fontId="8" fillId="3" borderId="0" xfId="0" applyFont="1" applyFill="1"/>
    <xf numFmtId="4" fontId="0" fillId="0" borderId="0" xfId="0" applyNumberFormat="1"/>
    <xf numFmtId="0" fontId="10" fillId="0" borderId="0" xfId="0" applyFont="1"/>
    <xf numFmtId="0" fontId="0" fillId="0" borderId="0" xfId="0" applyAlignment="1">
      <alignment horizontal="center"/>
    </xf>
    <xf numFmtId="0" fontId="0" fillId="12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1" xfId="0" applyFill="1" applyBorder="1"/>
    <xf numFmtId="0" fontId="0" fillId="10" borderId="1" xfId="0" applyFill="1" applyBorder="1"/>
    <xf numFmtId="0" fontId="8" fillId="4" borderId="1" xfId="0" applyFont="1" applyFill="1" applyBorder="1"/>
    <xf numFmtId="0" fontId="8" fillId="3" borderId="1" xfId="0" applyFont="1" applyFill="1" applyBorder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8" fillId="6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3" fillId="0" borderId="0" xfId="0" applyFont="1"/>
    <xf numFmtId="0" fontId="2" fillId="0" borderId="0" xfId="1" applyFont="1" applyAlignment="1">
      <alignment horizontal="right" vertical="center"/>
    </xf>
    <xf numFmtId="3" fontId="0" fillId="0" borderId="0" xfId="0" applyNumberFormat="1"/>
    <xf numFmtId="0" fontId="5" fillId="0" borderId="0" xfId="0" applyFont="1"/>
    <xf numFmtId="0" fontId="6" fillId="0" borderId="0" xfId="0" applyFont="1" applyAlignment="1">
      <alignment horizontal="left"/>
    </xf>
    <xf numFmtId="0" fontId="12" fillId="13" borderId="3" xfId="3" applyNumberFormat="1" applyFill="1" applyBorder="1" applyAlignment="1">
      <alignment horizontal="center"/>
    </xf>
    <xf numFmtId="0" fontId="12" fillId="13" borderId="4" xfId="3" applyNumberFormat="1" applyFill="1" applyBorder="1" applyAlignment="1">
      <alignment horizontal="center"/>
    </xf>
    <xf numFmtId="3" fontId="12" fillId="0" borderId="5" xfId="3" applyNumberFormat="1" applyBorder="1"/>
    <xf numFmtId="164" fontId="12" fillId="0" borderId="6" xfId="3" applyBorder="1"/>
    <xf numFmtId="10" fontId="12" fillId="0" borderId="6" xfId="3" applyNumberFormat="1" applyBorder="1"/>
    <xf numFmtId="165" fontId="12" fillId="0" borderId="6" xfId="3" applyNumberFormat="1" applyBorder="1"/>
    <xf numFmtId="3" fontId="12" fillId="0" borderId="5" xfId="3" applyNumberFormat="1" applyBorder="1" applyAlignment="1">
      <alignment horizontal="fill"/>
    </xf>
    <xf numFmtId="49" fontId="12" fillId="0" borderId="6" xfId="3" applyNumberFormat="1" applyBorder="1" applyAlignment="1">
      <alignment horizontal="fill"/>
    </xf>
    <xf numFmtId="3" fontId="13" fillId="0" borderId="5" xfId="0" applyNumberFormat="1" applyFont="1" applyBorder="1"/>
    <xf numFmtId="3" fontId="12" fillId="0" borderId="5" xfId="0" applyNumberFormat="1" applyFont="1" applyBorder="1"/>
    <xf numFmtId="3" fontId="4" fillId="0" borderId="5" xfId="0" applyNumberFormat="1" applyFont="1" applyBorder="1"/>
    <xf numFmtId="3" fontId="13" fillId="0" borderId="5" xfId="4" applyNumberFormat="1" applyFont="1" applyBorder="1"/>
    <xf numFmtId="3" fontId="12" fillId="0" borderId="3" xfId="3" applyNumberFormat="1" applyBorder="1"/>
    <xf numFmtId="164" fontId="12" fillId="0" borderId="4" xfId="3" applyBorder="1"/>
    <xf numFmtId="0" fontId="14" fillId="0" borderId="0" xfId="0" applyFont="1"/>
    <xf numFmtId="0" fontId="15" fillId="0" borderId="0" xfId="0" applyFont="1" applyAlignment="1">
      <alignment horizontal="left"/>
    </xf>
    <xf numFmtId="0" fontId="11" fillId="0" borderId="0" xfId="1" applyFont="1" applyAlignment="1">
      <alignment horizontal="right" vertical="center"/>
    </xf>
    <xf numFmtId="0" fontId="12" fillId="13" borderId="10" xfId="3" applyNumberFormat="1" applyFill="1" applyBorder="1" applyAlignment="1">
      <alignment horizontal="center"/>
    </xf>
    <xf numFmtId="3" fontId="12" fillId="0" borderId="0" xfId="3" applyNumberFormat="1" applyBorder="1"/>
    <xf numFmtId="3" fontId="12" fillId="0" borderId="0" xfId="3" applyNumberFormat="1" applyBorder="1" applyAlignment="1">
      <alignment horizontal="fill"/>
    </xf>
    <xf numFmtId="3" fontId="13" fillId="0" borderId="0" xfId="0" applyNumberFormat="1" applyFont="1" applyBorder="1"/>
    <xf numFmtId="3" fontId="12" fillId="0" borderId="0" xfId="0" applyNumberFormat="1" applyFont="1" applyBorder="1"/>
    <xf numFmtId="3" fontId="4" fillId="0" borderId="0" xfId="0" applyNumberFormat="1" applyFont="1" applyBorder="1"/>
    <xf numFmtId="3" fontId="13" fillId="0" borderId="0" xfId="4" applyNumberFormat="1" applyFont="1" applyBorder="1"/>
    <xf numFmtId="3" fontId="12" fillId="0" borderId="10" xfId="3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0" fontId="0" fillId="0" borderId="8" xfId="0" applyBorder="1"/>
    <xf numFmtId="0" fontId="16" fillId="0" borderId="7" xfId="0" applyFont="1" applyBorder="1" applyAlignment="1">
      <alignment horizontal="left"/>
    </xf>
    <xf numFmtId="0" fontId="12" fillId="13" borderId="2" xfId="3" applyNumberFormat="1" applyFill="1" applyBorder="1" applyAlignment="1">
      <alignment horizontal="center"/>
    </xf>
    <xf numFmtId="0" fontId="12" fillId="13" borderId="8" xfId="3" applyNumberFormat="1" applyFill="1" applyBorder="1" applyAlignment="1">
      <alignment horizontal="center"/>
    </xf>
    <xf numFmtId="49" fontId="12" fillId="13" borderId="2" xfId="3" applyNumberFormat="1" applyFill="1" applyBorder="1" applyAlignment="1">
      <alignment horizontal="center"/>
    </xf>
    <xf numFmtId="49" fontId="12" fillId="13" borderId="9" xfId="3" applyNumberFormat="1" applyFill="1" applyBorder="1" applyAlignment="1">
      <alignment horizontal="center"/>
    </xf>
    <xf numFmtId="0" fontId="17" fillId="0" borderId="0" xfId="0" applyFont="1" applyAlignment="1">
      <alignment horizontal="left"/>
    </xf>
    <xf numFmtId="0" fontId="0" fillId="0" borderId="7" xfId="0" applyBorder="1" applyAlignment="1">
      <alignment horizontal="left" indent="1"/>
    </xf>
    <xf numFmtId="3" fontId="18" fillId="0" borderId="0" xfId="3" applyNumberFormat="1" applyFont="1" applyBorder="1"/>
    <xf numFmtId="10" fontId="18" fillId="0" borderId="6" xfId="3" applyNumberFormat="1" applyFont="1" applyBorder="1"/>
    <xf numFmtId="0" fontId="20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1" xfId="0" applyBorder="1"/>
    <xf numFmtId="0" fontId="0" fillId="14" borderId="1" xfId="0" applyFill="1" applyBorder="1"/>
    <xf numFmtId="0" fontId="0" fillId="0" borderId="12" xfId="0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0" borderId="13" xfId="0" applyBorder="1"/>
    <xf numFmtId="0" fontId="0" fillId="63" borderId="1" xfId="0" applyFill="1" applyBorder="1"/>
  </cellXfs>
  <cellStyles count="5">
    <cellStyle name="FRxAmtStyle" xfId="3" xr:uid="{44E1DC21-37C1-40F7-B6C7-AA22AACB3F8D}"/>
    <cellStyle name="Normal" xfId="0" builtinId="0"/>
    <cellStyle name="Normal 11 2" xfId="4" xr:uid="{D1AEEE09-C564-4BCB-9E40-8A83B7A70F33}"/>
    <cellStyle name="Normal_Feuil2" xfId="1" xr:uid="{00000000-0005-0000-0000-000002000000}"/>
    <cellStyle name="Percent 2" xfId="2" xr:uid="{00000000-0005-0000-0000-000003000000}"/>
  </cellStyles>
  <dxfs count="2">
    <dxf>
      <numFmt numFmtId="4" formatCode="#,##0.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</xdr:row>
          <xdr:rowOff>177800</xdr:rowOff>
        </xdr:from>
        <xdr:to>
          <xdr:col>5</xdr:col>
          <xdr:colOff>1352550</xdr:colOff>
          <xdr:row>6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Generate Performance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184150</xdr:rowOff>
        </xdr:from>
        <xdr:to>
          <xdr:col>6</xdr:col>
          <xdr:colOff>1143000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Delete Sheets and 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8</xdr:row>
          <xdr:rowOff>705</xdr:rowOff>
        </xdr:from>
        <xdr:to>
          <xdr:col>6</xdr:col>
          <xdr:colOff>1150055</xdr:colOff>
          <xdr:row>10</xdr:row>
          <xdr:rowOff>162277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Copy to New Work book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E5634" totalsRowShown="0">
  <autoFilter ref="A2:E5634" xr:uid="{00000000-0009-0000-0100-000001000000}"/>
  <tableColumns count="5">
    <tableColumn id="1" xr3:uid="{00000000-0010-0000-0000-000001000000}" name="Report Dt"/>
    <tableColumn id="2" xr3:uid="{00000000-0010-0000-0000-000002000000}" name="PC Code" dataDxfId="1"/>
    <tableColumn id="3" xr3:uid="{00000000-0010-0000-0000-000003000000}" name="GL Code"/>
    <tableColumn id="4" xr3:uid="{00000000-0010-0000-0000-000004000000}" name="Amount" dataDxfId="0"/>
    <tableColumn id="5" xr3:uid="{A04C8F6D-067C-4377-A43B-10935EFDA968}" name="Client/Head Offi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152"/>
  <sheetViews>
    <sheetView tabSelected="1" zoomScale="90" zoomScaleNormal="90" workbookViewId="0">
      <selection activeCell="D19" sqref="D19"/>
    </sheetView>
  </sheetViews>
  <sheetFormatPr defaultRowHeight="14.5"/>
  <cols>
    <col min="1" max="1" width="4.54296875" customWidth="1"/>
    <col min="2" max="2" width="37.453125" customWidth="1"/>
    <col min="3" max="3" width="16.81640625" customWidth="1"/>
    <col min="4" max="4" width="26.6328125" customWidth="1"/>
    <col min="6" max="6" width="21.7265625" customWidth="1"/>
    <col min="7" max="7" width="18.90625" customWidth="1"/>
  </cols>
  <sheetData>
    <row r="1" spans="2:7" ht="15.5">
      <c r="B1" s="1" t="s">
        <v>2</v>
      </c>
      <c r="C1" s="2"/>
      <c r="D1" s="2"/>
    </row>
    <row r="2" spans="2:7">
      <c r="B2" s="8"/>
      <c r="C2" s="8"/>
      <c r="D2" s="2"/>
      <c r="F2" s="6"/>
      <c r="G2" s="7"/>
    </row>
    <row r="3" spans="2:7">
      <c r="B3" s="2" t="s">
        <v>3</v>
      </c>
      <c r="C3" s="2"/>
      <c r="D3" s="2"/>
      <c r="F3" s="6"/>
      <c r="G3" s="6"/>
    </row>
    <row r="4" spans="2:7">
      <c r="B4" s="4" t="s">
        <v>4</v>
      </c>
      <c r="C4" s="22" t="s">
        <v>132</v>
      </c>
      <c r="D4" s="2"/>
      <c r="F4" s="6"/>
      <c r="G4" s="6"/>
    </row>
    <row r="5" spans="2:7">
      <c r="B5" s="4" t="s">
        <v>5</v>
      </c>
      <c r="C5" s="22">
        <v>1</v>
      </c>
      <c r="D5" s="2" t="str">
        <f>VLOOKUP(C5,'Profit Center Master'!A:D,4,0)</f>
        <v>SUMMARY</v>
      </c>
      <c r="F5" s="6"/>
      <c r="G5" s="6"/>
    </row>
    <row r="6" spans="2:7">
      <c r="B6" s="4" t="s">
        <v>19</v>
      </c>
      <c r="C6" s="22">
        <v>24</v>
      </c>
      <c r="D6" s="3" t="str">
        <f>VLOOKUP(C6,'Profit Center Master'!A:D,4,0)</f>
        <v>BRN-Springfield</v>
      </c>
      <c r="F6" s="6"/>
      <c r="G6" s="6"/>
    </row>
    <row r="7" spans="2:7">
      <c r="B7" s="4" t="s">
        <v>6</v>
      </c>
      <c r="C7" s="22" t="s">
        <v>27</v>
      </c>
      <c r="D7" s="2"/>
      <c r="F7" s="6"/>
      <c r="G7" s="6"/>
    </row>
    <row r="8" spans="2:7">
      <c r="B8" s="4" t="s">
        <v>12</v>
      </c>
      <c r="C8" s="22" t="s">
        <v>13</v>
      </c>
      <c r="D8" s="2"/>
      <c r="F8" s="6"/>
      <c r="G8" s="6"/>
    </row>
    <row r="9" spans="2:7">
      <c r="B9" s="4" t="s">
        <v>17</v>
      </c>
      <c r="C9" s="22">
        <v>80</v>
      </c>
      <c r="D9" s="2"/>
      <c r="F9" s="6"/>
      <c r="G9" s="6"/>
    </row>
    <row r="10" spans="2:7">
      <c r="B10" s="4" t="s">
        <v>18</v>
      </c>
      <c r="C10" s="22" t="s">
        <v>131</v>
      </c>
      <c r="D10" s="2"/>
      <c r="F10" s="6"/>
      <c r="G10" s="6"/>
    </row>
    <row r="11" spans="2:7">
      <c r="B11" s="4" t="s">
        <v>21</v>
      </c>
      <c r="C11" s="23">
        <v>24</v>
      </c>
      <c r="D11" s="2" t="s">
        <v>22</v>
      </c>
      <c r="F11" s="6"/>
      <c r="G11" s="6"/>
    </row>
    <row r="12" spans="2:7">
      <c r="B12" s="4" t="s">
        <v>24</v>
      </c>
      <c r="C12" s="23" t="str">
        <f>VLOOKUP(C11,'Profit Center Master'!A:B,2,0)</f>
        <v>Unit</v>
      </c>
      <c r="D12" s="2" t="s">
        <v>22</v>
      </c>
      <c r="F12" s="6"/>
      <c r="G12" s="6"/>
    </row>
    <row r="13" spans="2:7">
      <c r="B13" s="4"/>
      <c r="C13" s="3"/>
      <c r="D13" s="2"/>
    </row>
    <row r="14" spans="2:7">
      <c r="B14" s="2"/>
      <c r="C14" s="3"/>
      <c r="D14" s="2"/>
    </row>
    <row r="15" spans="2:7">
      <c r="D15" s="2"/>
    </row>
    <row r="16" spans="2:7">
      <c r="D16" s="2"/>
    </row>
    <row r="17" spans="4:4">
      <c r="D17" s="2"/>
    </row>
    <row r="18" spans="4:4">
      <c r="D18" s="2"/>
    </row>
    <row r="19" spans="4:4">
      <c r="D19" s="2"/>
    </row>
    <row r="20" spans="4:4">
      <c r="D20" s="2"/>
    </row>
    <row r="21" spans="4:4">
      <c r="D21" s="2"/>
    </row>
    <row r="22" spans="4:4">
      <c r="D22" s="2"/>
    </row>
    <row r="23" spans="4:4">
      <c r="D23" s="2"/>
    </row>
    <row r="24" spans="4:4">
      <c r="D24" s="2"/>
    </row>
    <row r="25" spans="4:4">
      <c r="D25" s="2"/>
    </row>
    <row r="26" spans="4:4">
      <c r="D26" s="2"/>
    </row>
    <row r="27" spans="4:4">
      <c r="D27" s="2"/>
    </row>
    <row r="28" spans="4:4">
      <c r="D28" s="2"/>
    </row>
    <row r="29" spans="4:4">
      <c r="D29" s="2"/>
    </row>
    <row r="30" spans="4:4">
      <c r="D30" s="2"/>
    </row>
    <row r="31" spans="4:4">
      <c r="D31" s="2"/>
    </row>
    <row r="32" spans="4:4">
      <c r="D32" s="2"/>
    </row>
    <row r="33" spans="2:4">
      <c r="B33" s="2"/>
      <c r="C33" s="2"/>
      <c r="D33" s="2"/>
    </row>
    <row r="34" spans="2:4">
      <c r="B34" s="2"/>
      <c r="C34" s="2"/>
      <c r="D34" s="2"/>
    </row>
    <row r="35" spans="2:4">
      <c r="B35" s="2"/>
      <c r="C35" s="2"/>
      <c r="D35" s="2"/>
    </row>
    <row r="36" spans="2:4">
      <c r="B36" s="2"/>
      <c r="C36" s="2"/>
      <c r="D36" s="2"/>
    </row>
    <row r="37" spans="2:4">
      <c r="B37" s="2"/>
      <c r="C37" s="2"/>
      <c r="D37" s="2"/>
    </row>
    <row r="38" spans="2:4">
      <c r="B38" s="2"/>
      <c r="C38" s="2"/>
      <c r="D38" s="2"/>
    </row>
    <row r="39" spans="2:4">
      <c r="B39" s="2"/>
      <c r="C39" s="2"/>
      <c r="D39" s="2"/>
    </row>
    <row r="40" spans="2:4">
      <c r="B40" s="2"/>
      <c r="C40" s="2"/>
      <c r="D40" s="2"/>
    </row>
    <row r="41" spans="2:4">
      <c r="B41" s="2"/>
      <c r="C41" s="2"/>
      <c r="D41" s="2"/>
    </row>
    <row r="42" spans="2:4">
      <c r="B42" s="2"/>
      <c r="C42" s="2"/>
      <c r="D42" s="2"/>
    </row>
    <row r="43" spans="2:4">
      <c r="B43" s="2"/>
      <c r="C43" s="2"/>
      <c r="D43" s="2"/>
    </row>
    <row r="44" spans="2:4">
      <c r="B44" s="2"/>
      <c r="C44" s="2"/>
      <c r="D44" s="2"/>
    </row>
    <row r="45" spans="2:4">
      <c r="B45" s="2"/>
      <c r="C45" s="2"/>
      <c r="D45" s="2"/>
    </row>
    <row r="46" spans="2:4">
      <c r="B46" s="2"/>
      <c r="C46" s="2"/>
      <c r="D46" s="2"/>
    </row>
    <row r="47" spans="2:4">
      <c r="B47" s="2"/>
      <c r="C47" s="2"/>
      <c r="D47" s="2"/>
    </row>
    <row r="48" spans="2:4">
      <c r="B48" s="2"/>
      <c r="C48" s="2"/>
      <c r="D48" s="2"/>
    </row>
    <row r="49" spans="2:4">
      <c r="B49" s="2"/>
      <c r="C49" s="2"/>
      <c r="D49" s="2"/>
    </row>
    <row r="50" spans="2:4">
      <c r="B50" s="2"/>
      <c r="C50" s="2"/>
      <c r="D50" s="2"/>
    </row>
    <row r="51" spans="2:4">
      <c r="B51" s="2"/>
      <c r="C51" s="2"/>
      <c r="D51" s="2"/>
    </row>
    <row r="52" spans="2:4">
      <c r="B52" s="2"/>
      <c r="C52" s="2"/>
      <c r="D52" s="2"/>
    </row>
    <row r="53" spans="2:4">
      <c r="B53" s="2"/>
      <c r="C53" s="2"/>
      <c r="D53" s="2"/>
    </row>
    <row r="54" spans="2:4">
      <c r="B54" s="2"/>
      <c r="C54" s="2"/>
      <c r="D54" s="2"/>
    </row>
    <row r="55" spans="2:4">
      <c r="B55" s="2"/>
      <c r="C55" s="2"/>
      <c r="D55" s="2"/>
    </row>
    <row r="56" spans="2:4">
      <c r="B56" s="2"/>
      <c r="C56" s="2"/>
      <c r="D56" s="2"/>
    </row>
    <row r="57" spans="2:4">
      <c r="B57" s="2"/>
      <c r="C57" s="2"/>
      <c r="D57" s="2"/>
    </row>
    <row r="58" spans="2:4">
      <c r="B58" s="2"/>
      <c r="C58" s="2"/>
      <c r="D58" s="2"/>
    </row>
    <row r="59" spans="2:4">
      <c r="B59" s="2"/>
      <c r="C59" s="2"/>
      <c r="D59" s="2"/>
    </row>
    <row r="60" spans="2:4">
      <c r="B60" s="2"/>
      <c r="C60" s="2"/>
      <c r="D60" s="2"/>
    </row>
    <row r="61" spans="2:4">
      <c r="B61" s="2"/>
      <c r="C61" s="2"/>
      <c r="D61" s="2"/>
    </row>
    <row r="62" spans="2:4">
      <c r="B62" s="2"/>
      <c r="C62" s="2"/>
      <c r="D62" s="2"/>
    </row>
    <row r="63" spans="2:4">
      <c r="B63" s="2"/>
      <c r="C63" s="2"/>
      <c r="D63" s="2"/>
    </row>
    <row r="64" spans="2:4">
      <c r="B64" s="2"/>
      <c r="C64" s="2"/>
      <c r="D64" s="2"/>
    </row>
    <row r="65" spans="2:4">
      <c r="B65" s="2"/>
      <c r="C65" s="2"/>
      <c r="D65" s="2"/>
    </row>
    <row r="66" spans="2:4">
      <c r="B66" s="2"/>
      <c r="C66" s="2"/>
      <c r="D66" s="2"/>
    </row>
    <row r="67" spans="2:4">
      <c r="B67" s="2"/>
      <c r="C67" s="2"/>
      <c r="D67" s="2"/>
    </row>
    <row r="68" spans="2:4">
      <c r="B68" s="2"/>
      <c r="C68" s="2"/>
      <c r="D68" s="2"/>
    </row>
    <row r="69" spans="2:4">
      <c r="B69" s="2"/>
      <c r="C69" s="2"/>
      <c r="D69" s="2"/>
    </row>
    <row r="70" spans="2:4">
      <c r="B70" s="2"/>
      <c r="C70" s="2"/>
      <c r="D70" s="2"/>
    </row>
    <row r="71" spans="2:4">
      <c r="B71" s="2"/>
      <c r="C71" s="2"/>
      <c r="D71" s="2"/>
    </row>
    <row r="72" spans="2:4">
      <c r="B72" s="2"/>
      <c r="C72" s="2"/>
      <c r="D72" s="2"/>
    </row>
    <row r="73" spans="2:4">
      <c r="B73" s="2"/>
      <c r="C73" s="2"/>
      <c r="D73" s="2"/>
    </row>
    <row r="74" spans="2:4">
      <c r="B74" s="2"/>
      <c r="C74" s="2"/>
      <c r="D74" s="2"/>
    </row>
    <row r="75" spans="2:4">
      <c r="B75" s="2"/>
      <c r="C75" s="2"/>
      <c r="D75" s="2"/>
    </row>
    <row r="76" spans="2:4">
      <c r="B76" s="2"/>
      <c r="C76" s="2"/>
      <c r="D76" s="2"/>
    </row>
    <row r="77" spans="2:4">
      <c r="B77" s="2"/>
      <c r="C77" s="2"/>
      <c r="D77" s="2"/>
    </row>
    <row r="78" spans="2:4">
      <c r="B78" s="2"/>
      <c r="C78" s="2"/>
      <c r="D78" s="2"/>
    </row>
    <row r="79" spans="2:4">
      <c r="B79" s="2"/>
      <c r="C79" s="2"/>
      <c r="D79" s="2"/>
    </row>
    <row r="80" spans="2:4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  <row r="90" spans="2:4">
      <c r="B90" s="2"/>
      <c r="C90" s="2"/>
      <c r="D90" s="2"/>
    </row>
    <row r="91" spans="2:4">
      <c r="B91" s="2"/>
      <c r="C91" s="2"/>
      <c r="D91" s="2"/>
    </row>
    <row r="92" spans="2:4">
      <c r="B92" s="2"/>
      <c r="C92" s="2"/>
      <c r="D92" s="2"/>
    </row>
    <row r="93" spans="2:4">
      <c r="B93" s="2"/>
      <c r="C93" s="2"/>
      <c r="D93" s="2"/>
    </row>
    <row r="94" spans="2:4">
      <c r="B94" s="2"/>
      <c r="C94" s="2"/>
      <c r="D94" s="2"/>
    </row>
    <row r="95" spans="2:4">
      <c r="B95" s="2"/>
      <c r="C95" s="2"/>
      <c r="D95" s="2"/>
    </row>
    <row r="96" spans="2:4">
      <c r="B96" s="2"/>
      <c r="C96" s="2"/>
      <c r="D96" s="2"/>
    </row>
    <row r="97" spans="2:4">
      <c r="B97" s="2"/>
      <c r="C97" s="2"/>
      <c r="D97" s="2"/>
    </row>
    <row r="98" spans="2:4">
      <c r="B98" s="2"/>
      <c r="C98" s="2"/>
      <c r="D98" s="2"/>
    </row>
    <row r="99" spans="2:4">
      <c r="B99" s="2"/>
      <c r="C99" s="2"/>
      <c r="D99" s="2"/>
    </row>
    <row r="100" spans="2:4">
      <c r="B100" s="2"/>
      <c r="C100" s="2"/>
      <c r="D100" s="2"/>
    </row>
    <row r="101" spans="2:4">
      <c r="B101" s="2"/>
      <c r="C101" s="2"/>
      <c r="D101" s="2"/>
    </row>
    <row r="102" spans="2:4">
      <c r="B102" s="2"/>
      <c r="C102" s="2"/>
      <c r="D102" s="2"/>
    </row>
    <row r="103" spans="2:4">
      <c r="B103" s="2"/>
      <c r="C103" s="2"/>
      <c r="D103" s="2"/>
    </row>
    <row r="104" spans="2:4">
      <c r="B104" s="2"/>
      <c r="C104" s="2"/>
      <c r="D104" s="2"/>
    </row>
    <row r="105" spans="2:4">
      <c r="B105" s="2"/>
      <c r="C105" s="2"/>
      <c r="D105" s="2"/>
    </row>
    <row r="106" spans="2:4">
      <c r="B106" s="2"/>
      <c r="C106" s="2"/>
      <c r="D106" s="2"/>
    </row>
    <row r="107" spans="2:4">
      <c r="B107" s="2"/>
      <c r="C107" s="2"/>
      <c r="D107" s="2"/>
    </row>
    <row r="108" spans="2:4">
      <c r="B108" s="2"/>
      <c r="C108" s="2"/>
      <c r="D108" s="2"/>
    </row>
    <row r="109" spans="2:4">
      <c r="B109" s="2"/>
      <c r="C109" s="2"/>
      <c r="D109" s="2"/>
    </row>
    <row r="110" spans="2:4">
      <c r="B110" s="2"/>
      <c r="C110" s="2"/>
      <c r="D110" s="2"/>
    </row>
    <row r="111" spans="2:4">
      <c r="B111" s="2"/>
      <c r="C111" s="2"/>
      <c r="D111" s="2"/>
    </row>
    <row r="112" spans="2:4">
      <c r="B112" s="2"/>
      <c r="C112" s="2"/>
      <c r="D112" s="2"/>
    </row>
    <row r="113" spans="2:4">
      <c r="B113" s="2"/>
      <c r="C113" s="2"/>
      <c r="D113" s="2"/>
    </row>
    <row r="114" spans="2:4">
      <c r="B114" s="2"/>
      <c r="C114" s="2"/>
      <c r="D114" s="2"/>
    </row>
    <row r="115" spans="2:4">
      <c r="B115" s="2"/>
      <c r="C115" s="2"/>
      <c r="D115" s="2"/>
    </row>
    <row r="116" spans="2:4">
      <c r="B116" s="2"/>
      <c r="C116" s="2"/>
      <c r="D116" s="2"/>
    </row>
    <row r="117" spans="2:4">
      <c r="B117" s="2"/>
      <c r="C117" s="2"/>
      <c r="D117" s="2"/>
    </row>
    <row r="118" spans="2:4">
      <c r="B118" s="2"/>
      <c r="C118" s="2"/>
      <c r="D118" s="2"/>
    </row>
    <row r="119" spans="2:4">
      <c r="B119" s="2"/>
      <c r="C119" s="2"/>
      <c r="D119" s="2"/>
    </row>
    <row r="120" spans="2:4">
      <c r="B120" s="2"/>
      <c r="C120" s="2"/>
      <c r="D120" s="2"/>
    </row>
    <row r="121" spans="2:4">
      <c r="B121" s="2"/>
      <c r="C121" s="2"/>
      <c r="D121" s="2"/>
    </row>
    <row r="122" spans="2:4">
      <c r="B122" s="2"/>
      <c r="C122" s="2"/>
      <c r="D122" s="2"/>
    </row>
    <row r="123" spans="2:4">
      <c r="B123" s="2"/>
      <c r="C123" s="2"/>
      <c r="D123" s="2"/>
    </row>
    <row r="124" spans="2:4">
      <c r="B124" s="2"/>
      <c r="C124" s="2"/>
      <c r="D124" s="2"/>
    </row>
    <row r="125" spans="2:4">
      <c r="B125" s="2"/>
      <c r="C125" s="2"/>
      <c r="D125" s="2"/>
    </row>
    <row r="126" spans="2:4">
      <c r="B126" s="2"/>
      <c r="C126" s="2"/>
      <c r="D126" s="2"/>
    </row>
    <row r="127" spans="2:4">
      <c r="B127" s="2"/>
      <c r="C127" s="2"/>
      <c r="D127" s="2"/>
    </row>
    <row r="128" spans="2:4">
      <c r="B128" s="2"/>
      <c r="C128" s="2"/>
      <c r="D128" s="2"/>
    </row>
    <row r="129" spans="2:4">
      <c r="B129" s="2"/>
      <c r="C129" s="2"/>
      <c r="D129" s="2"/>
    </row>
    <row r="130" spans="2:4">
      <c r="B130" s="2"/>
      <c r="C130" s="2"/>
      <c r="D130" s="2"/>
    </row>
    <row r="131" spans="2:4">
      <c r="B131" s="2"/>
      <c r="C131" s="2"/>
      <c r="D131" s="2"/>
    </row>
    <row r="132" spans="2:4">
      <c r="B132" s="2"/>
      <c r="C132" s="2"/>
      <c r="D132" s="2"/>
    </row>
    <row r="133" spans="2:4">
      <c r="B133" s="2"/>
      <c r="C133" s="2"/>
      <c r="D133" s="2"/>
    </row>
    <row r="134" spans="2:4">
      <c r="B134" s="2"/>
      <c r="C134" s="2"/>
      <c r="D134" s="2"/>
    </row>
    <row r="135" spans="2:4">
      <c r="B135" s="2"/>
      <c r="C135" s="2"/>
      <c r="D135" s="2"/>
    </row>
    <row r="136" spans="2:4">
      <c r="B136" s="2"/>
      <c r="C136" s="2"/>
      <c r="D136" s="2"/>
    </row>
    <row r="137" spans="2:4">
      <c r="B137" s="2"/>
      <c r="C137" s="2"/>
      <c r="D137" s="2"/>
    </row>
    <row r="138" spans="2:4">
      <c r="B138" s="2"/>
      <c r="C138" s="2"/>
      <c r="D138" s="2"/>
    </row>
    <row r="139" spans="2:4">
      <c r="B139" s="2"/>
      <c r="C139" s="2"/>
      <c r="D139" s="2"/>
    </row>
    <row r="140" spans="2:4">
      <c r="B140" s="2"/>
      <c r="C140" s="2"/>
      <c r="D140" s="2"/>
    </row>
    <row r="141" spans="2:4">
      <c r="B141" s="2"/>
      <c r="C141" s="2"/>
      <c r="D141" s="2"/>
    </row>
    <row r="142" spans="2:4">
      <c r="B142" s="2"/>
      <c r="C142" s="2"/>
      <c r="D142" s="2"/>
    </row>
    <row r="143" spans="2:4">
      <c r="B143" s="2"/>
      <c r="C143" s="2"/>
      <c r="D143" s="2"/>
    </row>
    <row r="144" spans="2:4">
      <c r="B144" s="2"/>
      <c r="C144" s="2"/>
      <c r="D144" s="2"/>
    </row>
    <row r="145" spans="2:4">
      <c r="B145" s="2"/>
      <c r="C145" s="2"/>
      <c r="D145" s="2"/>
    </row>
    <row r="146" spans="2:4">
      <c r="B146" s="2"/>
      <c r="C146" s="2"/>
      <c r="D146" s="2"/>
    </row>
    <row r="147" spans="2:4">
      <c r="B147" s="2"/>
      <c r="C147" s="2"/>
      <c r="D147" s="2"/>
    </row>
    <row r="148" spans="2:4">
      <c r="B148" s="2"/>
      <c r="C148" s="2"/>
      <c r="D148" s="2"/>
    </row>
    <row r="149" spans="2:4">
      <c r="B149" s="2"/>
      <c r="C149" s="2"/>
      <c r="D149" s="2"/>
    </row>
    <row r="150" spans="2:4">
      <c r="B150" s="2"/>
      <c r="C150" s="2"/>
      <c r="D150" s="2"/>
    </row>
    <row r="151" spans="2:4">
      <c r="B151" s="2"/>
      <c r="C151" s="2"/>
      <c r="D151" s="2"/>
    </row>
    <row r="152" spans="2:4">
      <c r="B152" s="2"/>
      <c r="C152" s="2"/>
      <c r="D152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erformanceReports">
                <anchor moveWithCells="1" sizeWithCells="1">
                  <from>
                    <xdr:col>5</xdr:col>
                    <xdr:colOff>209550</xdr:colOff>
                    <xdr:row>1</xdr:row>
                    <xdr:rowOff>177800</xdr:rowOff>
                  </from>
                  <to>
                    <xdr:col>5</xdr:col>
                    <xdr:colOff>1352550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ExcelSheets">
                <anchor moveWithCells="1" sizeWithCells="1">
                  <from>
                    <xdr:col>6</xdr:col>
                    <xdr:colOff>0</xdr:colOff>
                    <xdr:row>1</xdr:row>
                    <xdr:rowOff>184150</xdr:rowOff>
                  </from>
                  <to>
                    <xdr:col>6</xdr:col>
                    <xdr:colOff>1143000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opyvisiblesheetstoNewWorksheet">
                <anchor moveWithCells="1" sizeWithCells="1">
                  <from>
                    <xdr:col>5</xdr:col>
                    <xdr:colOff>209550</xdr:colOff>
                    <xdr:row>8</xdr:row>
                    <xdr:rowOff>0</xdr:rowOff>
                  </from>
                  <to>
                    <xdr:col>6</xdr:col>
                    <xdr:colOff>1149350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9"/>
  <sheetViews>
    <sheetView zoomScale="110" zoomScaleNormal="110" workbookViewId="0"/>
  </sheetViews>
  <sheetFormatPr defaultRowHeight="14.5"/>
  <cols>
    <col min="1" max="1" width="44.54296875" customWidth="1"/>
    <col min="2" max="2" width="23.08984375" customWidth="1"/>
  </cols>
  <sheetData>
    <row r="1" spans="1:2" ht="15.5">
      <c r="A1" s="1" t="s">
        <v>2</v>
      </c>
      <c r="B1" s="2"/>
    </row>
    <row r="2" spans="1:2">
      <c r="A2" s="19" t="s">
        <v>23</v>
      </c>
    </row>
    <row r="3" spans="1:2">
      <c r="A3" s="21" t="s">
        <v>54</v>
      </c>
    </row>
    <row r="4" spans="1:2">
      <c r="A4" s="21" t="s">
        <v>50</v>
      </c>
    </row>
    <row r="5" spans="1:2">
      <c r="A5" s="21" t="s">
        <v>51</v>
      </c>
    </row>
    <row r="6" spans="1:2">
      <c r="A6" s="21" t="s">
        <v>52</v>
      </c>
    </row>
    <row r="7" spans="1:2">
      <c r="A7" s="21" t="s">
        <v>20</v>
      </c>
    </row>
    <row r="8" spans="1:2">
      <c r="A8" s="21" t="s">
        <v>25</v>
      </c>
    </row>
    <row r="9" spans="1:2">
      <c r="A9" s="21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146"/>
  <sheetViews>
    <sheetView topLeftCell="A9" zoomScale="80" zoomScaleNormal="80" workbookViewId="0">
      <selection activeCell="A24" sqref="A24"/>
    </sheetView>
  </sheetViews>
  <sheetFormatPr defaultRowHeight="14.5"/>
  <cols>
    <col min="1" max="1" width="8.26953125" customWidth="1"/>
    <col min="2" max="2" width="21.6328125" customWidth="1"/>
    <col min="3" max="3" width="20" customWidth="1"/>
    <col min="4" max="4" width="38.6328125" customWidth="1"/>
    <col min="5" max="5" width="23.1796875" customWidth="1"/>
    <col min="6" max="6" width="14" customWidth="1"/>
    <col min="7" max="7" width="15.36328125" customWidth="1"/>
    <col min="11" max="11" width="8.7265625" style="11"/>
    <col min="13" max="13" width="1.6328125" customWidth="1"/>
    <col min="14" max="14" width="8.7265625" style="11"/>
    <col min="16" max="16" width="1.6328125" customWidth="1"/>
    <col min="17" max="17" width="8.7265625" style="11"/>
  </cols>
  <sheetData>
    <row r="1" spans="1:18" ht="18.5">
      <c r="A1" s="1" t="s">
        <v>2</v>
      </c>
      <c r="B1" s="2"/>
      <c r="C1" s="2"/>
      <c r="D1" s="2"/>
      <c r="E1" s="2"/>
      <c r="F1" s="2"/>
      <c r="G1" s="1"/>
      <c r="H1" s="2"/>
      <c r="I1" s="2"/>
      <c r="J1" s="2"/>
      <c r="K1" s="66" t="s">
        <v>134</v>
      </c>
    </row>
    <row r="2" spans="1:18">
      <c r="A2" s="19" t="s">
        <v>7</v>
      </c>
      <c r="B2" s="19" t="s">
        <v>24</v>
      </c>
      <c r="C2" s="19" t="s">
        <v>8</v>
      </c>
      <c r="D2" s="19" t="s">
        <v>9</v>
      </c>
      <c r="E2" s="19" t="s">
        <v>55</v>
      </c>
      <c r="F2" s="19" t="s">
        <v>10</v>
      </c>
      <c r="G2" s="19" t="s">
        <v>11</v>
      </c>
      <c r="H2" s="2"/>
      <c r="I2" s="2"/>
      <c r="J2" s="2"/>
      <c r="K2" s="67"/>
      <c r="L2" s="68"/>
      <c r="M2" s="69"/>
      <c r="N2" s="67"/>
      <c r="O2" s="68"/>
      <c r="P2" s="69"/>
      <c r="Q2" s="67"/>
      <c r="R2" s="68"/>
    </row>
    <row r="3" spans="1:18">
      <c r="A3" s="5">
        <v>1</v>
      </c>
      <c r="B3" s="2" t="s">
        <v>20</v>
      </c>
      <c r="C3" s="2" t="s">
        <v>53</v>
      </c>
      <c r="D3" s="2" t="s">
        <v>53</v>
      </c>
      <c r="E3" s="2" t="s">
        <v>53</v>
      </c>
      <c r="F3" s="14"/>
      <c r="G3" s="20">
        <f t="shared" ref="G3:G26" ca="1" si="0">GetColor(F3)</f>
        <v>6</v>
      </c>
      <c r="H3" s="2"/>
      <c r="I3" s="2"/>
      <c r="J3" s="2"/>
      <c r="K3" s="67">
        <v>1</v>
      </c>
      <c r="L3" s="70"/>
      <c r="M3" s="71"/>
      <c r="N3" s="67">
        <v>21</v>
      </c>
      <c r="O3" s="72"/>
      <c r="P3" s="71"/>
      <c r="Q3" s="67">
        <v>41</v>
      </c>
      <c r="R3" s="12"/>
    </row>
    <row r="4" spans="1:18">
      <c r="A4" s="5">
        <v>2</v>
      </c>
      <c r="B4" s="2" t="s">
        <v>25</v>
      </c>
      <c r="C4" s="2" t="s">
        <v>56</v>
      </c>
      <c r="D4" s="2" t="s">
        <v>80</v>
      </c>
      <c r="E4" s="2" t="s">
        <v>56</v>
      </c>
      <c r="F4" s="16"/>
      <c r="G4" s="20">
        <f ca="1">GetColor(F4)</f>
        <v>29</v>
      </c>
      <c r="H4" s="2"/>
      <c r="I4" s="2"/>
      <c r="J4" s="2"/>
      <c r="K4" s="67">
        <v>2</v>
      </c>
      <c r="L4" s="73"/>
      <c r="M4" s="71"/>
      <c r="N4" s="67">
        <v>22</v>
      </c>
      <c r="O4" s="74"/>
      <c r="P4" s="71"/>
      <c r="Q4" s="67">
        <v>42</v>
      </c>
      <c r="R4" s="75"/>
    </row>
    <row r="5" spans="1:18">
      <c r="A5" s="5">
        <v>3</v>
      </c>
      <c r="B5" s="2" t="s">
        <v>26</v>
      </c>
      <c r="C5" s="2" t="s">
        <v>61</v>
      </c>
      <c r="D5" s="2" t="s">
        <v>81</v>
      </c>
      <c r="E5" s="2" t="s">
        <v>56</v>
      </c>
      <c r="F5" s="16"/>
      <c r="G5" s="20">
        <f t="shared" ca="1" si="0"/>
        <v>29</v>
      </c>
      <c r="H5" s="2"/>
      <c r="I5" s="2"/>
      <c r="J5" s="2"/>
      <c r="K5" s="67">
        <v>3</v>
      </c>
      <c r="L5" s="13"/>
      <c r="M5" s="71"/>
      <c r="N5" s="67">
        <v>23</v>
      </c>
      <c r="O5" s="76"/>
      <c r="P5" s="71"/>
      <c r="Q5" s="67">
        <v>43</v>
      </c>
      <c r="R5" s="77"/>
    </row>
    <row r="6" spans="1:18">
      <c r="A6" s="5">
        <v>4</v>
      </c>
      <c r="B6" s="2" t="s">
        <v>26</v>
      </c>
      <c r="C6" s="2" t="s">
        <v>62</v>
      </c>
      <c r="D6" s="2" t="s">
        <v>82</v>
      </c>
      <c r="E6" s="2" t="s">
        <v>56</v>
      </c>
      <c r="F6" s="16"/>
      <c r="G6" s="20">
        <f t="shared" ca="1" si="0"/>
        <v>29</v>
      </c>
      <c r="H6" s="2"/>
      <c r="I6" s="2"/>
      <c r="J6" s="2"/>
      <c r="K6" s="67">
        <v>4</v>
      </c>
      <c r="L6" s="78"/>
      <c r="M6" s="71"/>
      <c r="N6" s="67">
        <v>24</v>
      </c>
      <c r="O6" s="79"/>
      <c r="P6" s="71"/>
      <c r="Q6" s="67">
        <v>44</v>
      </c>
      <c r="R6" s="80"/>
    </row>
    <row r="7" spans="1:18">
      <c r="A7" s="5">
        <v>5</v>
      </c>
      <c r="B7" s="2" t="s">
        <v>26</v>
      </c>
      <c r="C7" s="2" t="s">
        <v>63</v>
      </c>
      <c r="D7" s="2" t="s">
        <v>83</v>
      </c>
      <c r="E7" s="2" t="s">
        <v>56</v>
      </c>
      <c r="F7" s="16"/>
      <c r="G7" s="20">
        <f t="shared" ca="1" si="0"/>
        <v>29</v>
      </c>
      <c r="H7" s="2"/>
      <c r="I7" s="2"/>
      <c r="J7" s="2"/>
      <c r="K7" s="67">
        <v>5</v>
      </c>
      <c r="L7" s="81"/>
      <c r="M7" s="71"/>
      <c r="N7" s="67">
        <v>25</v>
      </c>
      <c r="O7" s="82"/>
      <c r="P7" s="71"/>
      <c r="Q7" s="67">
        <v>45</v>
      </c>
      <c r="R7" s="83"/>
    </row>
    <row r="8" spans="1:18">
      <c r="A8" s="5">
        <v>6</v>
      </c>
      <c r="B8" s="2" t="s">
        <v>26</v>
      </c>
      <c r="C8" s="2" t="s">
        <v>75</v>
      </c>
      <c r="D8" s="2" t="s">
        <v>84</v>
      </c>
      <c r="E8" s="2" t="s">
        <v>56</v>
      </c>
      <c r="F8" s="16"/>
      <c r="G8" s="20">
        <f t="shared" ca="1" si="0"/>
        <v>29</v>
      </c>
      <c r="H8" s="2"/>
      <c r="I8" s="2"/>
      <c r="J8" s="2"/>
      <c r="K8" s="67">
        <v>6</v>
      </c>
      <c r="L8" s="14"/>
      <c r="M8" s="71"/>
      <c r="N8" s="67">
        <v>26</v>
      </c>
      <c r="O8" s="84"/>
      <c r="P8" s="71"/>
      <c r="Q8" s="67">
        <v>46</v>
      </c>
      <c r="R8" s="85"/>
    </row>
    <row r="9" spans="1:18">
      <c r="A9" s="5">
        <v>7</v>
      </c>
      <c r="B9" s="2" t="s">
        <v>25</v>
      </c>
      <c r="C9" s="2" t="s">
        <v>57</v>
      </c>
      <c r="D9" s="2" t="s">
        <v>85</v>
      </c>
      <c r="E9" s="2" t="s">
        <v>57</v>
      </c>
      <c r="F9" s="15"/>
      <c r="G9" s="20">
        <f t="shared" ca="1" si="0"/>
        <v>8</v>
      </c>
      <c r="H9" s="2"/>
      <c r="I9" s="2"/>
      <c r="J9" s="2"/>
      <c r="K9" s="67">
        <v>7</v>
      </c>
      <c r="L9" s="86"/>
      <c r="M9" s="71"/>
      <c r="N9" s="67">
        <v>27</v>
      </c>
      <c r="O9" s="87"/>
      <c r="P9" s="71"/>
      <c r="Q9" s="67">
        <v>47</v>
      </c>
      <c r="R9" s="88"/>
    </row>
    <row r="10" spans="1:18">
      <c r="A10" s="5">
        <v>8</v>
      </c>
      <c r="B10" s="2" t="s">
        <v>26</v>
      </c>
      <c r="C10" s="2" t="s">
        <v>64</v>
      </c>
      <c r="D10" s="2" t="s">
        <v>86</v>
      </c>
      <c r="E10" s="2" t="s">
        <v>57</v>
      </c>
      <c r="F10" s="15"/>
      <c r="G10" s="20">
        <f t="shared" ca="1" si="0"/>
        <v>8</v>
      </c>
      <c r="H10" s="2"/>
      <c r="I10" s="2"/>
      <c r="J10" s="2"/>
      <c r="K10" s="67">
        <v>8</v>
      </c>
      <c r="L10" s="15"/>
      <c r="M10" s="71"/>
      <c r="N10" s="67">
        <v>28</v>
      </c>
      <c r="O10" s="89"/>
      <c r="P10" s="71"/>
      <c r="Q10" s="67">
        <v>48</v>
      </c>
      <c r="R10" s="90"/>
    </row>
    <row r="11" spans="1:18">
      <c r="A11" s="5">
        <v>9</v>
      </c>
      <c r="B11" s="2" t="s">
        <v>26</v>
      </c>
      <c r="C11" s="2" t="s">
        <v>65</v>
      </c>
      <c r="D11" s="2" t="s">
        <v>87</v>
      </c>
      <c r="E11" s="2" t="s">
        <v>57</v>
      </c>
      <c r="F11" s="15"/>
      <c r="G11" s="20">
        <f t="shared" ca="1" si="0"/>
        <v>8</v>
      </c>
      <c r="H11" s="2"/>
      <c r="I11" s="2"/>
      <c r="J11" s="2"/>
      <c r="K11" s="67">
        <v>9</v>
      </c>
      <c r="L11" s="91"/>
      <c r="M11" s="71"/>
      <c r="N11" s="67">
        <v>29</v>
      </c>
      <c r="O11" s="16"/>
      <c r="P11" s="71"/>
      <c r="Q11" s="67">
        <v>49</v>
      </c>
      <c r="R11" s="92"/>
    </row>
    <row r="12" spans="1:18">
      <c r="A12" s="5">
        <v>10</v>
      </c>
      <c r="B12" s="2" t="s">
        <v>26</v>
      </c>
      <c r="C12" s="2" t="s">
        <v>66</v>
      </c>
      <c r="D12" s="2" t="s">
        <v>88</v>
      </c>
      <c r="E12" s="2" t="s">
        <v>57</v>
      </c>
      <c r="F12" s="15"/>
      <c r="G12" s="20">
        <f t="shared" ca="1" si="0"/>
        <v>8</v>
      </c>
      <c r="H12" s="2"/>
      <c r="I12" s="2"/>
      <c r="J12" s="2"/>
      <c r="K12" s="67">
        <v>10</v>
      </c>
      <c r="L12" s="17"/>
      <c r="M12" s="71"/>
      <c r="N12" s="67">
        <v>30</v>
      </c>
      <c r="O12" s="93"/>
      <c r="P12" s="71"/>
      <c r="Q12" s="67">
        <v>50</v>
      </c>
      <c r="R12" s="94"/>
    </row>
    <row r="13" spans="1:18">
      <c r="A13" s="5">
        <v>11</v>
      </c>
      <c r="B13" s="2" t="s">
        <v>26</v>
      </c>
      <c r="C13" s="2" t="s">
        <v>67</v>
      </c>
      <c r="D13" s="2" t="s">
        <v>89</v>
      </c>
      <c r="E13" s="2" t="s">
        <v>57</v>
      </c>
      <c r="F13" s="15"/>
      <c r="G13" s="20">
        <f t="shared" ca="1" si="0"/>
        <v>8</v>
      </c>
      <c r="H13" s="2"/>
      <c r="I13" s="2"/>
      <c r="J13" s="2"/>
      <c r="K13" s="67">
        <v>11</v>
      </c>
      <c r="L13" s="95"/>
      <c r="M13" s="71"/>
      <c r="N13" s="67">
        <v>31</v>
      </c>
      <c r="O13" s="96"/>
      <c r="P13" s="71"/>
      <c r="Q13" s="67">
        <v>51</v>
      </c>
      <c r="R13" s="97"/>
    </row>
    <row r="14" spans="1:18">
      <c r="A14" s="5">
        <v>12</v>
      </c>
      <c r="B14" s="2" t="s">
        <v>26</v>
      </c>
      <c r="C14" s="2" t="s">
        <v>76</v>
      </c>
      <c r="D14" s="2" t="s">
        <v>90</v>
      </c>
      <c r="E14" s="2" t="s">
        <v>57</v>
      </c>
      <c r="F14" s="15"/>
      <c r="G14" s="20">
        <f t="shared" ca="1" si="0"/>
        <v>8</v>
      </c>
      <c r="H14" s="2"/>
      <c r="I14" s="2"/>
      <c r="J14" s="2"/>
      <c r="K14" s="67">
        <v>12</v>
      </c>
      <c r="L14" s="98"/>
      <c r="M14" s="71"/>
      <c r="N14" s="67">
        <v>32</v>
      </c>
      <c r="O14" s="99"/>
      <c r="P14" s="71"/>
      <c r="Q14" s="67">
        <v>52</v>
      </c>
      <c r="R14" s="100"/>
    </row>
    <row r="15" spans="1:18">
      <c r="A15" s="5">
        <v>13</v>
      </c>
      <c r="B15" s="2" t="s">
        <v>25</v>
      </c>
      <c r="C15" s="2" t="s">
        <v>58</v>
      </c>
      <c r="D15" s="2" t="s">
        <v>91</v>
      </c>
      <c r="E15" s="2" t="s">
        <v>58</v>
      </c>
      <c r="F15" s="18"/>
      <c r="G15" s="20">
        <f t="shared" ca="1" si="0"/>
        <v>44</v>
      </c>
      <c r="H15" s="2"/>
      <c r="I15" s="2"/>
      <c r="J15" s="2"/>
      <c r="K15" s="67">
        <v>13</v>
      </c>
      <c r="L15" s="101"/>
      <c r="M15" s="71"/>
      <c r="N15" s="67">
        <v>33</v>
      </c>
      <c r="O15" s="102"/>
      <c r="P15" s="71"/>
      <c r="Q15" s="67">
        <v>53</v>
      </c>
      <c r="R15" s="103"/>
    </row>
    <row r="16" spans="1:18">
      <c r="A16" s="5">
        <v>14</v>
      </c>
      <c r="B16" s="2" t="s">
        <v>26</v>
      </c>
      <c r="C16" s="2" t="s">
        <v>68</v>
      </c>
      <c r="D16" s="2" t="s">
        <v>92</v>
      </c>
      <c r="E16" s="2" t="s">
        <v>58</v>
      </c>
      <c r="F16" s="18"/>
      <c r="G16" s="20">
        <f t="shared" ca="1" si="0"/>
        <v>44</v>
      </c>
      <c r="H16" s="2"/>
      <c r="I16" s="2"/>
      <c r="J16" s="2"/>
      <c r="K16" s="67">
        <v>14</v>
      </c>
      <c r="L16" s="104"/>
      <c r="M16" s="71"/>
      <c r="N16" s="67">
        <v>34</v>
      </c>
      <c r="O16" s="105"/>
      <c r="P16" s="71"/>
      <c r="Q16" s="67">
        <v>54</v>
      </c>
      <c r="R16" s="106"/>
    </row>
    <row r="17" spans="1:18">
      <c r="A17" s="5">
        <v>15</v>
      </c>
      <c r="B17" s="2" t="s">
        <v>26</v>
      </c>
      <c r="C17" s="2" t="s">
        <v>69</v>
      </c>
      <c r="D17" s="2" t="s">
        <v>93</v>
      </c>
      <c r="E17" s="2" t="s">
        <v>58</v>
      </c>
      <c r="F17" s="18"/>
      <c r="G17" s="20">
        <f t="shared" ca="1" si="0"/>
        <v>44</v>
      </c>
      <c r="H17" s="2"/>
      <c r="I17" s="2"/>
      <c r="J17" s="2"/>
      <c r="K17" s="67">
        <v>15</v>
      </c>
      <c r="L17" s="107"/>
      <c r="M17" s="71"/>
      <c r="N17" s="67">
        <v>35</v>
      </c>
      <c r="O17" s="108"/>
      <c r="P17" s="71"/>
      <c r="Q17" s="67">
        <v>55</v>
      </c>
      <c r="R17" s="109"/>
    </row>
    <row r="18" spans="1:18">
      <c r="A18" s="5">
        <v>16</v>
      </c>
      <c r="B18" s="2" t="s">
        <v>26</v>
      </c>
      <c r="C18" s="2" t="s">
        <v>77</v>
      </c>
      <c r="D18" s="2" t="s">
        <v>94</v>
      </c>
      <c r="E18" s="2" t="s">
        <v>58</v>
      </c>
      <c r="F18" s="18"/>
      <c r="G18" s="20">
        <f t="shared" ca="1" si="0"/>
        <v>44</v>
      </c>
      <c r="H18" s="2"/>
      <c r="I18" s="2"/>
      <c r="J18" s="2"/>
      <c r="K18" s="67">
        <v>16</v>
      </c>
      <c r="L18" s="110"/>
      <c r="M18" s="71"/>
      <c r="N18" s="67">
        <v>36</v>
      </c>
      <c r="O18" s="111"/>
      <c r="P18" s="71"/>
      <c r="Q18" s="67">
        <v>56</v>
      </c>
      <c r="R18" s="112"/>
    </row>
    <row r="19" spans="1:18">
      <c r="A19" s="5">
        <v>17</v>
      </c>
      <c r="B19" s="2" t="s">
        <v>25</v>
      </c>
      <c r="C19" s="2" t="s">
        <v>59</v>
      </c>
      <c r="D19" s="2" t="s">
        <v>95</v>
      </c>
      <c r="E19" s="2" t="s">
        <v>59</v>
      </c>
      <c r="F19" s="12"/>
      <c r="G19" s="20">
        <f t="shared" ca="1" si="0"/>
        <v>41</v>
      </c>
      <c r="H19" s="2"/>
      <c r="I19" s="2"/>
      <c r="J19" s="2"/>
      <c r="K19" s="67">
        <v>17</v>
      </c>
      <c r="L19" s="113"/>
      <c r="M19" s="71"/>
      <c r="N19" s="67">
        <v>37</v>
      </c>
      <c r="O19" s="114"/>
      <c r="P19" s="71"/>
      <c r="Q19" s="67"/>
      <c r="R19" s="68"/>
    </row>
    <row r="20" spans="1:18">
      <c r="A20" s="5">
        <v>18</v>
      </c>
      <c r="B20" s="2" t="s">
        <v>26</v>
      </c>
      <c r="C20" s="2" t="s">
        <v>70</v>
      </c>
      <c r="D20" s="2" t="s">
        <v>96</v>
      </c>
      <c r="E20" s="2" t="s">
        <v>59</v>
      </c>
      <c r="F20" s="12"/>
      <c r="G20" s="20">
        <f t="shared" ca="1" si="0"/>
        <v>41</v>
      </c>
      <c r="H20" s="2"/>
      <c r="I20" s="2"/>
      <c r="J20" s="2"/>
      <c r="K20" s="67">
        <v>18</v>
      </c>
      <c r="L20" s="115"/>
      <c r="M20" s="71"/>
      <c r="N20" s="67">
        <v>38</v>
      </c>
      <c r="O20" s="116"/>
      <c r="P20" s="71"/>
      <c r="Q20" s="67"/>
      <c r="R20" s="68"/>
    </row>
    <row r="21" spans="1:18">
      <c r="A21" s="5">
        <v>19</v>
      </c>
      <c r="B21" s="2" t="s">
        <v>26</v>
      </c>
      <c r="C21" s="2" t="s">
        <v>71</v>
      </c>
      <c r="D21" s="2" t="s">
        <v>97</v>
      </c>
      <c r="E21" s="2" t="s">
        <v>59</v>
      </c>
      <c r="F21" s="12"/>
      <c r="G21" s="20">
        <f t="shared" ca="1" si="0"/>
        <v>41</v>
      </c>
      <c r="H21" s="2"/>
      <c r="I21" s="2"/>
      <c r="J21" s="2"/>
      <c r="K21" s="67">
        <v>19</v>
      </c>
      <c r="L21" s="117"/>
      <c r="M21" s="71"/>
      <c r="N21" s="67">
        <v>39</v>
      </c>
      <c r="O21" s="118"/>
      <c r="P21" s="71"/>
      <c r="Q21" s="67"/>
      <c r="R21" s="68"/>
    </row>
    <row r="22" spans="1:18">
      <c r="A22" s="5">
        <v>20</v>
      </c>
      <c r="B22" s="2" t="s">
        <v>26</v>
      </c>
      <c r="C22" s="2" t="s">
        <v>72</v>
      </c>
      <c r="D22" s="2" t="s">
        <v>98</v>
      </c>
      <c r="E22" s="2" t="s">
        <v>59</v>
      </c>
      <c r="F22" s="12"/>
      <c r="G22" s="20">
        <f t="shared" ca="1" si="0"/>
        <v>41</v>
      </c>
      <c r="H22" s="2"/>
      <c r="I22" s="2"/>
      <c r="J22" s="2"/>
      <c r="K22" s="67">
        <v>20</v>
      </c>
      <c r="L22" s="119"/>
      <c r="M22" s="120"/>
      <c r="N22" s="67">
        <v>40</v>
      </c>
      <c r="O22" s="121"/>
      <c r="P22" s="120"/>
      <c r="Q22" s="67"/>
      <c r="R22" s="68"/>
    </row>
    <row r="23" spans="1:18">
      <c r="A23" s="5">
        <v>21</v>
      </c>
      <c r="B23" s="2" t="s">
        <v>26</v>
      </c>
      <c r="C23" s="2" t="s">
        <v>78</v>
      </c>
      <c r="D23" s="2" t="s">
        <v>99</v>
      </c>
      <c r="E23" s="2" t="s">
        <v>59</v>
      </c>
      <c r="F23" s="12"/>
      <c r="G23" s="20">
        <f t="shared" ca="1" si="0"/>
        <v>41</v>
      </c>
      <c r="H23" s="2"/>
      <c r="I23" s="2"/>
      <c r="J23" s="2"/>
    </row>
    <row r="24" spans="1:18">
      <c r="A24" s="5">
        <v>22</v>
      </c>
      <c r="B24" s="2" t="s">
        <v>25</v>
      </c>
      <c r="C24" s="2" t="s">
        <v>60</v>
      </c>
      <c r="D24" s="2" t="s">
        <v>100</v>
      </c>
      <c r="E24" s="2" t="s">
        <v>60</v>
      </c>
      <c r="F24" s="13"/>
      <c r="G24" s="20">
        <f t="shared" ca="1" si="0"/>
        <v>3</v>
      </c>
      <c r="H24" s="2"/>
      <c r="I24" s="2"/>
      <c r="J24" s="2"/>
    </row>
    <row r="25" spans="1:18">
      <c r="A25" s="5">
        <v>23</v>
      </c>
      <c r="B25" s="2" t="s">
        <v>26</v>
      </c>
      <c r="C25" s="2" t="s">
        <v>73</v>
      </c>
      <c r="D25" s="2" t="s">
        <v>101</v>
      </c>
      <c r="E25" s="2" t="s">
        <v>60</v>
      </c>
      <c r="F25" s="13"/>
      <c r="G25" s="20">
        <f t="shared" ca="1" si="0"/>
        <v>3</v>
      </c>
      <c r="H25" s="2"/>
      <c r="I25" s="2"/>
      <c r="J25" s="2"/>
    </row>
    <row r="26" spans="1:18">
      <c r="A26" s="5">
        <v>24</v>
      </c>
      <c r="B26" s="2" t="s">
        <v>26</v>
      </c>
      <c r="C26" s="2" t="s">
        <v>74</v>
      </c>
      <c r="D26" s="2" t="s">
        <v>102</v>
      </c>
      <c r="E26" s="2" t="s">
        <v>60</v>
      </c>
      <c r="F26" s="13"/>
      <c r="G26" s="20">
        <f t="shared" ca="1" si="0"/>
        <v>3</v>
      </c>
      <c r="H26" s="2"/>
      <c r="I26" s="2"/>
      <c r="J26" s="2"/>
    </row>
    <row r="27" spans="1:18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8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8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8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8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8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2">
      <c r="A59" s="2"/>
      <c r="B59" s="2"/>
      <c r="C59" s="2"/>
      <c r="D59" s="2"/>
      <c r="E59" s="2"/>
      <c r="F59" s="2"/>
      <c r="G59" s="2"/>
      <c r="H59" s="2"/>
      <c r="I59" s="2"/>
      <c r="J59" s="2"/>
      <c r="K59" s="5"/>
      <c r="L59" s="2"/>
    </row>
    <row r="60" spans="1:1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>
      <c r="J108" s="2"/>
    </row>
    <row r="109" spans="1:10">
      <c r="J109" s="2"/>
    </row>
    <row r="110" spans="1:10">
      <c r="J110" s="2"/>
    </row>
    <row r="111" spans="1:10">
      <c r="J111" s="2"/>
    </row>
    <row r="112" spans="1:10">
      <c r="J112" s="2"/>
    </row>
    <row r="113" spans="10:10">
      <c r="J113" s="2"/>
    </row>
    <row r="114" spans="10:10">
      <c r="J114" s="2"/>
    </row>
    <row r="115" spans="10:10">
      <c r="J115" s="2"/>
    </row>
    <row r="116" spans="10:10">
      <c r="J116" s="2"/>
    </row>
    <row r="117" spans="10:10">
      <c r="J117" s="2"/>
    </row>
    <row r="118" spans="10:10">
      <c r="J118" s="2"/>
    </row>
    <row r="119" spans="10:10">
      <c r="J119" s="2"/>
    </row>
    <row r="120" spans="10:10">
      <c r="J120" s="2"/>
    </row>
    <row r="121" spans="10:10">
      <c r="J121" s="2"/>
    </row>
    <row r="122" spans="10:10">
      <c r="J122" s="2"/>
    </row>
    <row r="123" spans="10:10">
      <c r="J123" s="2"/>
    </row>
    <row r="124" spans="10:10">
      <c r="J124" s="2"/>
    </row>
    <row r="125" spans="10:10">
      <c r="J125" s="2"/>
    </row>
    <row r="126" spans="10:10">
      <c r="J126" s="2"/>
    </row>
    <row r="127" spans="10:10">
      <c r="J127" s="2"/>
    </row>
    <row r="128" spans="10:10">
      <c r="J128" s="2"/>
    </row>
    <row r="129" spans="10:10">
      <c r="J129" s="2"/>
    </row>
    <row r="130" spans="10:10">
      <c r="J130" s="2"/>
    </row>
    <row r="131" spans="10:10">
      <c r="J131" s="2"/>
    </row>
    <row r="132" spans="10:10">
      <c r="J132" s="2"/>
    </row>
    <row r="133" spans="10:10">
      <c r="J133" s="2"/>
    </row>
    <row r="134" spans="10:10">
      <c r="J134" s="2"/>
    </row>
    <row r="135" spans="10:10">
      <c r="J135" s="2"/>
    </row>
    <row r="136" spans="10:10">
      <c r="J136" s="2"/>
    </row>
    <row r="137" spans="10:10">
      <c r="J137" s="2"/>
    </row>
    <row r="138" spans="10:10">
      <c r="J138" s="2"/>
    </row>
    <row r="139" spans="10:10">
      <c r="J139" s="2"/>
    </row>
    <row r="140" spans="10:10">
      <c r="J140" s="2"/>
    </row>
    <row r="141" spans="10:10">
      <c r="J141" s="2"/>
    </row>
    <row r="142" spans="10:10">
      <c r="J142" s="2"/>
    </row>
    <row r="143" spans="10:10">
      <c r="J143" s="2"/>
    </row>
    <row r="144" spans="10:10">
      <c r="J144" s="2"/>
    </row>
    <row r="145" spans="10:10">
      <c r="J145" s="2"/>
    </row>
    <row r="146" spans="10:10">
      <c r="J146" s="2"/>
    </row>
  </sheetData>
  <autoFilter ref="A2:G26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5"/>
  <dimension ref="A1:E5634"/>
  <sheetViews>
    <sheetView topLeftCell="A5615" workbookViewId="0">
      <selection activeCell="A5634" sqref="A5634"/>
    </sheetView>
  </sheetViews>
  <sheetFormatPr defaultRowHeight="14.5"/>
  <cols>
    <col min="1" max="1" width="10.08984375" customWidth="1"/>
    <col min="2" max="2" width="13.1796875" customWidth="1"/>
    <col min="3" max="3" width="12.6328125" customWidth="1"/>
    <col min="4" max="4" width="17.36328125" style="9" customWidth="1"/>
    <col min="5" max="5" width="20.90625" customWidth="1"/>
  </cols>
  <sheetData>
    <row r="1" spans="1:5" ht="21">
      <c r="A1" s="10" t="s">
        <v>133</v>
      </c>
    </row>
    <row r="2" spans="1:5">
      <c r="A2" t="s">
        <v>15</v>
      </c>
      <c r="B2" t="s">
        <v>8</v>
      </c>
      <c r="C2" t="s">
        <v>14</v>
      </c>
      <c r="D2" s="9" t="s">
        <v>16</v>
      </c>
      <c r="E2" t="s">
        <v>79</v>
      </c>
    </row>
    <row r="3" spans="1:5">
      <c r="A3" t="s">
        <v>28</v>
      </c>
      <c r="B3" s="11" t="s">
        <v>61</v>
      </c>
      <c r="C3">
        <v>1001</v>
      </c>
      <c r="D3" s="9">
        <v>-15558.15</v>
      </c>
      <c r="E3" t="s">
        <v>56</v>
      </c>
    </row>
    <row r="4" spans="1:5">
      <c r="A4" t="s">
        <v>28</v>
      </c>
      <c r="B4" s="11" t="s">
        <v>61</v>
      </c>
      <c r="C4">
        <v>4011</v>
      </c>
      <c r="D4" s="9">
        <v>231.52</v>
      </c>
      <c r="E4" t="s">
        <v>56</v>
      </c>
    </row>
    <row r="5" spans="1:5">
      <c r="A5" t="s">
        <v>28</v>
      </c>
      <c r="B5" s="11" t="s">
        <v>61</v>
      </c>
      <c r="C5">
        <v>4012</v>
      </c>
      <c r="D5" s="9">
        <v>40.520000000000003</v>
      </c>
      <c r="E5" t="s">
        <v>56</v>
      </c>
    </row>
    <row r="6" spans="1:5">
      <c r="A6" t="s">
        <v>28</v>
      </c>
      <c r="B6" s="11" t="s">
        <v>61</v>
      </c>
      <c r="C6">
        <v>4018</v>
      </c>
      <c r="D6" s="9">
        <v>280.49</v>
      </c>
      <c r="E6" t="s">
        <v>56</v>
      </c>
    </row>
    <row r="7" spans="1:5">
      <c r="A7" t="s">
        <v>28</v>
      </c>
      <c r="B7" s="11" t="s">
        <v>61</v>
      </c>
      <c r="C7">
        <v>4022</v>
      </c>
      <c r="D7" s="9">
        <v>68.56</v>
      </c>
      <c r="E7" t="s">
        <v>56</v>
      </c>
    </row>
    <row r="8" spans="1:5">
      <c r="A8" t="s">
        <v>28</v>
      </c>
      <c r="B8" s="11" t="s">
        <v>61</v>
      </c>
      <c r="C8">
        <v>4023</v>
      </c>
      <c r="D8" s="9">
        <v>124.66</v>
      </c>
      <c r="E8" t="s">
        <v>56</v>
      </c>
    </row>
    <row r="9" spans="1:5">
      <c r="A9" t="s">
        <v>28</v>
      </c>
      <c r="B9" s="11" t="s">
        <v>62</v>
      </c>
      <c r="C9">
        <v>1001</v>
      </c>
      <c r="D9" s="9">
        <v>-14184.68</v>
      </c>
      <c r="E9" t="s">
        <v>56</v>
      </c>
    </row>
    <row r="10" spans="1:5">
      <c r="A10" t="s">
        <v>28</v>
      </c>
      <c r="B10" s="11" t="s">
        <v>62</v>
      </c>
      <c r="C10">
        <v>4011</v>
      </c>
      <c r="D10" s="9">
        <v>192.22</v>
      </c>
      <c r="E10" t="s">
        <v>56</v>
      </c>
    </row>
    <row r="11" spans="1:5">
      <c r="A11" t="s">
        <v>28</v>
      </c>
      <c r="B11" s="11" t="s">
        <v>62</v>
      </c>
      <c r="C11">
        <v>4012</v>
      </c>
      <c r="D11" s="9">
        <v>33.64</v>
      </c>
      <c r="E11" t="s">
        <v>56</v>
      </c>
    </row>
    <row r="12" spans="1:5">
      <c r="A12" t="s">
        <v>28</v>
      </c>
      <c r="B12" s="11" t="s">
        <v>62</v>
      </c>
      <c r="C12">
        <v>4018</v>
      </c>
      <c r="D12" s="9">
        <v>197.16</v>
      </c>
      <c r="E12" t="s">
        <v>56</v>
      </c>
    </row>
    <row r="13" spans="1:5">
      <c r="A13" t="s">
        <v>28</v>
      </c>
      <c r="B13" s="11" t="s">
        <v>62</v>
      </c>
      <c r="C13">
        <v>4022</v>
      </c>
      <c r="D13" s="9">
        <v>48.19</v>
      </c>
      <c r="E13" t="s">
        <v>56</v>
      </c>
    </row>
    <row r="14" spans="1:5">
      <c r="A14" t="s">
        <v>28</v>
      </c>
      <c r="B14" s="11" t="s">
        <v>62</v>
      </c>
      <c r="C14">
        <v>4023</v>
      </c>
      <c r="D14" s="9">
        <v>87.63</v>
      </c>
      <c r="E14" t="s">
        <v>56</v>
      </c>
    </row>
    <row r="15" spans="1:5">
      <c r="A15" t="s">
        <v>28</v>
      </c>
      <c r="B15" s="11" t="s">
        <v>63</v>
      </c>
      <c r="C15">
        <v>1001</v>
      </c>
      <c r="D15" s="9">
        <v>-16562.810000000001</v>
      </c>
      <c r="E15" t="s">
        <v>56</v>
      </c>
    </row>
    <row r="16" spans="1:5">
      <c r="A16" t="s">
        <v>28</v>
      </c>
      <c r="B16" s="11" t="s">
        <v>63</v>
      </c>
      <c r="C16">
        <v>4011</v>
      </c>
      <c r="D16" s="9">
        <v>315.60000000000002</v>
      </c>
      <c r="E16" t="s">
        <v>56</v>
      </c>
    </row>
    <row r="17" spans="1:5">
      <c r="A17" t="s">
        <v>28</v>
      </c>
      <c r="B17" s="11" t="s">
        <v>63</v>
      </c>
      <c r="C17">
        <v>4012</v>
      </c>
      <c r="D17" s="9">
        <v>63.12</v>
      </c>
      <c r="E17" t="s">
        <v>56</v>
      </c>
    </row>
    <row r="18" spans="1:5">
      <c r="A18" t="s">
        <v>28</v>
      </c>
      <c r="B18" s="11" t="s">
        <v>63</v>
      </c>
      <c r="C18">
        <v>4018</v>
      </c>
      <c r="D18" s="9">
        <v>315.77999999999997</v>
      </c>
      <c r="E18" t="s">
        <v>56</v>
      </c>
    </row>
    <row r="19" spans="1:5">
      <c r="A19" t="s">
        <v>28</v>
      </c>
      <c r="B19" s="11" t="s">
        <v>63</v>
      </c>
      <c r="C19">
        <v>4022</v>
      </c>
      <c r="D19" s="9">
        <v>77.19</v>
      </c>
      <c r="E19" t="s">
        <v>56</v>
      </c>
    </row>
    <row r="20" spans="1:5">
      <c r="A20" t="s">
        <v>28</v>
      </c>
      <c r="B20" s="11" t="s">
        <v>63</v>
      </c>
      <c r="C20">
        <v>4023</v>
      </c>
      <c r="D20" s="9">
        <v>140.35</v>
      </c>
      <c r="E20" t="s">
        <v>56</v>
      </c>
    </row>
    <row r="21" spans="1:5">
      <c r="A21" t="s">
        <v>28</v>
      </c>
      <c r="B21" s="11" t="s">
        <v>75</v>
      </c>
      <c r="C21">
        <v>4011</v>
      </c>
      <c r="D21" s="9">
        <v>319.87</v>
      </c>
      <c r="E21" t="s">
        <v>56</v>
      </c>
    </row>
    <row r="22" spans="1:5">
      <c r="A22" t="s">
        <v>28</v>
      </c>
      <c r="B22" s="11" t="s">
        <v>75</v>
      </c>
      <c r="C22">
        <v>4012</v>
      </c>
      <c r="D22" s="9">
        <v>63.97</v>
      </c>
      <c r="E22" t="s">
        <v>56</v>
      </c>
    </row>
    <row r="23" spans="1:5">
      <c r="A23" t="s">
        <v>28</v>
      </c>
      <c r="B23" s="11" t="s">
        <v>75</v>
      </c>
      <c r="C23">
        <v>4018</v>
      </c>
      <c r="D23" s="9">
        <v>354.11</v>
      </c>
      <c r="E23" t="s">
        <v>56</v>
      </c>
    </row>
    <row r="24" spans="1:5">
      <c r="A24" t="s">
        <v>28</v>
      </c>
      <c r="B24" s="11" t="s">
        <v>75</v>
      </c>
      <c r="C24">
        <v>4022</v>
      </c>
      <c r="D24" s="9">
        <v>86.56</v>
      </c>
      <c r="E24" t="s">
        <v>56</v>
      </c>
    </row>
    <row r="25" spans="1:5">
      <c r="A25" t="s">
        <v>28</v>
      </c>
      <c r="B25" s="11" t="s">
        <v>75</v>
      </c>
      <c r="C25">
        <v>4023</v>
      </c>
      <c r="D25" s="9">
        <v>157.38</v>
      </c>
      <c r="E25" t="s">
        <v>56</v>
      </c>
    </row>
    <row r="26" spans="1:5">
      <c r="A26" t="s">
        <v>28</v>
      </c>
      <c r="B26" s="11" t="s">
        <v>64</v>
      </c>
      <c r="C26">
        <v>1001</v>
      </c>
      <c r="D26" s="9">
        <v>-15701.99</v>
      </c>
      <c r="E26" t="s">
        <v>57</v>
      </c>
    </row>
    <row r="27" spans="1:5">
      <c r="A27" t="s">
        <v>28</v>
      </c>
      <c r="B27" s="11" t="s">
        <v>64</v>
      </c>
      <c r="C27">
        <v>4011</v>
      </c>
      <c r="D27" s="9">
        <v>393.13</v>
      </c>
      <c r="E27" t="s">
        <v>57</v>
      </c>
    </row>
    <row r="28" spans="1:5">
      <c r="A28" t="s">
        <v>28</v>
      </c>
      <c r="B28" s="11" t="s">
        <v>64</v>
      </c>
      <c r="C28">
        <v>4012</v>
      </c>
      <c r="D28" s="9">
        <v>78.63</v>
      </c>
      <c r="E28" t="s">
        <v>57</v>
      </c>
    </row>
    <row r="29" spans="1:5">
      <c r="A29" t="s">
        <v>28</v>
      </c>
      <c r="B29" s="11" t="s">
        <v>64</v>
      </c>
      <c r="C29">
        <v>4018</v>
      </c>
      <c r="D29" s="9">
        <v>294.95999999999998</v>
      </c>
      <c r="E29" t="s">
        <v>57</v>
      </c>
    </row>
    <row r="30" spans="1:5">
      <c r="A30" t="s">
        <v>28</v>
      </c>
      <c r="B30" s="11" t="s">
        <v>64</v>
      </c>
      <c r="C30">
        <v>4022</v>
      </c>
      <c r="D30" s="9">
        <v>72.099999999999994</v>
      </c>
      <c r="E30" t="s">
        <v>57</v>
      </c>
    </row>
    <row r="31" spans="1:5">
      <c r="A31" t="s">
        <v>28</v>
      </c>
      <c r="B31" s="11" t="s">
        <v>64</v>
      </c>
      <c r="C31">
        <v>4023</v>
      </c>
      <c r="D31" s="9">
        <v>131.09</v>
      </c>
      <c r="E31" t="s">
        <v>57</v>
      </c>
    </row>
    <row r="32" spans="1:5">
      <c r="A32" t="s">
        <v>28</v>
      </c>
      <c r="B32" s="11" t="s">
        <v>65</v>
      </c>
      <c r="C32">
        <v>1001</v>
      </c>
      <c r="D32" s="9">
        <v>-13054.71</v>
      </c>
      <c r="E32" t="s">
        <v>57</v>
      </c>
    </row>
    <row r="33" spans="1:5">
      <c r="A33" t="s">
        <v>28</v>
      </c>
      <c r="B33" s="11" t="s">
        <v>65</v>
      </c>
      <c r="C33">
        <v>4011</v>
      </c>
      <c r="D33" s="9">
        <v>224.27</v>
      </c>
      <c r="E33" t="s">
        <v>57</v>
      </c>
    </row>
    <row r="34" spans="1:5">
      <c r="A34" t="s">
        <v>28</v>
      </c>
      <c r="B34" s="11" t="s">
        <v>65</v>
      </c>
      <c r="C34">
        <v>4012</v>
      </c>
      <c r="D34" s="9">
        <v>44.85</v>
      </c>
      <c r="E34" t="s">
        <v>57</v>
      </c>
    </row>
    <row r="35" spans="1:5">
      <c r="A35" t="s">
        <v>28</v>
      </c>
      <c r="B35" s="11" t="s">
        <v>65</v>
      </c>
      <c r="C35">
        <v>4018</v>
      </c>
      <c r="D35" s="9">
        <v>253.97</v>
      </c>
      <c r="E35" t="s">
        <v>57</v>
      </c>
    </row>
    <row r="36" spans="1:5">
      <c r="A36" t="s">
        <v>28</v>
      </c>
      <c r="B36" s="11" t="s">
        <v>65</v>
      </c>
      <c r="C36">
        <v>4022</v>
      </c>
      <c r="D36" s="9">
        <v>62.08</v>
      </c>
      <c r="E36" t="s">
        <v>57</v>
      </c>
    </row>
    <row r="37" spans="1:5">
      <c r="A37" t="s">
        <v>28</v>
      </c>
      <c r="B37" s="11" t="s">
        <v>65</v>
      </c>
      <c r="C37">
        <v>4023</v>
      </c>
      <c r="D37" s="9">
        <v>112.88</v>
      </c>
      <c r="E37" t="s">
        <v>57</v>
      </c>
    </row>
    <row r="38" spans="1:5">
      <c r="A38" t="s">
        <v>28</v>
      </c>
      <c r="B38" s="11" t="s">
        <v>66</v>
      </c>
      <c r="C38">
        <v>1001</v>
      </c>
      <c r="D38" s="9">
        <v>-27206.03</v>
      </c>
      <c r="E38" t="s">
        <v>57</v>
      </c>
    </row>
    <row r="39" spans="1:5">
      <c r="A39" t="s">
        <v>28</v>
      </c>
      <c r="B39" s="11" t="s">
        <v>66</v>
      </c>
      <c r="C39">
        <v>4011</v>
      </c>
      <c r="D39" s="9">
        <v>391.75</v>
      </c>
      <c r="E39" t="s">
        <v>57</v>
      </c>
    </row>
    <row r="40" spans="1:5">
      <c r="A40" t="s">
        <v>28</v>
      </c>
      <c r="B40" s="11" t="s">
        <v>66</v>
      </c>
      <c r="C40">
        <v>4012</v>
      </c>
      <c r="D40" s="9">
        <v>78.349999999999994</v>
      </c>
      <c r="E40" t="s">
        <v>57</v>
      </c>
    </row>
    <row r="41" spans="1:5">
      <c r="A41" t="s">
        <v>28</v>
      </c>
      <c r="B41" s="11" t="s">
        <v>66</v>
      </c>
      <c r="C41">
        <v>4018</v>
      </c>
      <c r="D41" s="9">
        <v>492.81</v>
      </c>
      <c r="E41" t="s">
        <v>57</v>
      </c>
    </row>
    <row r="42" spans="1:5">
      <c r="A42" t="s">
        <v>28</v>
      </c>
      <c r="B42" s="11" t="s">
        <v>66</v>
      </c>
      <c r="C42">
        <v>4022</v>
      </c>
      <c r="D42" s="9">
        <v>120.47</v>
      </c>
      <c r="E42" t="s">
        <v>57</v>
      </c>
    </row>
    <row r="43" spans="1:5">
      <c r="A43" t="s">
        <v>28</v>
      </c>
      <c r="B43" s="11" t="s">
        <v>66</v>
      </c>
      <c r="C43">
        <v>4023</v>
      </c>
      <c r="D43" s="9">
        <v>219.03</v>
      </c>
      <c r="E43" t="s">
        <v>57</v>
      </c>
    </row>
    <row r="44" spans="1:5">
      <c r="A44" t="s">
        <v>28</v>
      </c>
      <c r="B44" s="11" t="s">
        <v>67</v>
      </c>
      <c r="C44">
        <v>1001</v>
      </c>
      <c r="D44" s="9">
        <v>-10889.37</v>
      </c>
      <c r="E44" t="s">
        <v>57</v>
      </c>
    </row>
    <row r="45" spans="1:5">
      <c r="A45" t="s">
        <v>28</v>
      </c>
      <c r="B45" s="11" t="s">
        <v>67</v>
      </c>
      <c r="C45">
        <v>4011</v>
      </c>
      <c r="D45" s="9">
        <v>194.98</v>
      </c>
      <c r="E45" t="s">
        <v>57</v>
      </c>
    </row>
    <row r="46" spans="1:5">
      <c r="A46" t="s">
        <v>28</v>
      </c>
      <c r="B46" s="11" t="s">
        <v>67</v>
      </c>
      <c r="C46">
        <v>4012</v>
      </c>
      <c r="D46" s="9">
        <v>39</v>
      </c>
      <c r="E46" t="s">
        <v>57</v>
      </c>
    </row>
    <row r="47" spans="1:5">
      <c r="A47" t="s">
        <v>28</v>
      </c>
      <c r="B47" s="11" t="s">
        <v>67</v>
      </c>
      <c r="C47">
        <v>4018</v>
      </c>
      <c r="D47" s="9">
        <v>194.86</v>
      </c>
      <c r="E47" t="s">
        <v>57</v>
      </c>
    </row>
    <row r="48" spans="1:5">
      <c r="A48" t="s">
        <v>28</v>
      </c>
      <c r="B48" s="11" t="s">
        <v>67</v>
      </c>
      <c r="C48">
        <v>4022</v>
      </c>
      <c r="D48" s="9">
        <v>47.63</v>
      </c>
      <c r="E48" t="s">
        <v>57</v>
      </c>
    </row>
    <row r="49" spans="1:5">
      <c r="A49" t="s">
        <v>28</v>
      </c>
      <c r="B49" s="11" t="s">
        <v>67</v>
      </c>
      <c r="C49">
        <v>4023</v>
      </c>
      <c r="D49" s="9">
        <v>86.6</v>
      </c>
      <c r="E49" t="s">
        <v>57</v>
      </c>
    </row>
    <row r="50" spans="1:5">
      <c r="A50" t="s">
        <v>28</v>
      </c>
      <c r="B50" s="11" t="s">
        <v>76</v>
      </c>
      <c r="C50">
        <v>1001</v>
      </c>
      <c r="D50" s="9">
        <v>-8546.56</v>
      </c>
      <c r="E50" t="s">
        <v>57</v>
      </c>
    </row>
    <row r="51" spans="1:5">
      <c r="A51" t="s">
        <v>28</v>
      </c>
      <c r="B51" s="11" t="s">
        <v>76</v>
      </c>
      <c r="C51">
        <v>4011</v>
      </c>
      <c r="D51" s="9">
        <v>100.39</v>
      </c>
      <c r="E51" t="s">
        <v>57</v>
      </c>
    </row>
    <row r="52" spans="1:5">
      <c r="A52" t="s">
        <v>28</v>
      </c>
      <c r="B52" s="11" t="s">
        <v>76</v>
      </c>
      <c r="C52">
        <v>4012</v>
      </c>
      <c r="D52" s="9">
        <v>18.82</v>
      </c>
      <c r="E52" t="s">
        <v>57</v>
      </c>
    </row>
    <row r="53" spans="1:5">
      <c r="A53" t="s">
        <v>28</v>
      </c>
      <c r="B53" s="11" t="s">
        <v>76</v>
      </c>
      <c r="C53">
        <v>4018</v>
      </c>
      <c r="D53" s="9">
        <v>153.66</v>
      </c>
      <c r="E53" t="s">
        <v>57</v>
      </c>
    </row>
    <row r="54" spans="1:5">
      <c r="A54" t="s">
        <v>28</v>
      </c>
      <c r="B54" s="11" t="s">
        <v>76</v>
      </c>
      <c r="C54">
        <v>4022</v>
      </c>
      <c r="D54" s="9">
        <v>37.56</v>
      </c>
      <c r="E54" t="s">
        <v>57</v>
      </c>
    </row>
    <row r="55" spans="1:5">
      <c r="A55" t="s">
        <v>28</v>
      </c>
      <c r="B55" s="11" t="s">
        <v>76</v>
      </c>
      <c r="C55">
        <v>4023</v>
      </c>
      <c r="D55" s="9">
        <v>68.290000000000006</v>
      </c>
      <c r="E55" t="s">
        <v>57</v>
      </c>
    </row>
    <row r="56" spans="1:5">
      <c r="A56" t="s">
        <v>28</v>
      </c>
      <c r="B56" s="11" t="s">
        <v>68</v>
      </c>
      <c r="C56">
        <v>1001</v>
      </c>
      <c r="D56" s="9">
        <v>-14306.8</v>
      </c>
      <c r="E56" t="s">
        <v>58</v>
      </c>
    </row>
    <row r="57" spans="1:5">
      <c r="A57" t="s">
        <v>28</v>
      </c>
      <c r="B57" s="11" t="s">
        <v>68</v>
      </c>
      <c r="C57">
        <v>4011</v>
      </c>
      <c r="D57" s="9">
        <v>237.99</v>
      </c>
      <c r="E57" t="s">
        <v>58</v>
      </c>
    </row>
    <row r="58" spans="1:5">
      <c r="A58" t="s">
        <v>28</v>
      </c>
      <c r="B58" s="11" t="s">
        <v>68</v>
      </c>
      <c r="C58">
        <v>4012</v>
      </c>
      <c r="D58" s="9">
        <v>41.65</v>
      </c>
      <c r="E58" t="s">
        <v>58</v>
      </c>
    </row>
    <row r="59" spans="1:5">
      <c r="A59" t="s">
        <v>28</v>
      </c>
      <c r="B59" s="11" t="s">
        <v>68</v>
      </c>
      <c r="C59">
        <v>4018</v>
      </c>
      <c r="D59" s="9">
        <v>251.46</v>
      </c>
      <c r="E59" t="s">
        <v>58</v>
      </c>
    </row>
    <row r="60" spans="1:5">
      <c r="A60" t="s">
        <v>28</v>
      </c>
      <c r="B60" s="11" t="s">
        <v>68</v>
      </c>
      <c r="C60">
        <v>4022</v>
      </c>
      <c r="D60" s="9">
        <v>61.47</v>
      </c>
      <c r="E60" t="s">
        <v>58</v>
      </c>
    </row>
    <row r="61" spans="1:5">
      <c r="A61" t="s">
        <v>28</v>
      </c>
      <c r="B61" s="11" t="s">
        <v>68</v>
      </c>
      <c r="C61">
        <v>4023</v>
      </c>
      <c r="D61" s="9">
        <v>111.76</v>
      </c>
      <c r="E61" t="s">
        <v>58</v>
      </c>
    </row>
    <row r="62" spans="1:5">
      <c r="A62" t="s">
        <v>28</v>
      </c>
      <c r="B62" s="11" t="s">
        <v>69</v>
      </c>
      <c r="C62">
        <v>1001</v>
      </c>
      <c r="D62" s="9">
        <v>-13148.28</v>
      </c>
      <c r="E62" t="s">
        <v>58</v>
      </c>
    </row>
    <row r="63" spans="1:5">
      <c r="A63" t="s">
        <v>28</v>
      </c>
      <c r="B63" s="11" t="s">
        <v>69</v>
      </c>
      <c r="C63">
        <v>4011</v>
      </c>
      <c r="D63" s="9">
        <v>173.5</v>
      </c>
      <c r="E63" t="s">
        <v>58</v>
      </c>
    </row>
    <row r="64" spans="1:5">
      <c r="A64" t="s">
        <v>28</v>
      </c>
      <c r="B64" s="11" t="s">
        <v>69</v>
      </c>
      <c r="C64">
        <v>4012</v>
      </c>
      <c r="D64" s="9">
        <v>30.36</v>
      </c>
      <c r="E64" t="s">
        <v>58</v>
      </c>
    </row>
    <row r="65" spans="1:5">
      <c r="A65" t="s">
        <v>28</v>
      </c>
      <c r="B65" s="11" t="s">
        <v>69</v>
      </c>
      <c r="C65">
        <v>4018</v>
      </c>
      <c r="D65" s="9">
        <v>216.31</v>
      </c>
      <c r="E65" t="s">
        <v>58</v>
      </c>
    </row>
    <row r="66" spans="1:5">
      <c r="A66" t="s">
        <v>28</v>
      </c>
      <c r="B66" s="11" t="s">
        <v>69</v>
      </c>
      <c r="C66">
        <v>4022</v>
      </c>
      <c r="D66" s="9">
        <v>52.88</v>
      </c>
      <c r="E66" t="s">
        <v>58</v>
      </c>
    </row>
    <row r="67" spans="1:5">
      <c r="A67" t="s">
        <v>28</v>
      </c>
      <c r="B67" s="11" t="s">
        <v>69</v>
      </c>
      <c r="C67">
        <v>4023</v>
      </c>
      <c r="D67" s="9">
        <v>96.14</v>
      </c>
      <c r="E67" t="s">
        <v>58</v>
      </c>
    </row>
    <row r="68" spans="1:5">
      <c r="A68" t="s">
        <v>28</v>
      </c>
      <c r="B68" s="11" t="s">
        <v>77</v>
      </c>
      <c r="C68">
        <v>1001</v>
      </c>
      <c r="D68" s="9">
        <v>-16964.759999999998</v>
      </c>
      <c r="E68" t="s">
        <v>58</v>
      </c>
    </row>
    <row r="69" spans="1:5">
      <c r="A69" t="s">
        <v>28</v>
      </c>
      <c r="B69" s="11" t="s">
        <v>77</v>
      </c>
      <c r="C69">
        <v>4011</v>
      </c>
      <c r="D69" s="9">
        <v>371.54</v>
      </c>
      <c r="E69" t="s">
        <v>58</v>
      </c>
    </row>
    <row r="70" spans="1:5">
      <c r="A70" t="s">
        <v>28</v>
      </c>
      <c r="B70" s="11" t="s">
        <v>77</v>
      </c>
      <c r="C70">
        <v>4012</v>
      </c>
      <c r="D70" s="9">
        <v>74.31</v>
      </c>
      <c r="E70" t="s">
        <v>58</v>
      </c>
    </row>
    <row r="71" spans="1:5">
      <c r="A71" t="s">
        <v>28</v>
      </c>
      <c r="B71" s="11" t="s">
        <v>77</v>
      </c>
      <c r="C71">
        <v>4018</v>
      </c>
      <c r="D71" s="9">
        <v>265.39999999999998</v>
      </c>
      <c r="E71" t="s">
        <v>58</v>
      </c>
    </row>
    <row r="72" spans="1:5">
      <c r="A72" t="s">
        <v>28</v>
      </c>
      <c r="B72" s="11" t="s">
        <v>77</v>
      </c>
      <c r="C72">
        <v>4022</v>
      </c>
      <c r="D72" s="9">
        <v>64.88</v>
      </c>
      <c r="E72" t="s">
        <v>58</v>
      </c>
    </row>
    <row r="73" spans="1:5">
      <c r="A73" t="s">
        <v>28</v>
      </c>
      <c r="B73" s="11" t="s">
        <v>77</v>
      </c>
      <c r="C73">
        <v>4023</v>
      </c>
      <c r="D73" s="9">
        <v>117.96</v>
      </c>
      <c r="E73" t="s">
        <v>58</v>
      </c>
    </row>
    <row r="74" spans="1:5">
      <c r="A74" t="s">
        <v>28</v>
      </c>
      <c r="B74" s="11" t="s">
        <v>70</v>
      </c>
      <c r="C74">
        <v>1001</v>
      </c>
      <c r="D74" s="9">
        <v>-16232.89</v>
      </c>
      <c r="E74" t="s">
        <v>59</v>
      </c>
    </row>
    <row r="75" spans="1:5">
      <c r="A75" t="s">
        <v>28</v>
      </c>
      <c r="B75" s="11" t="s">
        <v>70</v>
      </c>
      <c r="C75">
        <v>4011</v>
      </c>
      <c r="D75" s="9">
        <v>304.2</v>
      </c>
      <c r="E75" t="s">
        <v>59</v>
      </c>
    </row>
    <row r="76" spans="1:5">
      <c r="A76" t="s">
        <v>28</v>
      </c>
      <c r="B76" s="11" t="s">
        <v>70</v>
      </c>
      <c r="C76">
        <v>4012</v>
      </c>
      <c r="D76" s="9">
        <v>60.84</v>
      </c>
      <c r="E76" t="s">
        <v>59</v>
      </c>
    </row>
    <row r="77" spans="1:5">
      <c r="A77" t="s">
        <v>28</v>
      </c>
      <c r="B77" s="11" t="s">
        <v>70</v>
      </c>
      <c r="C77">
        <v>4018</v>
      </c>
      <c r="D77" s="9">
        <v>354.01</v>
      </c>
      <c r="E77" t="s">
        <v>59</v>
      </c>
    </row>
    <row r="78" spans="1:5">
      <c r="A78" t="s">
        <v>28</v>
      </c>
      <c r="B78" s="11" t="s">
        <v>70</v>
      </c>
      <c r="C78">
        <v>4022</v>
      </c>
      <c r="D78" s="9">
        <v>77.88</v>
      </c>
      <c r="E78" t="s">
        <v>59</v>
      </c>
    </row>
    <row r="79" spans="1:5">
      <c r="A79" t="s">
        <v>28</v>
      </c>
      <c r="B79" s="11" t="s">
        <v>70</v>
      </c>
      <c r="C79">
        <v>4023</v>
      </c>
      <c r="D79" s="9">
        <v>141.6</v>
      </c>
      <c r="E79" t="s">
        <v>59</v>
      </c>
    </row>
    <row r="80" spans="1:5">
      <c r="A80" t="s">
        <v>28</v>
      </c>
      <c r="B80" s="11" t="s">
        <v>71</v>
      </c>
      <c r="C80">
        <v>1001</v>
      </c>
      <c r="D80" s="9">
        <v>-20389.900000000001</v>
      </c>
      <c r="E80" t="s">
        <v>59</v>
      </c>
    </row>
    <row r="81" spans="1:5">
      <c r="A81" t="s">
        <v>28</v>
      </c>
      <c r="B81" s="11" t="s">
        <v>71</v>
      </c>
      <c r="C81">
        <v>4011</v>
      </c>
      <c r="D81" s="9">
        <v>421.83</v>
      </c>
      <c r="E81" t="s">
        <v>59</v>
      </c>
    </row>
    <row r="82" spans="1:5">
      <c r="A82" t="s">
        <v>28</v>
      </c>
      <c r="B82" s="11" t="s">
        <v>71</v>
      </c>
      <c r="C82">
        <v>4012</v>
      </c>
      <c r="D82" s="9">
        <v>84.37</v>
      </c>
      <c r="E82" t="s">
        <v>59</v>
      </c>
    </row>
    <row r="83" spans="1:5">
      <c r="A83" t="s">
        <v>28</v>
      </c>
      <c r="B83" s="11" t="s">
        <v>71</v>
      </c>
      <c r="C83">
        <v>4018</v>
      </c>
      <c r="D83" s="9">
        <v>382.61</v>
      </c>
      <c r="E83" t="s">
        <v>59</v>
      </c>
    </row>
    <row r="84" spans="1:5">
      <c r="A84" t="s">
        <v>28</v>
      </c>
      <c r="B84" s="11" t="s">
        <v>71</v>
      </c>
      <c r="C84">
        <v>4022</v>
      </c>
      <c r="D84" s="9">
        <v>93.53</v>
      </c>
      <c r="E84" t="s">
        <v>59</v>
      </c>
    </row>
    <row r="85" spans="1:5">
      <c r="A85" t="s">
        <v>28</v>
      </c>
      <c r="B85" s="11" t="s">
        <v>71</v>
      </c>
      <c r="C85">
        <v>4023</v>
      </c>
      <c r="D85" s="9">
        <v>170.05</v>
      </c>
      <c r="E85" t="s">
        <v>59</v>
      </c>
    </row>
    <row r="86" spans="1:5">
      <c r="A86" t="s">
        <v>28</v>
      </c>
      <c r="B86" s="11" t="s">
        <v>72</v>
      </c>
      <c r="C86">
        <v>1001</v>
      </c>
      <c r="D86" s="9">
        <v>-20392</v>
      </c>
      <c r="E86" t="s">
        <v>59</v>
      </c>
    </row>
    <row r="87" spans="1:5">
      <c r="A87" t="s">
        <v>28</v>
      </c>
      <c r="B87" s="11" t="s">
        <v>72</v>
      </c>
      <c r="C87">
        <v>4011</v>
      </c>
      <c r="D87" s="9">
        <v>507.67</v>
      </c>
      <c r="E87" t="s">
        <v>59</v>
      </c>
    </row>
    <row r="88" spans="1:5">
      <c r="A88" t="s">
        <v>28</v>
      </c>
      <c r="B88" s="11" t="s">
        <v>72</v>
      </c>
      <c r="C88">
        <v>4012</v>
      </c>
      <c r="D88" s="9">
        <v>101.53</v>
      </c>
      <c r="E88" t="s">
        <v>59</v>
      </c>
    </row>
    <row r="89" spans="1:5">
      <c r="A89" t="s">
        <v>28</v>
      </c>
      <c r="B89" s="11" t="s">
        <v>72</v>
      </c>
      <c r="C89">
        <v>4018</v>
      </c>
      <c r="D89" s="9">
        <v>1022.82</v>
      </c>
      <c r="E89" t="s">
        <v>59</v>
      </c>
    </row>
    <row r="90" spans="1:5">
      <c r="A90" t="s">
        <v>28</v>
      </c>
      <c r="B90" s="11" t="s">
        <v>72</v>
      </c>
      <c r="C90">
        <v>4022</v>
      </c>
      <c r="D90" s="9">
        <v>112.51</v>
      </c>
      <c r="E90" t="s">
        <v>59</v>
      </c>
    </row>
    <row r="91" spans="1:5">
      <c r="A91" t="s">
        <v>28</v>
      </c>
      <c r="B91" s="11" t="s">
        <v>72</v>
      </c>
      <c r="C91">
        <v>4023</v>
      </c>
      <c r="D91" s="9">
        <v>204.56</v>
      </c>
      <c r="E91" t="s">
        <v>59</v>
      </c>
    </row>
    <row r="92" spans="1:5">
      <c r="A92" t="s">
        <v>28</v>
      </c>
      <c r="B92" s="11" t="s">
        <v>78</v>
      </c>
      <c r="C92">
        <v>1001</v>
      </c>
      <c r="D92" s="9">
        <v>-15618.13</v>
      </c>
      <c r="E92" t="s">
        <v>59</v>
      </c>
    </row>
    <row r="93" spans="1:5">
      <c r="A93" t="s">
        <v>28</v>
      </c>
      <c r="B93" s="11" t="s">
        <v>78</v>
      </c>
      <c r="C93">
        <v>4011</v>
      </c>
      <c r="D93" s="9">
        <v>253.2</v>
      </c>
      <c r="E93" t="s">
        <v>59</v>
      </c>
    </row>
    <row r="94" spans="1:5">
      <c r="A94" t="s">
        <v>28</v>
      </c>
      <c r="B94" s="11" t="s">
        <v>78</v>
      </c>
      <c r="C94">
        <v>4012</v>
      </c>
      <c r="D94" s="9">
        <v>50.64</v>
      </c>
      <c r="E94" t="s">
        <v>59</v>
      </c>
    </row>
    <row r="95" spans="1:5">
      <c r="A95" t="s">
        <v>28</v>
      </c>
      <c r="B95" s="11" t="s">
        <v>78</v>
      </c>
      <c r="C95">
        <v>4018</v>
      </c>
      <c r="D95" s="9">
        <v>835.75</v>
      </c>
      <c r="E95" t="s">
        <v>59</v>
      </c>
    </row>
    <row r="96" spans="1:5">
      <c r="A96" t="s">
        <v>28</v>
      </c>
      <c r="B96" s="11" t="s">
        <v>78</v>
      </c>
      <c r="C96">
        <v>4022</v>
      </c>
      <c r="D96" s="9">
        <v>67.42</v>
      </c>
      <c r="E96" t="s">
        <v>59</v>
      </c>
    </row>
    <row r="97" spans="1:5">
      <c r="A97" t="s">
        <v>28</v>
      </c>
      <c r="B97" s="11" t="s">
        <v>78</v>
      </c>
      <c r="C97">
        <v>4023</v>
      </c>
      <c r="D97" s="9">
        <v>133.72</v>
      </c>
      <c r="E97" t="s">
        <v>59</v>
      </c>
    </row>
    <row r="98" spans="1:5">
      <c r="A98" t="s">
        <v>28</v>
      </c>
      <c r="B98" s="11" t="s">
        <v>73</v>
      </c>
      <c r="C98">
        <v>1001</v>
      </c>
      <c r="D98" s="9">
        <v>-17762.330000000002</v>
      </c>
      <c r="E98" t="s">
        <v>60</v>
      </c>
    </row>
    <row r="99" spans="1:5">
      <c r="A99" t="s">
        <v>28</v>
      </c>
      <c r="B99" s="11" t="s">
        <v>73</v>
      </c>
      <c r="C99">
        <v>4011</v>
      </c>
      <c r="D99" s="9">
        <v>411.05</v>
      </c>
      <c r="E99" t="s">
        <v>60</v>
      </c>
    </row>
    <row r="100" spans="1:5">
      <c r="A100" t="s">
        <v>28</v>
      </c>
      <c r="B100" s="11" t="s">
        <v>73</v>
      </c>
      <c r="C100">
        <v>4012</v>
      </c>
      <c r="D100" s="9">
        <v>82.21</v>
      </c>
      <c r="E100" t="s">
        <v>60</v>
      </c>
    </row>
    <row r="101" spans="1:5">
      <c r="A101" t="s">
        <v>28</v>
      </c>
      <c r="B101" s="11" t="s">
        <v>73</v>
      </c>
      <c r="C101">
        <v>4018</v>
      </c>
      <c r="D101" s="9">
        <v>348.06</v>
      </c>
      <c r="E101" t="s">
        <v>60</v>
      </c>
    </row>
    <row r="102" spans="1:5">
      <c r="A102" t="s">
        <v>28</v>
      </c>
      <c r="B102" s="11" t="s">
        <v>73</v>
      </c>
      <c r="C102">
        <v>4022</v>
      </c>
      <c r="D102" s="9">
        <v>85.08</v>
      </c>
      <c r="E102" t="s">
        <v>60</v>
      </c>
    </row>
    <row r="103" spans="1:5">
      <c r="A103" t="s">
        <v>28</v>
      </c>
      <c r="B103" s="11" t="s">
        <v>73</v>
      </c>
      <c r="C103">
        <v>4023</v>
      </c>
      <c r="D103" s="9">
        <v>154.69</v>
      </c>
      <c r="E103" t="s">
        <v>60</v>
      </c>
    </row>
    <row r="104" spans="1:5">
      <c r="A104" t="s">
        <v>28</v>
      </c>
      <c r="B104" s="11" t="s">
        <v>74</v>
      </c>
      <c r="C104">
        <v>1001</v>
      </c>
      <c r="D104" s="9">
        <v>-17848.560000000001</v>
      </c>
      <c r="E104" t="s">
        <v>60</v>
      </c>
    </row>
    <row r="105" spans="1:5">
      <c r="A105" t="s">
        <v>28</v>
      </c>
      <c r="B105" s="11" t="s">
        <v>74</v>
      </c>
      <c r="C105">
        <v>4011</v>
      </c>
      <c r="D105" s="9">
        <v>484.34</v>
      </c>
      <c r="E105" t="s">
        <v>60</v>
      </c>
    </row>
    <row r="106" spans="1:5">
      <c r="A106" t="s">
        <v>28</v>
      </c>
      <c r="B106" s="11" t="s">
        <v>74</v>
      </c>
      <c r="C106">
        <v>4012</v>
      </c>
      <c r="D106" s="9">
        <v>96.87</v>
      </c>
      <c r="E106" t="s">
        <v>60</v>
      </c>
    </row>
    <row r="107" spans="1:5">
      <c r="A107" t="s">
        <v>28</v>
      </c>
      <c r="B107" s="11" t="s">
        <v>74</v>
      </c>
      <c r="C107">
        <v>4018</v>
      </c>
      <c r="D107" s="9">
        <v>306.5</v>
      </c>
      <c r="E107" t="s">
        <v>60</v>
      </c>
    </row>
    <row r="108" spans="1:5">
      <c r="A108" t="s">
        <v>28</v>
      </c>
      <c r="B108" s="11" t="s">
        <v>74</v>
      </c>
      <c r="C108">
        <v>4022</v>
      </c>
      <c r="D108" s="9">
        <v>74.92</v>
      </c>
      <c r="E108" t="s">
        <v>60</v>
      </c>
    </row>
    <row r="109" spans="1:5">
      <c r="A109" t="s">
        <v>28</v>
      </c>
      <c r="B109" s="11" t="s">
        <v>74</v>
      </c>
      <c r="C109">
        <v>4023</v>
      </c>
      <c r="D109" s="9">
        <v>136.22</v>
      </c>
      <c r="E109" t="s">
        <v>60</v>
      </c>
    </row>
    <row r="110" spans="1:5">
      <c r="A110" t="s">
        <v>29</v>
      </c>
      <c r="B110" s="11" t="s">
        <v>61</v>
      </c>
      <c r="C110">
        <v>1001</v>
      </c>
      <c r="D110" s="9">
        <v>-15327.57</v>
      </c>
      <c r="E110" t="s">
        <v>56</v>
      </c>
    </row>
    <row r="111" spans="1:5">
      <c r="A111" t="s">
        <v>29</v>
      </c>
      <c r="B111" s="11" t="s">
        <v>61</v>
      </c>
      <c r="C111">
        <v>4011</v>
      </c>
      <c r="D111" s="9">
        <v>224.81</v>
      </c>
      <c r="E111" t="s">
        <v>56</v>
      </c>
    </row>
    <row r="112" spans="1:5">
      <c r="A112" t="s">
        <v>29</v>
      </c>
      <c r="B112" s="11" t="s">
        <v>61</v>
      </c>
      <c r="C112">
        <v>4012</v>
      </c>
      <c r="D112" s="9">
        <v>39.340000000000003</v>
      </c>
      <c r="E112" t="s">
        <v>56</v>
      </c>
    </row>
    <row r="113" spans="1:5">
      <c r="A113" t="s">
        <v>29</v>
      </c>
      <c r="B113" s="11" t="s">
        <v>61</v>
      </c>
      <c r="C113">
        <v>4018</v>
      </c>
      <c r="D113" s="9">
        <v>280.73</v>
      </c>
      <c r="E113" t="s">
        <v>56</v>
      </c>
    </row>
    <row r="114" spans="1:5">
      <c r="A114" t="s">
        <v>29</v>
      </c>
      <c r="B114" s="11" t="s">
        <v>61</v>
      </c>
      <c r="C114">
        <v>4022</v>
      </c>
      <c r="D114" s="9">
        <v>87.34</v>
      </c>
      <c r="E114" t="s">
        <v>56</v>
      </c>
    </row>
    <row r="115" spans="1:5">
      <c r="A115" t="s">
        <v>29</v>
      </c>
      <c r="B115" s="11" t="s">
        <v>61</v>
      </c>
      <c r="C115">
        <v>4023</v>
      </c>
      <c r="D115" s="9">
        <v>124.77</v>
      </c>
      <c r="E115" t="s">
        <v>56</v>
      </c>
    </row>
    <row r="116" spans="1:5">
      <c r="A116" t="s">
        <v>29</v>
      </c>
      <c r="B116" s="11" t="s">
        <v>62</v>
      </c>
      <c r="C116">
        <v>1001</v>
      </c>
      <c r="D116" s="9">
        <v>-13131.92</v>
      </c>
      <c r="E116" t="s">
        <v>56</v>
      </c>
    </row>
    <row r="117" spans="1:5">
      <c r="A117" t="s">
        <v>29</v>
      </c>
      <c r="B117" s="11" t="s">
        <v>62</v>
      </c>
      <c r="C117">
        <v>4011</v>
      </c>
      <c r="D117" s="9">
        <v>174.93</v>
      </c>
      <c r="E117" t="s">
        <v>56</v>
      </c>
    </row>
    <row r="118" spans="1:5">
      <c r="A118" t="s">
        <v>29</v>
      </c>
      <c r="B118" s="11" t="s">
        <v>62</v>
      </c>
      <c r="C118">
        <v>4012</v>
      </c>
      <c r="D118" s="9">
        <v>30.61</v>
      </c>
      <c r="E118" t="s">
        <v>56</v>
      </c>
    </row>
    <row r="119" spans="1:5">
      <c r="A119" t="s">
        <v>29</v>
      </c>
      <c r="B119" s="11" t="s">
        <v>62</v>
      </c>
      <c r="C119">
        <v>4018</v>
      </c>
      <c r="D119" s="9">
        <v>202.39</v>
      </c>
      <c r="E119" t="s">
        <v>56</v>
      </c>
    </row>
    <row r="120" spans="1:5">
      <c r="A120" t="s">
        <v>29</v>
      </c>
      <c r="B120" s="11" t="s">
        <v>62</v>
      </c>
      <c r="C120">
        <v>4022</v>
      </c>
      <c r="D120" s="9">
        <v>62.97</v>
      </c>
      <c r="E120" t="s">
        <v>56</v>
      </c>
    </row>
    <row r="121" spans="1:5">
      <c r="A121" t="s">
        <v>29</v>
      </c>
      <c r="B121" s="11" t="s">
        <v>62</v>
      </c>
      <c r="C121">
        <v>4023</v>
      </c>
      <c r="D121" s="9">
        <v>89.95</v>
      </c>
      <c r="E121" t="s">
        <v>56</v>
      </c>
    </row>
    <row r="122" spans="1:5">
      <c r="A122" t="s">
        <v>29</v>
      </c>
      <c r="B122" s="11" t="s">
        <v>63</v>
      </c>
      <c r="C122">
        <v>1001</v>
      </c>
      <c r="D122" s="9">
        <v>-17480.75</v>
      </c>
      <c r="E122" t="s">
        <v>56</v>
      </c>
    </row>
    <row r="123" spans="1:5">
      <c r="A123" t="s">
        <v>29</v>
      </c>
      <c r="B123" s="11" t="s">
        <v>63</v>
      </c>
      <c r="C123">
        <v>4011</v>
      </c>
      <c r="D123" s="9">
        <v>288.33999999999997</v>
      </c>
      <c r="E123" t="s">
        <v>56</v>
      </c>
    </row>
    <row r="124" spans="1:5">
      <c r="A124" t="s">
        <v>29</v>
      </c>
      <c r="B124" s="11" t="s">
        <v>63</v>
      </c>
      <c r="C124">
        <v>4012</v>
      </c>
      <c r="D124" s="9">
        <v>57.67</v>
      </c>
      <c r="E124" t="s">
        <v>56</v>
      </c>
    </row>
    <row r="125" spans="1:5">
      <c r="A125" t="s">
        <v>29</v>
      </c>
      <c r="B125" s="11" t="s">
        <v>63</v>
      </c>
      <c r="C125">
        <v>4018</v>
      </c>
      <c r="D125" s="9">
        <v>307.89</v>
      </c>
      <c r="E125" t="s">
        <v>56</v>
      </c>
    </row>
    <row r="126" spans="1:5">
      <c r="A126" t="s">
        <v>29</v>
      </c>
      <c r="B126" s="11" t="s">
        <v>63</v>
      </c>
      <c r="C126">
        <v>4022</v>
      </c>
      <c r="D126" s="9">
        <v>95.79</v>
      </c>
      <c r="E126" t="s">
        <v>56</v>
      </c>
    </row>
    <row r="127" spans="1:5">
      <c r="A127" t="s">
        <v>29</v>
      </c>
      <c r="B127" s="11" t="s">
        <v>63</v>
      </c>
      <c r="C127">
        <v>4023</v>
      </c>
      <c r="D127" s="9">
        <v>136.84</v>
      </c>
      <c r="E127" t="s">
        <v>56</v>
      </c>
    </row>
    <row r="128" spans="1:5">
      <c r="A128" t="s">
        <v>29</v>
      </c>
      <c r="B128" s="11" t="s">
        <v>75</v>
      </c>
      <c r="C128">
        <v>1001</v>
      </c>
      <c r="D128" s="9">
        <v>-12612.95</v>
      </c>
      <c r="E128" t="s">
        <v>56</v>
      </c>
    </row>
    <row r="129" spans="1:5">
      <c r="A129" t="s">
        <v>29</v>
      </c>
      <c r="B129" s="11" t="s">
        <v>75</v>
      </c>
      <c r="C129">
        <v>4011</v>
      </c>
      <c r="D129" s="9">
        <v>292.87</v>
      </c>
      <c r="E129" t="s">
        <v>56</v>
      </c>
    </row>
    <row r="130" spans="1:5">
      <c r="A130" t="s">
        <v>29</v>
      </c>
      <c r="B130" s="11" t="s">
        <v>75</v>
      </c>
      <c r="C130">
        <v>4012</v>
      </c>
      <c r="D130" s="9">
        <v>58.57</v>
      </c>
      <c r="E130" t="s">
        <v>56</v>
      </c>
    </row>
    <row r="131" spans="1:5">
      <c r="A131" t="s">
        <v>29</v>
      </c>
      <c r="B131" s="11" t="s">
        <v>75</v>
      </c>
      <c r="C131">
        <v>4018</v>
      </c>
      <c r="D131" s="9">
        <v>362.92</v>
      </c>
      <c r="E131" t="s">
        <v>56</v>
      </c>
    </row>
    <row r="132" spans="1:5">
      <c r="A132" t="s">
        <v>29</v>
      </c>
      <c r="B132" s="11" t="s">
        <v>75</v>
      </c>
      <c r="C132">
        <v>4022</v>
      </c>
      <c r="D132" s="9">
        <v>112.91</v>
      </c>
      <c r="E132" t="s">
        <v>56</v>
      </c>
    </row>
    <row r="133" spans="1:5">
      <c r="A133" t="s">
        <v>29</v>
      </c>
      <c r="B133" s="11" t="s">
        <v>75</v>
      </c>
      <c r="C133">
        <v>4023</v>
      </c>
      <c r="D133" s="9">
        <v>161.30000000000001</v>
      </c>
      <c r="E133" t="s">
        <v>56</v>
      </c>
    </row>
    <row r="134" spans="1:5">
      <c r="A134" t="s">
        <v>29</v>
      </c>
      <c r="B134" s="11" t="s">
        <v>64</v>
      </c>
      <c r="C134">
        <v>1001</v>
      </c>
      <c r="D134" s="9">
        <v>-16810.830000000002</v>
      </c>
      <c r="E134" t="s">
        <v>57</v>
      </c>
    </row>
    <row r="135" spans="1:5">
      <c r="A135" t="s">
        <v>29</v>
      </c>
      <c r="B135" s="11" t="s">
        <v>64</v>
      </c>
      <c r="C135">
        <v>4011</v>
      </c>
      <c r="D135" s="9">
        <v>341.34</v>
      </c>
      <c r="E135" t="s">
        <v>57</v>
      </c>
    </row>
    <row r="136" spans="1:5">
      <c r="A136" t="s">
        <v>29</v>
      </c>
      <c r="B136" s="11" t="s">
        <v>64</v>
      </c>
      <c r="C136">
        <v>4012</v>
      </c>
      <c r="D136" s="9">
        <v>68.27</v>
      </c>
      <c r="E136" t="s">
        <v>57</v>
      </c>
    </row>
    <row r="137" spans="1:5">
      <c r="A137" t="s">
        <v>29</v>
      </c>
      <c r="B137" s="11" t="s">
        <v>64</v>
      </c>
      <c r="C137">
        <v>4018</v>
      </c>
      <c r="D137" s="9">
        <v>315.52</v>
      </c>
      <c r="E137" t="s">
        <v>57</v>
      </c>
    </row>
    <row r="138" spans="1:5">
      <c r="A138" t="s">
        <v>29</v>
      </c>
      <c r="B138" s="11" t="s">
        <v>64</v>
      </c>
      <c r="C138">
        <v>4022</v>
      </c>
      <c r="D138" s="9">
        <v>98.16</v>
      </c>
      <c r="E138" t="s">
        <v>57</v>
      </c>
    </row>
    <row r="139" spans="1:5">
      <c r="A139" t="s">
        <v>29</v>
      </c>
      <c r="B139" s="11" t="s">
        <v>64</v>
      </c>
      <c r="C139">
        <v>4023</v>
      </c>
      <c r="D139" s="9">
        <v>140.22999999999999</v>
      </c>
      <c r="E139" t="s">
        <v>57</v>
      </c>
    </row>
    <row r="140" spans="1:5">
      <c r="A140" t="s">
        <v>29</v>
      </c>
      <c r="B140" s="11" t="s">
        <v>65</v>
      </c>
      <c r="C140">
        <v>1001</v>
      </c>
      <c r="D140" s="9">
        <v>-13312.89</v>
      </c>
      <c r="E140" t="s">
        <v>57</v>
      </c>
    </row>
    <row r="141" spans="1:5">
      <c r="A141" t="s">
        <v>29</v>
      </c>
      <c r="B141" s="11" t="s">
        <v>65</v>
      </c>
      <c r="C141">
        <v>4011</v>
      </c>
      <c r="D141" s="9">
        <v>231.9</v>
      </c>
      <c r="E141" t="s">
        <v>57</v>
      </c>
    </row>
    <row r="142" spans="1:5">
      <c r="A142" t="s">
        <v>29</v>
      </c>
      <c r="B142" s="11" t="s">
        <v>65</v>
      </c>
      <c r="C142">
        <v>4012</v>
      </c>
      <c r="D142" s="9">
        <v>46.38</v>
      </c>
      <c r="E142" t="s">
        <v>57</v>
      </c>
    </row>
    <row r="143" spans="1:5">
      <c r="A143" t="s">
        <v>29</v>
      </c>
      <c r="B143" s="11" t="s">
        <v>65</v>
      </c>
      <c r="C143">
        <v>4018</v>
      </c>
      <c r="D143" s="9">
        <v>260.83999999999997</v>
      </c>
      <c r="E143" t="s">
        <v>57</v>
      </c>
    </row>
    <row r="144" spans="1:5">
      <c r="A144" t="s">
        <v>29</v>
      </c>
      <c r="B144" s="11" t="s">
        <v>65</v>
      </c>
      <c r="C144">
        <v>4022</v>
      </c>
      <c r="D144" s="9">
        <v>81.150000000000006</v>
      </c>
      <c r="E144" t="s">
        <v>57</v>
      </c>
    </row>
    <row r="145" spans="1:5">
      <c r="A145" t="s">
        <v>29</v>
      </c>
      <c r="B145" s="11" t="s">
        <v>65</v>
      </c>
      <c r="C145">
        <v>4023</v>
      </c>
      <c r="D145" s="9">
        <v>115.93</v>
      </c>
      <c r="E145" t="s">
        <v>57</v>
      </c>
    </row>
    <row r="146" spans="1:5">
      <c r="A146" t="s">
        <v>29</v>
      </c>
      <c r="B146" s="11" t="s">
        <v>66</v>
      </c>
      <c r="C146">
        <v>1001</v>
      </c>
      <c r="D146" s="9">
        <v>-27415.66</v>
      </c>
      <c r="E146" t="s">
        <v>57</v>
      </c>
    </row>
    <row r="147" spans="1:5">
      <c r="A147" t="s">
        <v>29</v>
      </c>
      <c r="B147" s="11" t="s">
        <v>66</v>
      </c>
      <c r="C147">
        <v>4011</v>
      </c>
      <c r="D147" s="9">
        <v>373.78</v>
      </c>
      <c r="E147" t="s">
        <v>57</v>
      </c>
    </row>
    <row r="148" spans="1:5">
      <c r="A148" t="s">
        <v>29</v>
      </c>
      <c r="B148" s="11" t="s">
        <v>66</v>
      </c>
      <c r="C148">
        <v>4012</v>
      </c>
      <c r="D148" s="9">
        <v>74.760000000000005</v>
      </c>
      <c r="E148" t="s">
        <v>57</v>
      </c>
    </row>
    <row r="149" spans="1:5">
      <c r="A149" t="s">
        <v>29</v>
      </c>
      <c r="B149" s="11" t="s">
        <v>66</v>
      </c>
      <c r="C149">
        <v>4018</v>
      </c>
      <c r="D149" s="9">
        <v>469.9</v>
      </c>
      <c r="E149" t="s">
        <v>57</v>
      </c>
    </row>
    <row r="150" spans="1:5">
      <c r="A150" t="s">
        <v>29</v>
      </c>
      <c r="B150" s="11" t="s">
        <v>66</v>
      </c>
      <c r="C150">
        <v>4022</v>
      </c>
      <c r="D150" s="9">
        <v>146.19</v>
      </c>
      <c r="E150" t="s">
        <v>57</v>
      </c>
    </row>
    <row r="151" spans="1:5">
      <c r="A151" t="s">
        <v>29</v>
      </c>
      <c r="B151" s="11" t="s">
        <v>66</v>
      </c>
      <c r="C151">
        <v>4023</v>
      </c>
      <c r="D151" s="9">
        <v>208.85</v>
      </c>
      <c r="E151" t="s">
        <v>57</v>
      </c>
    </row>
    <row r="152" spans="1:5">
      <c r="A152" t="s">
        <v>29</v>
      </c>
      <c r="B152" s="11" t="s">
        <v>67</v>
      </c>
      <c r="C152">
        <v>1001</v>
      </c>
      <c r="D152" s="9">
        <v>-11155.14</v>
      </c>
      <c r="E152" t="s">
        <v>57</v>
      </c>
    </row>
    <row r="153" spans="1:5">
      <c r="A153" t="s">
        <v>29</v>
      </c>
      <c r="B153" s="11" t="s">
        <v>67</v>
      </c>
      <c r="C153">
        <v>4011</v>
      </c>
      <c r="D153" s="9">
        <v>180.3</v>
      </c>
      <c r="E153" t="s">
        <v>57</v>
      </c>
    </row>
    <row r="154" spans="1:5">
      <c r="A154" t="s">
        <v>29</v>
      </c>
      <c r="B154" s="11" t="s">
        <v>67</v>
      </c>
      <c r="C154">
        <v>4012</v>
      </c>
      <c r="D154" s="9">
        <v>36.06</v>
      </c>
      <c r="E154" t="s">
        <v>57</v>
      </c>
    </row>
    <row r="155" spans="1:5">
      <c r="A155" t="s">
        <v>29</v>
      </c>
      <c r="B155" s="11" t="s">
        <v>67</v>
      </c>
      <c r="C155">
        <v>4018</v>
      </c>
      <c r="D155" s="9">
        <v>197.99</v>
      </c>
      <c r="E155" t="s">
        <v>57</v>
      </c>
    </row>
    <row r="156" spans="1:5">
      <c r="A156" t="s">
        <v>29</v>
      </c>
      <c r="B156" s="11" t="s">
        <v>67</v>
      </c>
      <c r="C156">
        <v>4022</v>
      </c>
      <c r="D156" s="9">
        <v>61.6</v>
      </c>
      <c r="E156" t="s">
        <v>57</v>
      </c>
    </row>
    <row r="157" spans="1:5">
      <c r="A157" t="s">
        <v>29</v>
      </c>
      <c r="B157" s="11" t="s">
        <v>67</v>
      </c>
      <c r="C157">
        <v>4023</v>
      </c>
      <c r="D157" s="9">
        <v>87.99</v>
      </c>
      <c r="E157" t="s">
        <v>57</v>
      </c>
    </row>
    <row r="158" spans="1:5">
      <c r="A158" t="s">
        <v>29</v>
      </c>
      <c r="B158" s="11" t="s">
        <v>76</v>
      </c>
      <c r="C158">
        <v>1001</v>
      </c>
      <c r="D158" s="9">
        <v>-8611.3700000000008</v>
      </c>
      <c r="E158" t="s">
        <v>57</v>
      </c>
    </row>
    <row r="159" spans="1:5">
      <c r="A159" t="s">
        <v>29</v>
      </c>
      <c r="B159" s="11" t="s">
        <v>76</v>
      </c>
      <c r="C159">
        <v>4011</v>
      </c>
      <c r="D159" s="9">
        <v>101.14</v>
      </c>
      <c r="E159" t="s">
        <v>57</v>
      </c>
    </row>
    <row r="160" spans="1:5">
      <c r="A160" t="s">
        <v>29</v>
      </c>
      <c r="B160" s="11" t="s">
        <v>76</v>
      </c>
      <c r="C160">
        <v>4012</v>
      </c>
      <c r="D160" s="9">
        <v>18.96</v>
      </c>
      <c r="E160" t="s">
        <v>57</v>
      </c>
    </row>
    <row r="161" spans="1:5">
      <c r="A161" t="s">
        <v>29</v>
      </c>
      <c r="B161" s="11" t="s">
        <v>76</v>
      </c>
      <c r="C161">
        <v>4018</v>
      </c>
      <c r="D161" s="9">
        <v>157.32</v>
      </c>
      <c r="E161" t="s">
        <v>57</v>
      </c>
    </row>
    <row r="162" spans="1:5">
      <c r="A162" t="s">
        <v>29</v>
      </c>
      <c r="B162" s="11" t="s">
        <v>76</v>
      </c>
      <c r="C162">
        <v>4022</v>
      </c>
      <c r="D162" s="9">
        <v>48.94</v>
      </c>
      <c r="E162" t="s">
        <v>57</v>
      </c>
    </row>
    <row r="163" spans="1:5">
      <c r="A163" t="s">
        <v>29</v>
      </c>
      <c r="B163" s="11" t="s">
        <v>76</v>
      </c>
      <c r="C163">
        <v>4023</v>
      </c>
      <c r="D163" s="9">
        <v>69.92</v>
      </c>
      <c r="E163" t="s">
        <v>57</v>
      </c>
    </row>
    <row r="164" spans="1:5">
      <c r="A164" t="s">
        <v>29</v>
      </c>
      <c r="B164" s="11" t="s">
        <v>68</v>
      </c>
      <c r="C164">
        <v>1001</v>
      </c>
      <c r="D164" s="9">
        <v>-14791.17</v>
      </c>
      <c r="E164" t="s">
        <v>58</v>
      </c>
    </row>
    <row r="165" spans="1:5">
      <c r="A165" t="s">
        <v>29</v>
      </c>
      <c r="B165" s="11" t="s">
        <v>68</v>
      </c>
      <c r="C165">
        <v>4011</v>
      </c>
      <c r="D165" s="9">
        <v>188.74</v>
      </c>
      <c r="E165" t="s">
        <v>58</v>
      </c>
    </row>
    <row r="166" spans="1:5">
      <c r="A166" t="s">
        <v>29</v>
      </c>
      <c r="B166" s="11" t="s">
        <v>68</v>
      </c>
      <c r="C166">
        <v>4012</v>
      </c>
      <c r="D166" s="9">
        <v>33.03</v>
      </c>
      <c r="E166" t="s">
        <v>58</v>
      </c>
    </row>
    <row r="167" spans="1:5">
      <c r="A167" t="s">
        <v>29</v>
      </c>
      <c r="B167" s="11" t="s">
        <v>68</v>
      </c>
      <c r="C167">
        <v>4018</v>
      </c>
      <c r="D167" s="9">
        <v>273.55</v>
      </c>
      <c r="E167" t="s">
        <v>58</v>
      </c>
    </row>
    <row r="168" spans="1:5">
      <c r="A168" t="s">
        <v>29</v>
      </c>
      <c r="B168" s="11" t="s">
        <v>68</v>
      </c>
      <c r="C168">
        <v>4022</v>
      </c>
      <c r="D168" s="9">
        <v>85.11</v>
      </c>
      <c r="E168" t="s">
        <v>58</v>
      </c>
    </row>
    <row r="169" spans="1:5">
      <c r="A169" t="s">
        <v>29</v>
      </c>
      <c r="B169" s="11" t="s">
        <v>68</v>
      </c>
      <c r="C169">
        <v>4023</v>
      </c>
      <c r="D169" s="9">
        <v>121.58</v>
      </c>
      <c r="E169" t="s">
        <v>58</v>
      </c>
    </row>
    <row r="170" spans="1:5">
      <c r="A170" t="s">
        <v>29</v>
      </c>
      <c r="B170" s="11" t="s">
        <v>69</v>
      </c>
      <c r="C170">
        <v>1001</v>
      </c>
      <c r="D170" s="9">
        <v>-12287.22</v>
      </c>
      <c r="E170" t="s">
        <v>58</v>
      </c>
    </row>
    <row r="171" spans="1:5">
      <c r="A171" t="s">
        <v>29</v>
      </c>
      <c r="B171" s="11" t="s">
        <v>69</v>
      </c>
      <c r="C171">
        <v>4011</v>
      </c>
      <c r="D171" s="9">
        <v>173.38</v>
      </c>
      <c r="E171" t="s">
        <v>58</v>
      </c>
    </row>
    <row r="172" spans="1:5">
      <c r="A172" t="s">
        <v>29</v>
      </c>
      <c r="B172" s="11" t="s">
        <v>69</v>
      </c>
      <c r="C172">
        <v>4012</v>
      </c>
      <c r="D172" s="9">
        <v>30.34</v>
      </c>
      <c r="E172" t="s">
        <v>58</v>
      </c>
    </row>
    <row r="173" spans="1:5">
      <c r="A173" t="s">
        <v>29</v>
      </c>
      <c r="B173" s="11" t="s">
        <v>69</v>
      </c>
      <c r="C173">
        <v>4018</v>
      </c>
      <c r="D173" s="9">
        <v>218.78</v>
      </c>
      <c r="E173" t="s">
        <v>58</v>
      </c>
    </row>
    <row r="174" spans="1:5">
      <c r="A174" t="s">
        <v>29</v>
      </c>
      <c r="B174" s="11" t="s">
        <v>69</v>
      </c>
      <c r="C174">
        <v>4022</v>
      </c>
      <c r="D174" s="9">
        <v>68.069999999999993</v>
      </c>
      <c r="E174" t="s">
        <v>58</v>
      </c>
    </row>
    <row r="175" spans="1:5">
      <c r="A175" t="s">
        <v>29</v>
      </c>
      <c r="B175" s="11" t="s">
        <v>69</v>
      </c>
      <c r="C175">
        <v>4023</v>
      </c>
      <c r="D175" s="9">
        <v>97.24</v>
      </c>
      <c r="E175" t="s">
        <v>58</v>
      </c>
    </row>
    <row r="176" spans="1:5">
      <c r="A176" t="s">
        <v>29</v>
      </c>
      <c r="B176" s="11" t="s">
        <v>77</v>
      </c>
      <c r="C176">
        <v>1001</v>
      </c>
      <c r="D176" s="9">
        <v>-17155.259999999998</v>
      </c>
      <c r="E176" t="s">
        <v>58</v>
      </c>
    </row>
    <row r="177" spans="1:5">
      <c r="A177" t="s">
        <v>29</v>
      </c>
      <c r="B177" s="11" t="s">
        <v>77</v>
      </c>
      <c r="C177">
        <v>4011</v>
      </c>
      <c r="D177" s="9">
        <v>373.43</v>
      </c>
      <c r="E177" t="s">
        <v>58</v>
      </c>
    </row>
    <row r="178" spans="1:5">
      <c r="A178" t="s">
        <v>29</v>
      </c>
      <c r="B178" s="11" t="s">
        <v>77</v>
      </c>
      <c r="C178">
        <v>4012</v>
      </c>
      <c r="D178" s="9">
        <v>74.69</v>
      </c>
      <c r="E178" t="s">
        <v>58</v>
      </c>
    </row>
    <row r="179" spans="1:5">
      <c r="A179" t="s">
        <v>29</v>
      </c>
      <c r="B179" s="11" t="s">
        <v>77</v>
      </c>
      <c r="C179">
        <v>4018</v>
      </c>
      <c r="D179" s="9">
        <v>284.43</v>
      </c>
      <c r="E179" t="s">
        <v>58</v>
      </c>
    </row>
    <row r="180" spans="1:5">
      <c r="A180" t="s">
        <v>29</v>
      </c>
      <c r="B180" s="11" t="s">
        <v>77</v>
      </c>
      <c r="C180">
        <v>4022</v>
      </c>
      <c r="D180" s="9">
        <v>88.49</v>
      </c>
      <c r="E180" t="s">
        <v>58</v>
      </c>
    </row>
    <row r="181" spans="1:5">
      <c r="A181" t="s">
        <v>29</v>
      </c>
      <c r="B181" s="11" t="s">
        <v>77</v>
      </c>
      <c r="C181">
        <v>4023</v>
      </c>
      <c r="D181" s="9">
        <v>126.41</v>
      </c>
      <c r="E181" t="s">
        <v>58</v>
      </c>
    </row>
    <row r="182" spans="1:5">
      <c r="A182" t="s">
        <v>29</v>
      </c>
      <c r="B182" s="11" t="s">
        <v>70</v>
      </c>
      <c r="C182">
        <v>1001</v>
      </c>
      <c r="D182" s="9">
        <v>-17312.310000000001</v>
      </c>
      <c r="E182" t="s">
        <v>59</v>
      </c>
    </row>
    <row r="183" spans="1:5">
      <c r="A183" t="s">
        <v>29</v>
      </c>
      <c r="B183" s="11" t="s">
        <v>70</v>
      </c>
      <c r="C183">
        <v>4011</v>
      </c>
      <c r="D183" s="9">
        <v>283.08</v>
      </c>
      <c r="E183" t="s">
        <v>59</v>
      </c>
    </row>
    <row r="184" spans="1:5">
      <c r="A184" t="s">
        <v>29</v>
      </c>
      <c r="B184" s="11" t="s">
        <v>70</v>
      </c>
      <c r="C184">
        <v>4012</v>
      </c>
      <c r="D184" s="9">
        <v>56.62</v>
      </c>
      <c r="E184" t="s">
        <v>59</v>
      </c>
    </row>
    <row r="185" spans="1:5">
      <c r="A185" t="s">
        <v>29</v>
      </c>
      <c r="B185" s="11" t="s">
        <v>70</v>
      </c>
      <c r="C185">
        <v>4018</v>
      </c>
      <c r="D185" s="9">
        <v>333.2</v>
      </c>
      <c r="E185" t="s">
        <v>59</v>
      </c>
    </row>
    <row r="186" spans="1:5">
      <c r="A186" t="s">
        <v>29</v>
      </c>
      <c r="B186" s="11" t="s">
        <v>70</v>
      </c>
      <c r="C186">
        <v>4022</v>
      </c>
      <c r="D186" s="9">
        <v>93.3</v>
      </c>
      <c r="E186" t="s">
        <v>59</v>
      </c>
    </row>
    <row r="187" spans="1:5">
      <c r="A187" t="s">
        <v>29</v>
      </c>
      <c r="B187" s="11" t="s">
        <v>70</v>
      </c>
      <c r="C187">
        <v>4023</v>
      </c>
      <c r="D187" s="9">
        <v>133.28</v>
      </c>
      <c r="E187" t="s">
        <v>59</v>
      </c>
    </row>
    <row r="188" spans="1:5">
      <c r="A188" t="s">
        <v>29</v>
      </c>
      <c r="B188" s="11" t="s">
        <v>71</v>
      </c>
      <c r="C188">
        <v>1001</v>
      </c>
      <c r="D188" s="9">
        <v>-20593.45</v>
      </c>
      <c r="E188" t="s">
        <v>59</v>
      </c>
    </row>
    <row r="189" spans="1:5">
      <c r="A189" t="s">
        <v>29</v>
      </c>
      <c r="B189" s="11" t="s">
        <v>71</v>
      </c>
      <c r="C189">
        <v>4011</v>
      </c>
      <c r="D189" s="9">
        <v>366.94</v>
      </c>
      <c r="E189" t="s">
        <v>59</v>
      </c>
    </row>
    <row r="190" spans="1:5">
      <c r="A190" t="s">
        <v>29</v>
      </c>
      <c r="B190" s="11" t="s">
        <v>71</v>
      </c>
      <c r="C190">
        <v>4012</v>
      </c>
      <c r="D190" s="9">
        <v>73.39</v>
      </c>
      <c r="E190" t="s">
        <v>59</v>
      </c>
    </row>
    <row r="191" spans="1:5">
      <c r="A191" t="s">
        <v>29</v>
      </c>
      <c r="B191" s="11" t="s">
        <v>71</v>
      </c>
      <c r="C191">
        <v>4018</v>
      </c>
      <c r="D191" s="9">
        <v>368.55</v>
      </c>
      <c r="E191" t="s">
        <v>59</v>
      </c>
    </row>
    <row r="192" spans="1:5">
      <c r="A192" t="s">
        <v>29</v>
      </c>
      <c r="B192" s="11" t="s">
        <v>71</v>
      </c>
      <c r="C192">
        <v>4022</v>
      </c>
      <c r="D192" s="9">
        <v>114.66</v>
      </c>
      <c r="E192" t="s">
        <v>59</v>
      </c>
    </row>
    <row r="193" spans="1:5">
      <c r="A193" t="s">
        <v>29</v>
      </c>
      <c r="B193" s="11" t="s">
        <v>71</v>
      </c>
      <c r="C193">
        <v>4023</v>
      </c>
      <c r="D193" s="9">
        <v>163.80000000000001</v>
      </c>
      <c r="E193" t="s">
        <v>59</v>
      </c>
    </row>
    <row r="194" spans="1:5">
      <c r="A194" t="s">
        <v>29</v>
      </c>
      <c r="B194" s="11" t="s">
        <v>72</v>
      </c>
      <c r="C194">
        <v>1001</v>
      </c>
      <c r="D194" s="9">
        <v>-20759.099999999999</v>
      </c>
      <c r="E194" t="s">
        <v>59</v>
      </c>
    </row>
    <row r="195" spans="1:5">
      <c r="A195" t="s">
        <v>29</v>
      </c>
      <c r="B195" s="11" t="s">
        <v>72</v>
      </c>
      <c r="C195">
        <v>4011</v>
      </c>
      <c r="D195" s="9">
        <v>473.49</v>
      </c>
      <c r="E195" t="s">
        <v>59</v>
      </c>
    </row>
    <row r="196" spans="1:5">
      <c r="A196" t="s">
        <v>29</v>
      </c>
      <c r="B196" s="11" t="s">
        <v>72</v>
      </c>
      <c r="C196">
        <v>4012</v>
      </c>
      <c r="D196" s="9">
        <v>94.7</v>
      </c>
      <c r="E196" t="s">
        <v>59</v>
      </c>
    </row>
    <row r="197" spans="1:5">
      <c r="A197" t="s">
        <v>29</v>
      </c>
      <c r="B197" s="11" t="s">
        <v>72</v>
      </c>
      <c r="C197">
        <v>4018</v>
      </c>
      <c r="D197" s="9">
        <v>864.66</v>
      </c>
      <c r="E197" t="s">
        <v>59</v>
      </c>
    </row>
    <row r="198" spans="1:5">
      <c r="A198" t="s">
        <v>29</v>
      </c>
      <c r="B198" s="11" t="s">
        <v>72</v>
      </c>
      <c r="C198">
        <v>4022</v>
      </c>
      <c r="D198" s="9">
        <v>121.05</v>
      </c>
      <c r="E198" t="s">
        <v>59</v>
      </c>
    </row>
    <row r="199" spans="1:5">
      <c r="A199" t="s">
        <v>29</v>
      </c>
      <c r="B199" s="11" t="s">
        <v>72</v>
      </c>
      <c r="C199">
        <v>4023</v>
      </c>
      <c r="D199" s="9">
        <v>172.93</v>
      </c>
      <c r="E199" t="s">
        <v>59</v>
      </c>
    </row>
    <row r="200" spans="1:5">
      <c r="A200" t="s">
        <v>29</v>
      </c>
      <c r="B200" s="11" t="s">
        <v>78</v>
      </c>
      <c r="C200">
        <v>1001</v>
      </c>
      <c r="D200" s="9">
        <v>-16100.82</v>
      </c>
      <c r="E200" t="s">
        <v>59</v>
      </c>
    </row>
    <row r="201" spans="1:5">
      <c r="A201" t="s">
        <v>29</v>
      </c>
      <c r="B201" s="11" t="s">
        <v>78</v>
      </c>
      <c r="C201">
        <v>4011</v>
      </c>
      <c r="D201" s="9">
        <v>253.61</v>
      </c>
      <c r="E201" t="s">
        <v>59</v>
      </c>
    </row>
    <row r="202" spans="1:5">
      <c r="A202" t="s">
        <v>29</v>
      </c>
      <c r="B202" s="11" t="s">
        <v>78</v>
      </c>
      <c r="C202">
        <v>4012</v>
      </c>
      <c r="D202" s="9">
        <v>50.72</v>
      </c>
      <c r="E202" t="s">
        <v>59</v>
      </c>
    </row>
    <row r="203" spans="1:5">
      <c r="A203" t="s">
        <v>29</v>
      </c>
      <c r="B203" s="11" t="s">
        <v>78</v>
      </c>
      <c r="C203">
        <v>4018</v>
      </c>
      <c r="D203" s="9">
        <v>910.86</v>
      </c>
      <c r="E203" t="s">
        <v>59</v>
      </c>
    </row>
    <row r="204" spans="1:5">
      <c r="A204" t="s">
        <v>29</v>
      </c>
      <c r="B204" s="11" t="s">
        <v>78</v>
      </c>
      <c r="C204">
        <v>4022</v>
      </c>
      <c r="D204" s="9">
        <v>88.08</v>
      </c>
      <c r="E204" t="s">
        <v>59</v>
      </c>
    </row>
    <row r="205" spans="1:5">
      <c r="A205" t="s">
        <v>29</v>
      </c>
      <c r="B205" s="11" t="s">
        <v>78</v>
      </c>
      <c r="C205">
        <v>4023</v>
      </c>
      <c r="D205" s="9">
        <v>145.74</v>
      </c>
      <c r="E205" t="s">
        <v>59</v>
      </c>
    </row>
    <row r="206" spans="1:5">
      <c r="A206" t="s">
        <v>29</v>
      </c>
      <c r="B206" s="11" t="s">
        <v>73</v>
      </c>
      <c r="C206">
        <v>1001</v>
      </c>
      <c r="D206" s="9">
        <v>-18434.88</v>
      </c>
      <c r="E206" t="s">
        <v>60</v>
      </c>
    </row>
    <row r="207" spans="1:5">
      <c r="A207" t="s">
        <v>29</v>
      </c>
      <c r="B207" s="11" t="s">
        <v>73</v>
      </c>
      <c r="C207">
        <v>4011</v>
      </c>
      <c r="D207" s="9">
        <v>408.7</v>
      </c>
      <c r="E207" t="s">
        <v>60</v>
      </c>
    </row>
    <row r="208" spans="1:5">
      <c r="A208" t="s">
        <v>29</v>
      </c>
      <c r="B208" s="11" t="s">
        <v>73</v>
      </c>
      <c r="C208">
        <v>4012</v>
      </c>
      <c r="D208" s="9">
        <v>81.739999999999995</v>
      </c>
      <c r="E208" t="s">
        <v>60</v>
      </c>
    </row>
    <row r="209" spans="1:5">
      <c r="A209" t="s">
        <v>29</v>
      </c>
      <c r="B209" s="11" t="s">
        <v>73</v>
      </c>
      <c r="C209">
        <v>4018</v>
      </c>
      <c r="D209" s="9">
        <v>352.95</v>
      </c>
      <c r="E209" t="s">
        <v>60</v>
      </c>
    </row>
    <row r="210" spans="1:5">
      <c r="A210" t="s">
        <v>29</v>
      </c>
      <c r="B210" s="11" t="s">
        <v>73</v>
      </c>
      <c r="C210">
        <v>4022</v>
      </c>
      <c r="D210" s="9">
        <v>109.81</v>
      </c>
      <c r="E210" t="s">
        <v>60</v>
      </c>
    </row>
    <row r="211" spans="1:5">
      <c r="A211" t="s">
        <v>29</v>
      </c>
      <c r="B211" s="11" t="s">
        <v>73</v>
      </c>
      <c r="C211">
        <v>4023</v>
      </c>
      <c r="D211" s="9">
        <v>156.87</v>
      </c>
      <c r="E211" t="s">
        <v>60</v>
      </c>
    </row>
    <row r="212" spans="1:5">
      <c r="A212" t="s">
        <v>29</v>
      </c>
      <c r="B212" s="11" t="s">
        <v>74</v>
      </c>
      <c r="C212">
        <v>1001</v>
      </c>
      <c r="D212" s="9">
        <v>-18705.419999999998</v>
      </c>
      <c r="E212" t="s">
        <v>60</v>
      </c>
    </row>
    <row r="213" spans="1:5">
      <c r="A213" t="s">
        <v>29</v>
      </c>
      <c r="B213" s="11" t="s">
        <v>74</v>
      </c>
      <c r="C213">
        <v>4011</v>
      </c>
      <c r="D213" s="9">
        <v>452.68</v>
      </c>
      <c r="E213" t="s">
        <v>60</v>
      </c>
    </row>
    <row r="214" spans="1:5">
      <c r="A214" t="s">
        <v>29</v>
      </c>
      <c r="B214" s="11" t="s">
        <v>74</v>
      </c>
      <c r="C214">
        <v>4012</v>
      </c>
      <c r="D214" s="9">
        <v>90.54</v>
      </c>
      <c r="E214" t="s">
        <v>60</v>
      </c>
    </row>
    <row r="215" spans="1:5">
      <c r="A215" t="s">
        <v>29</v>
      </c>
      <c r="B215" s="11" t="s">
        <v>74</v>
      </c>
      <c r="C215">
        <v>4018</v>
      </c>
      <c r="D215" s="9">
        <v>414.53</v>
      </c>
      <c r="E215" t="s">
        <v>60</v>
      </c>
    </row>
    <row r="216" spans="1:5">
      <c r="A216" t="s">
        <v>29</v>
      </c>
      <c r="B216" s="11" t="s">
        <v>74</v>
      </c>
      <c r="C216">
        <v>4022</v>
      </c>
      <c r="D216" s="9">
        <v>128.97</v>
      </c>
      <c r="E216" t="s">
        <v>60</v>
      </c>
    </row>
    <row r="217" spans="1:5">
      <c r="A217" t="s">
        <v>29</v>
      </c>
      <c r="B217" s="11" t="s">
        <v>74</v>
      </c>
      <c r="C217">
        <v>4023</v>
      </c>
      <c r="D217" s="9">
        <v>184.24</v>
      </c>
      <c r="E217" t="s">
        <v>60</v>
      </c>
    </row>
    <row r="218" spans="1:5">
      <c r="A218" t="s">
        <v>30</v>
      </c>
      <c r="B218" s="11" t="s">
        <v>61</v>
      </c>
      <c r="C218">
        <v>1001</v>
      </c>
      <c r="D218" s="9">
        <v>-13848.37</v>
      </c>
      <c r="E218" t="s">
        <v>56</v>
      </c>
    </row>
    <row r="219" spans="1:5">
      <c r="A219" t="s">
        <v>30</v>
      </c>
      <c r="B219" s="11" t="s">
        <v>61</v>
      </c>
      <c r="C219">
        <v>4011</v>
      </c>
      <c r="D219" s="9">
        <v>282.47000000000003</v>
      </c>
      <c r="E219" t="s">
        <v>56</v>
      </c>
    </row>
    <row r="220" spans="1:5">
      <c r="A220" t="s">
        <v>30</v>
      </c>
      <c r="B220" s="11" t="s">
        <v>61</v>
      </c>
      <c r="C220">
        <v>4012</v>
      </c>
      <c r="D220" s="9">
        <v>49.43</v>
      </c>
      <c r="E220" t="s">
        <v>56</v>
      </c>
    </row>
    <row r="221" spans="1:5">
      <c r="A221" t="s">
        <v>30</v>
      </c>
      <c r="B221" s="11" t="s">
        <v>61</v>
      </c>
      <c r="C221">
        <v>4018</v>
      </c>
      <c r="D221" s="9">
        <v>344.18</v>
      </c>
      <c r="E221" t="s">
        <v>56</v>
      </c>
    </row>
    <row r="222" spans="1:5">
      <c r="A222" t="s">
        <v>30</v>
      </c>
      <c r="B222" s="11" t="s">
        <v>61</v>
      </c>
      <c r="C222">
        <v>4021</v>
      </c>
      <c r="D222" s="9">
        <v>250</v>
      </c>
      <c r="E222" t="s">
        <v>56</v>
      </c>
    </row>
    <row r="223" spans="1:5">
      <c r="A223" t="s">
        <v>30</v>
      </c>
      <c r="B223" s="11" t="s">
        <v>61</v>
      </c>
      <c r="C223">
        <v>4022</v>
      </c>
      <c r="D223" s="9">
        <v>107.08</v>
      </c>
      <c r="E223" t="s">
        <v>56</v>
      </c>
    </row>
    <row r="224" spans="1:5">
      <c r="A224" t="s">
        <v>30</v>
      </c>
      <c r="B224" s="11" t="s">
        <v>61</v>
      </c>
      <c r="C224">
        <v>4023</v>
      </c>
      <c r="D224" s="9">
        <v>152.97</v>
      </c>
      <c r="E224" t="s">
        <v>56</v>
      </c>
    </row>
    <row r="225" spans="1:5">
      <c r="A225" t="s">
        <v>30</v>
      </c>
      <c r="B225" s="11" t="s">
        <v>62</v>
      </c>
      <c r="C225">
        <v>1001</v>
      </c>
      <c r="D225" s="9">
        <v>-9936.34</v>
      </c>
      <c r="E225" t="s">
        <v>56</v>
      </c>
    </row>
    <row r="226" spans="1:5">
      <c r="A226" t="s">
        <v>30</v>
      </c>
      <c r="B226" s="11" t="s">
        <v>62</v>
      </c>
      <c r="C226">
        <v>4011</v>
      </c>
      <c r="D226" s="9">
        <v>194.58</v>
      </c>
      <c r="E226" t="s">
        <v>56</v>
      </c>
    </row>
    <row r="227" spans="1:5">
      <c r="A227" t="s">
        <v>30</v>
      </c>
      <c r="B227" s="11" t="s">
        <v>62</v>
      </c>
      <c r="C227">
        <v>4012</v>
      </c>
      <c r="D227" s="9">
        <v>34.049999999999997</v>
      </c>
      <c r="E227" t="s">
        <v>56</v>
      </c>
    </row>
    <row r="228" spans="1:5">
      <c r="A228" t="s">
        <v>30</v>
      </c>
      <c r="B228" s="11" t="s">
        <v>62</v>
      </c>
      <c r="C228">
        <v>4018</v>
      </c>
      <c r="D228" s="9">
        <v>200.39</v>
      </c>
      <c r="E228" t="s">
        <v>56</v>
      </c>
    </row>
    <row r="229" spans="1:5">
      <c r="A229" t="s">
        <v>30</v>
      </c>
      <c r="B229" s="11" t="s">
        <v>62</v>
      </c>
      <c r="C229">
        <v>4022</v>
      </c>
      <c r="D229" s="9">
        <v>62.34</v>
      </c>
      <c r="E229" t="s">
        <v>56</v>
      </c>
    </row>
    <row r="230" spans="1:5">
      <c r="A230" t="s">
        <v>30</v>
      </c>
      <c r="B230" s="11" t="s">
        <v>62</v>
      </c>
      <c r="C230">
        <v>4023</v>
      </c>
      <c r="D230" s="9">
        <v>89.06</v>
      </c>
      <c r="E230" t="s">
        <v>56</v>
      </c>
    </row>
    <row r="231" spans="1:5">
      <c r="A231" t="s">
        <v>30</v>
      </c>
      <c r="B231" s="11" t="s">
        <v>63</v>
      </c>
      <c r="C231">
        <v>1001</v>
      </c>
      <c r="D231" s="9">
        <v>-17489.97</v>
      </c>
      <c r="E231" t="s">
        <v>56</v>
      </c>
    </row>
    <row r="232" spans="1:5">
      <c r="A232" t="s">
        <v>30</v>
      </c>
      <c r="B232" s="11" t="s">
        <v>63</v>
      </c>
      <c r="C232">
        <v>4011</v>
      </c>
      <c r="D232" s="9">
        <v>303.32</v>
      </c>
      <c r="E232" t="s">
        <v>56</v>
      </c>
    </row>
    <row r="233" spans="1:5">
      <c r="A233" t="s">
        <v>30</v>
      </c>
      <c r="B233" s="11" t="s">
        <v>63</v>
      </c>
      <c r="C233">
        <v>4012</v>
      </c>
      <c r="D233" s="9">
        <v>60.66</v>
      </c>
      <c r="E233" t="s">
        <v>56</v>
      </c>
    </row>
    <row r="234" spans="1:5">
      <c r="A234" t="s">
        <v>30</v>
      </c>
      <c r="B234" s="11" t="s">
        <v>63</v>
      </c>
      <c r="C234">
        <v>4018</v>
      </c>
      <c r="D234" s="9">
        <v>315.08999999999997</v>
      </c>
      <c r="E234" t="s">
        <v>56</v>
      </c>
    </row>
    <row r="235" spans="1:5">
      <c r="A235" t="s">
        <v>30</v>
      </c>
      <c r="B235" s="11" t="s">
        <v>63</v>
      </c>
      <c r="C235">
        <v>4022</v>
      </c>
      <c r="D235" s="9">
        <v>98.03</v>
      </c>
      <c r="E235" t="s">
        <v>56</v>
      </c>
    </row>
    <row r="236" spans="1:5">
      <c r="A236" t="s">
        <v>30</v>
      </c>
      <c r="B236" s="11" t="s">
        <v>63</v>
      </c>
      <c r="C236">
        <v>4023</v>
      </c>
      <c r="D236" s="9">
        <v>140.04</v>
      </c>
      <c r="E236" t="s">
        <v>56</v>
      </c>
    </row>
    <row r="237" spans="1:5">
      <c r="A237" t="s">
        <v>30</v>
      </c>
      <c r="B237" s="11" t="s">
        <v>75</v>
      </c>
      <c r="C237">
        <v>1001</v>
      </c>
      <c r="D237" s="9">
        <v>-14380.87</v>
      </c>
      <c r="E237" t="s">
        <v>56</v>
      </c>
    </row>
    <row r="238" spans="1:5">
      <c r="A238" t="s">
        <v>30</v>
      </c>
      <c r="B238" s="11" t="s">
        <v>75</v>
      </c>
      <c r="C238">
        <v>4011</v>
      </c>
      <c r="D238" s="9">
        <v>343.1</v>
      </c>
      <c r="E238" t="s">
        <v>56</v>
      </c>
    </row>
    <row r="239" spans="1:5">
      <c r="A239" t="s">
        <v>30</v>
      </c>
      <c r="B239" s="11" t="s">
        <v>75</v>
      </c>
      <c r="C239">
        <v>4012</v>
      </c>
      <c r="D239" s="9">
        <v>68.62</v>
      </c>
      <c r="E239" t="s">
        <v>56</v>
      </c>
    </row>
    <row r="240" spans="1:5">
      <c r="A240" t="s">
        <v>30</v>
      </c>
      <c r="B240" s="11" t="s">
        <v>75</v>
      </c>
      <c r="C240">
        <v>4018</v>
      </c>
      <c r="D240" s="9">
        <v>359.56</v>
      </c>
      <c r="E240" t="s">
        <v>56</v>
      </c>
    </row>
    <row r="241" spans="1:5">
      <c r="A241" t="s">
        <v>30</v>
      </c>
      <c r="B241" s="11" t="s">
        <v>75</v>
      </c>
      <c r="C241">
        <v>4022</v>
      </c>
      <c r="D241" s="9">
        <v>111.86</v>
      </c>
      <c r="E241" t="s">
        <v>56</v>
      </c>
    </row>
    <row r="242" spans="1:5">
      <c r="A242" t="s">
        <v>30</v>
      </c>
      <c r="B242" s="11" t="s">
        <v>75</v>
      </c>
      <c r="C242">
        <v>4023</v>
      </c>
      <c r="D242" s="9">
        <v>159.80000000000001</v>
      </c>
      <c r="E242" t="s">
        <v>56</v>
      </c>
    </row>
    <row r="243" spans="1:5">
      <c r="A243" t="s">
        <v>30</v>
      </c>
      <c r="B243" s="11" t="s">
        <v>64</v>
      </c>
      <c r="C243">
        <v>1001</v>
      </c>
      <c r="D243" s="9">
        <v>-15515.98</v>
      </c>
      <c r="E243" t="s">
        <v>57</v>
      </c>
    </row>
    <row r="244" spans="1:5">
      <c r="A244" t="s">
        <v>30</v>
      </c>
      <c r="B244" s="11" t="s">
        <v>64</v>
      </c>
      <c r="C244">
        <v>4011</v>
      </c>
      <c r="D244" s="9">
        <v>385.45</v>
      </c>
      <c r="E244" t="s">
        <v>57</v>
      </c>
    </row>
    <row r="245" spans="1:5">
      <c r="A245" t="s">
        <v>30</v>
      </c>
      <c r="B245" s="11" t="s">
        <v>64</v>
      </c>
      <c r="C245">
        <v>4012</v>
      </c>
      <c r="D245" s="9">
        <v>77.09</v>
      </c>
      <c r="E245" t="s">
        <v>57</v>
      </c>
    </row>
    <row r="246" spans="1:5">
      <c r="A246" t="s">
        <v>30</v>
      </c>
      <c r="B246" s="11" t="s">
        <v>64</v>
      </c>
      <c r="C246">
        <v>4018</v>
      </c>
      <c r="D246" s="9">
        <v>337.13</v>
      </c>
      <c r="E246" t="s">
        <v>57</v>
      </c>
    </row>
    <row r="247" spans="1:5">
      <c r="A247" t="s">
        <v>30</v>
      </c>
      <c r="B247" s="11" t="s">
        <v>64</v>
      </c>
      <c r="C247">
        <v>4022</v>
      </c>
      <c r="D247" s="9">
        <v>104.89</v>
      </c>
      <c r="E247" t="s">
        <v>57</v>
      </c>
    </row>
    <row r="248" spans="1:5">
      <c r="A248" t="s">
        <v>30</v>
      </c>
      <c r="B248" s="11" t="s">
        <v>64</v>
      </c>
      <c r="C248">
        <v>4023</v>
      </c>
      <c r="D248" s="9">
        <v>149.84</v>
      </c>
      <c r="E248" t="s">
        <v>57</v>
      </c>
    </row>
    <row r="249" spans="1:5">
      <c r="A249" t="s">
        <v>30</v>
      </c>
      <c r="B249" s="11" t="s">
        <v>65</v>
      </c>
      <c r="C249">
        <v>1001</v>
      </c>
      <c r="D249" s="9">
        <v>-10275.48</v>
      </c>
      <c r="E249" t="s">
        <v>57</v>
      </c>
    </row>
    <row r="250" spans="1:5">
      <c r="A250" t="s">
        <v>30</v>
      </c>
      <c r="B250" s="11" t="s">
        <v>65</v>
      </c>
      <c r="C250">
        <v>4011</v>
      </c>
      <c r="D250" s="9">
        <v>279.25</v>
      </c>
      <c r="E250" t="s">
        <v>57</v>
      </c>
    </row>
    <row r="251" spans="1:5">
      <c r="A251" t="s">
        <v>30</v>
      </c>
      <c r="B251" s="11" t="s">
        <v>65</v>
      </c>
      <c r="C251">
        <v>4012</v>
      </c>
      <c r="D251" s="9">
        <v>55.85</v>
      </c>
      <c r="E251" t="s">
        <v>57</v>
      </c>
    </row>
    <row r="252" spans="1:5">
      <c r="A252" t="s">
        <v>30</v>
      </c>
      <c r="B252" s="11" t="s">
        <v>65</v>
      </c>
      <c r="C252">
        <v>4018</v>
      </c>
      <c r="D252" s="9">
        <v>312.61</v>
      </c>
      <c r="E252" t="s">
        <v>57</v>
      </c>
    </row>
    <row r="253" spans="1:5">
      <c r="A253" t="s">
        <v>30</v>
      </c>
      <c r="B253" s="11" t="s">
        <v>65</v>
      </c>
      <c r="C253">
        <v>4022</v>
      </c>
      <c r="D253" s="9">
        <v>97.26</v>
      </c>
      <c r="E253" t="s">
        <v>57</v>
      </c>
    </row>
    <row r="254" spans="1:5">
      <c r="A254" t="s">
        <v>30</v>
      </c>
      <c r="B254" s="11" t="s">
        <v>65</v>
      </c>
      <c r="C254">
        <v>4023</v>
      </c>
      <c r="D254" s="9">
        <v>138.94</v>
      </c>
      <c r="E254" t="s">
        <v>57</v>
      </c>
    </row>
    <row r="255" spans="1:5">
      <c r="A255" t="s">
        <v>30</v>
      </c>
      <c r="B255" s="11" t="s">
        <v>66</v>
      </c>
      <c r="C255">
        <v>1001</v>
      </c>
      <c r="D255" s="9">
        <v>-23588.03</v>
      </c>
      <c r="E255" t="s">
        <v>57</v>
      </c>
    </row>
    <row r="256" spans="1:5">
      <c r="A256" t="s">
        <v>30</v>
      </c>
      <c r="B256" s="11" t="s">
        <v>66</v>
      </c>
      <c r="C256">
        <v>4011</v>
      </c>
      <c r="D256" s="9">
        <v>438.26</v>
      </c>
      <c r="E256" t="s">
        <v>57</v>
      </c>
    </row>
    <row r="257" spans="1:5">
      <c r="A257" t="s">
        <v>30</v>
      </c>
      <c r="B257" s="11" t="s">
        <v>66</v>
      </c>
      <c r="C257">
        <v>4012</v>
      </c>
      <c r="D257" s="9">
        <v>87.65</v>
      </c>
      <c r="E257" t="s">
        <v>57</v>
      </c>
    </row>
    <row r="258" spans="1:5">
      <c r="A258" t="s">
        <v>30</v>
      </c>
      <c r="B258" s="11" t="s">
        <v>66</v>
      </c>
      <c r="C258">
        <v>4018</v>
      </c>
      <c r="D258" s="9">
        <v>570.70000000000005</v>
      </c>
      <c r="E258" t="s">
        <v>57</v>
      </c>
    </row>
    <row r="259" spans="1:5">
      <c r="A259" t="s">
        <v>30</v>
      </c>
      <c r="B259" s="11" t="s">
        <v>66</v>
      </c>
      <c r="C259">
        <v>4022</v>
      </c>
      <c r="D259" s="9">
        <v>177.55</v>
      </c>
      <c r="E259" t="s">
        <v>57</v>
      </c>
    </row>
    <row r="260" spans="1:5">
      <c r="A260" t="s">
        <v>30</v>
      </c>
      <c r="B260" s="11" t="s">
        <v>66</v>
      </c>
      <c r="C260">
        <v>4023</v>
      </c>
      <c r="D260" s="9">
        <v>253.65</v>
      </c>
      <c r="E260" t="s">
        <v>57</v>
      </c>
    </row>
    <row r="261" spans="1:5">
      <c r="A261" t="s">
        <v>30</v>
      </c>
      <c r="B261" s="11" t="s">
        <v>67</v>
      </c>
      <c r="C261">
        <v>1001</v>
      </c>
      <c r="D261" s="9">
        <v>-10293.950000000001</v>
      </c>
      <c r="E261" t="s">
        <v>57</v>
      </c>
    </row>
    <row r="262" spans="1:5">
      <c r="A262" t="s">
        <v>30</v>
      </c>
      <c r="B262" s="11" t="s">
        <v>67</v>
      </c>
      <c r="C262">
        <v>4011</v>
      </c>
      <c r="D262" s="9">
        <v>218.08</v>
      </c>
      <c r="E262" t="s">
        <v>57</v>
      </c>
    </row>
    <row r="263" spans="1:5">
      <c r="A263" t="s">
        <v>30</v>
      </c>
      <c r="B263" s="11" t="s">
        <v>67</v>
      </c>
      <c r="C263">
        <v>4012</v>
      </c>
      <c r="D263" s="9">
        <v>43.62</v>
      </c>
      <c r="E263" t="s">
        <v>57</v>
      </c>
    </row>
    <row r="264" spans="1:5">
      <c r="A264" t="s">
        <v>30</v>
      </c>
      <c r="B264" s="11" t="s">
        <v>67</v>
      </c>
      <c r="C264">
        <v>4018</v>
      </c>
      <c r="D264" s="9">
        <v>226.94</v>
      </c>
      <c r="E264" t="s">
        <v>57</v>
      </c>
    </row>
    <row r="265" spans="1:5">
      <c r="A265" t="s">
        <v>30</v>
      </c>
      <c r="B265" s="11" t="s">
        <v>67</v>
      </c>
      <c r="C265">
        <v>4022</v>
      </c>
      <c r="D265" s="9">
        <v>70.599999999999994</v>
      </c>
      <c r="E265" t="s">
        <v>57</v>
      </c>
    </row>
    <row r="266" spans="1:5">
      <c r="A266" t="s">
        <v>30</v>
      </c>
      <c r="B266" s="11" t="s">
        <v>67</v>
      </c>
      <c r="C266">
        <v>4023</v>
      </c>
      <c r="D266" s="9">
        <v>100.86</v>
      </c>
      <c r="E266" t="s">
        <v>57</v>
      </c>
    </row>
    <row r="267" spans="1:5">
      <c r="A267" t="s">
        <v>30</v>
      </c>
      <c r="B267" s="11" t="s">
        <v>76</v>
      </c>
      <c r="C267">
        <v>1001</v>
      </c>
      <c r="D267" s="9">
        <v>-7364.17</v>
      </c>
      <c r="E267" t="s">
        <v>57</v>
      </c>
    </row>
    <row r="268" spans="1:5">
      <c r="A268" t="s">
        <v>30</v>
      </c>
      <c r="B268" s="11" t="s">
        <v>76</v>
      </c>
      <c r="C268">
        <v>4011</v>
      </c>
      <c r="D268" s="9">
        <v>120.48</v>
      </c>
      <c r="E268" t="s">
        <v>57</v>
      </c>
    </row>
    <row r="269" spans="1:5">
      <c r="A269" t="s">
        <v>30</v>
      </c>
      <c r="B269" s="11" t="s">
        <v>76</v>
      </c>
      <c r="C269">
        <v>4012</v>
      </c>
      <c r="D269" s="9">
        <v>22.59</v>
      </c>
      <c r="E269" t="s">
        <v>57</v>
      </c>
    </row>
    <row r="270" spans="1:5">
      <c r="A270" t="s">
        <v>30</v>
      </c>
      <c r="B270" s="11" t="s">
        <v>76</v>
      </c>
      <c r="C270">
        <v>4018</v>
      </c>
      <c r="D270" s="9">
        <v>183.4</v>
      </c>
      <c r="E270" t="s">
        <v>57</v>
      </c>
    </row>
    <row r="271" spans="1:5">
      <c r="A271" t="s">
        <v>30</v>
      </c>
      <c r="B271" s="11" t="s">
        <v>76</v>
      </c>
      <c r="C271">
        <v>4022</v>
      </c>
      <c r="D271" s="9">
        <v>57.06</v>
      </c>
      <c r="E271" t="s">
        <v>57</v>
      </c>
    </row>
    <row r="272" spans="1:5">
      <c r="A272" t="s">
        <v>30</v>
      </c>
      <c r="B272" s="11" t="s">
        <v>76</v>
      </c>
      <c r="C272">
        <v>4023</v>
      </c>
      <c r="D272" s="9">
        <v>81.510000000000005</v>
      </c>
      <c r="E272" t="s">
        <v>57</v>
      </c>
    </row>
    <row r="273" spans="1:5">
      <c r="A273" t="s">
        <v>30</v>
      </c>
      <c r="B273" s="11" t="s">
        <v>68</v>
      </c>
      <c r="C273">
        <v>1001</v>
      </c>
      <c r="D273" s="9">
        <v>-12837.51</v>
      </c>
      <c r="E273" t="s">
        <v>58</v>
      </c>
    </row>
    <row r="274" spans="1:5">
      <c r="A274" t="s">
        <v>30</v>
      </c>
      <c r="B274" s="11" t="s">
        <v>68</v>
      </c>
      <c r="C274">
        <v>4011</v>
      </c>
      <c r="D274" s="9">
        <v>250.25</v>
      </c>
      <c r="E274" t="s">
        <v>58</v>
      </c>
    </row>
    <row r="275" spans="1:5">
      <c r="A275" t="s">
        <v>30</v>
      </c>
      <c r="B275" s="11" t="s">
        <v>68</v>
      </c>
      <c r="C275">
        <v>4012</v>
      </c>
      <c r="D275" s="9">
        <v>43.79</v>
      </c>
      <c r="E275" t="s">
        <v>58</v>
      </c>
    </row>
    <row r="276" spans="1:5">
      <c r="A276" t="s">
        <v>30</v>
      </c>
      <c r="B276" s="11" t="s">
        <v>68</v>
      </c>
      <c r="C276">
        <v>4018</v>
      </c>
      <c r="D276" s="9">
        <v>278.98</v>
      </c>
      <c r="E276" t="s">
        <v>58</v>
      </c>
    </row>
    <row r="277" spans="1:5">
      <c r="A277" t="s">
        <v>30</v>
      </c>
      <c r="B277" s="11" t="s">
        <v>68</v>
      </c>
      <c r="C277">
        <v>4022</v>
      </c>
      <c r="D277" s="9">
        <v>86.79</v>
      </c>
      <c r="E277" t="s">
        <v>58</v>
      </c>
    </row>
    <row r="278" spans="1:5">
      <c r="A278" t="s">
        <v>30</v>
      </c>
      <c r="B278" s="11" t="s">
        <v>68</v>
      </c>
      <c r="C278">
        <v>4023</v>
      </c>
      <c r="D278" s="9">
        <v>123.99</v>
      </c>
      <c r="E278" t="s">
        <v>58</v>
      </c>
    </row>
    <row r="279" spans="1:5">
      <c r="A279" t="s">
        <v>30</v>
      </c>
      <c r="B279" s="11" t="s">
        <v>69</v>
      </c>
      <c r="C279">
        <v>1001</v>
      </c>
      <c r="D279" s="9">
        <v>-11257.36</v>
      </c>
      <c r="E279" t="s">
        <v>58</v>
      </c>
    </row>
    <row r="280" spans="1:5">
      <c r="A280" t="s">
        <v>30</v>
      </c>
      <c r="B280" s="11" t="s">
        <v>69</v>
      </c>
      <c r="C280">
        <v>4011</v>
      </c>
      <c r="D280" s="9">
        <v>201.34</v>
      </c>
      <c r="E280" t="s">
        <v>58</v>
      </c>
    </row>
    <row r="281" spans="1:5">
      <c r="A281" t="s">
        <v>30</v>
      </c>
      <c r="B281" s="11" t="s">
        <v>69</v>
      </c>
      <c r="C281">
        <v>4012</v>
      </c>
      <c r="D281" s="9">
        <v>35.24</v>
      </c>
      <c r="E281" t="s">
        <v>58</v>
      </c>
    </row>
    <row r="282" spans="1:5">
      <c r="A282" t="s">
        <v>30</v>
      </c>
      <c r="B282" s="11" t="s">
        <v>69</v>
      </c>
      <c r="C282">
        <v>4018</v>
      </c>
      <c r="D282" s="9">
        <v>264.56</v>
      </c>
      <c r="E282" t="s">
        <v>58</v>
      </c>
    </row>
    <row r="283" spans="1:5">
      <c r="A283" t="s">
        <v>30</v>
      </c>
      <c r="B283" s="11" t="s">
        <v>69</v>
      </c>
      <c r="C283">
        <v>4022</v>
      </c>
      <c r="D283" s="9">
        <v>82.31</v>
      </c>
      <c r="E283" t="s">
        <v>58</v>
      </c>
    </row>
    <row r="284" spans="1:5">
      <c r="A284" t="s">
        <v>30</v>
      </c>
      <c r="B284" s="11" t="s">
        <v>69</v>
      </c>
      <c r="C284">
        <v>4023</v>
      </c>
      <c r="D284" s="9">
        <v>117.58</v>
      </c>
      <c r="E284" t="s">
        <v>58</v>
      </c>
    </row>
    <row r="285" spans="1:5">
      <c r="A285" t="s">
        <v>30</v>
      </c>
      <c r="B285" s="11" t="s">
        <v>77</v>
      </c>
      <c r="C285">
        <v>1001</v>
      </c>
      <c r="D285" s="9">
        <v>-15157.69</v>
      </c>
      <c r="E285" t="s">
        <v>58</v>
      </c>
    </row>
    <row r="286" spans="1:5">
      <c r="A286" t="s">
        <v>30</v>
      </c>
      <c r="B286" s="11" t="s">
        <v>77</v>
      </c>
      <c r="C286">
        <v>4011</v>
      </c>
      <c r="D286" s="9">
        <v>439.97</v>
      </c>
      <c r="E286" t="s">
        <v>58</v>
      </c>
    </row>
    <row r="287" spans="1:5">
      <c r="A287" t="s">
        <v>30</v>
      </c>
      <c r="B287" s="11" t="s">
        <v>77</v>
      </c>
      <c r="C287">
        <v>4012</v>
      </c>
      <c r="D287" s="9">
        <v>87.99</v>
      </c>
      <c r="E287" t="s">
        <v>58</v>
      </c>
    </row>
    <row r="288" spans="1:5">
      <c r="A288" t="s">
        <v>30</v>
      </c>
      <c r="B288" s="11" t="s">
        <v>77</v>
      </c>
      <c r="C288">
        <v>4018</v>
      </c>
      <c r="D288" s="9">
        <v>346.03</v>
      </c>
      <c r="E288" t="s">
        <v>58</v>
      </c>
    </row>
    <row r="289" spans="1:5">
      <c r="A289" t="s">
        <v>30</v>
      </c>
      <c r="B289" s="11" t="s">
        <v>77</v>
      </c>
      <c r="C289">
        <v>4022</v>
      </c>
      <c r="D289" s="9">
        <v>107.65</v>
      </c>
      <c r="E289" t="s">
        <v>58</v>
      </c>
    </row>
    <row r="290" spans="1:5">
      <c r="A290" t="s">
        <v>30</v>
      </c>
      <c r="B290" s="11" t="s">
        <v>77</v>
      </c>
      <c r="C290">
        <v>4023</v>
      </c>
      <c r="D290" s="9">
        <v>153.79</v>
      </c>
      <c r="E290" t="s">
        <v>58</v>
      </c>
    </row>
    <row r="291" spans="1:5">
      <c r="A291" t="s">
        <v>30</v>
      </c>
      <c r="B291" s="11" t="s">
        <v>70</v>
      </c>
      <c r="C291">
        <v>1001</v>
      </c>
      <c r="D291" s="9">
        <v>-14798.36</v>
      </c>
      <c r="E291" t="s">
        <v>59</v>
      </c>
    </row>
    <row r="292" spans="1:5">
      <c r="A292" t="s">
        <v>30</v>
      </c>
      <c r="B292" s="11" t="s">
        <v>70</v>
      </c>
      <c r="C292">
        <v>4011</v>
      </c>
      <c r="D292" s="9">
        <v>308.33</v>
      </c>
      <c r="E292" t="s">
        <v>59</v>
      </c>
    </row>
    <row r="293" spans="1:5">
      <c r="A293" t="s">
        <v>30</v>
      </c>
      <c r="B293" s="11" t="s">
        <v>70</v>
      </c>
      <c r="C293">
        <v>4012</v>
      </c>
      <c r="D293" s="9">
        <v>61.67</v>
      </c>
      <c r="E293" t="s">
        <v>59</v>
      </c>
    </row>
    <row r="294" spans="1:5">
      <c r="A294" t="s">
        <v>30</v>
      </c>
      <c r="B294" s="11" t="s">
        <v>70</v>
      </c>
      <c r="C294">
        <v>4018</v>
      </c>
      <c r="D294" s="9">
        <v>331.53</v>
      </c>
      <c r="E294" t="s">
        <v>59</v>
      </c>
    </row>
    <row r="295" spans="1:5">
      <c r="A295" t="s">
        <v>30</v>
      </c>
      <c r="B295" s="11" t="s">
        <v>70</v>
      </c>
      <c r="C295">
        <v>4022</v>
      </c>
      <c r="D295" s="9">
        <v>92.83</v>
      </c>
      <c r="E295" t="s">
        <v>59</v>
      </c>
    </row>
    <row r="296" spans="1:5">
      <c r="A296" t="s">
        <v>30</v>
      </c>
      <c r="B296" s="11" t="s">
        <v>70</v>
      </c>
      <c r="C296">
        <v>4023</v>
      </c>
      <c r="D296" s="9">
        <v>132.61000000000001</v>
      </c>
      <c r="E296" t="s">
        <v>59</v>
      </c>
    </row>
    <row r="297" spans="1:5">
      <c r="A297" t="s">
        <v>30</v>
      </c>
      <c r="B297" s="11" t="s">
        <v>71</v>
      </c>
      <c r="C297">
        <v>1001</v>
      </c>
      <c r="D297" s="9">
        <v>-19145.169999999998</v>
      </c>
      <c r="E297" t="s">
        <v>59</v>
      </c>
    </row>
    <row r="298" spans="1:5">
      <c r="A298" t="s">
        <v>30</v>
      </c>
      <c r="B298" s="11" t="s">
        <v>71</v>
      </c>
      <c r="C298">
        <v>4011</v>
      </c>
      <c r="D298" s="9">
        <v>434.94</v>
      </c>
      <c r="E298" t="s">
        <v>59</v>
      </c>
    </row>
    <row r="299" spans="1:5">
      <c r="A299" t="s">
        <v>30</v>
      </c>
      <c r="B299" s="11" t="s">
        <v>71</v>
      </c>
      <c r="C299">
        <v>4012</v>
      </c>
      <c r="D299" s="9">
        <v>86.99</v>
      </c>
      <c r="E299" t="s">
        <v>59</v>
      </c>
    </row>
    <row r="300" spans="1:5">
      <c r="A300" t="s">
        <v>30</v>
      </c>
      <c r="B300" s="11" t="s">
        <v>71</v>
      </c>
      <c r="C300">
        <v>4018</v>
      </c>
      <c r="D300" s="9">
        <v>404.83</v>
      </c>
      <c r="E300" t="s">
        <v>59</v>
      </c>
    </row>
    <row r="301" spans="1:5">
      <c r="A301" t="s">
        <v>30</v>
      </c>
      <c r="B301" s="11" t="s">
        <v>71</v>
      </c>
      <c r="C301">
        <v>4022</v>
      </c>
      <c r="D301" s="9">
        <v>125.95</v>
      </c>
      <c r="E301" t="s">
        <v>59</v>
      </c>
    </row>
    <row r="302" spans="1:5">
      <c r="A302" t="s">
        <v>30</v>
      </c>
      <c r="B302" s="11" t="s">
        <v>71</v>
      </c>
      <c r="C302">
        <v>4023</v>
      </c>
      <c r="D302" s="9">
        <v>179.93</v>
      </c>
      <c r="E302" t="s">
        <v>59</v>
      </c>
    </row>
    <row r="303" spans="1:5">
      <c r="A303" t="s">
        <v>30</v>
      </c>
      <c r="B303" s="11" t="s">
        <v>72</v>
      </c>
      <c r="C303">
        <v>1001</v>
      </c>
      <c r="D303" s="9">
        <v>-18714.669999999998</v>
      </c>
      <c r="E303" t="s">
        <v>59</v>
      </c>
    </row>
    <row r="304" spans="1:5">
      <c r="A304" t="s">
        <v>30</v>
      </c>
      <c r="B304" s="11" t="s">
        <v>72</v>
      </c>
      <c r="C304">
        <v>4011</v>
      </c>
      <c r="D304" s="9">
        <v>592.63</v>
      </c>
      <c r="E304" t="s">
        <v>59</v>
      </c>
    </row>
    <row r="305" spans="1:5">
      <c r="A305" t="s">
        <v>30</v>
      </c>
      <c r="B305" s="11" t="s">
        <v>72</v>
      </c>
      <c r="C305">
        <v>4012</v>
      </c>
      <c r="D305" s="9">
        <v>118.53</v>
      </c>
      <c r="E305" t="s">
        <v>59</v>
      </c>
    </row>
    <row r="306" spans="1:5">
      <c r="A306" t="s">
        <v>30</v>
      </c>
      <c r="B306" s="11" t="s">
        <v>72</v>
      </c>
      <c r="C306">
        <v>4018</v>
      </c>
      <c r="D306" s="9">
        <v>1075.01</v>
      </c>
      <c r="E306" t="s">
        <v>59</v>
      </c>
    </row>
    <row r="307" spans="1:5">
      <c r="A307" t="s">
        <v>30</v>
      </c>
      <c r="B307" s="11" t="s">
        <v>72</v>
      </c>
      <c r="C307">
        <v>4022</v>
      </c>
      <c r="D307" s="9">
        <v>150.5</v>
      </c>
      <c r="E307" t="s">
        <v>59</v>
      </c>
    </row>
    <row r="308" spans="1:5">
      <c r="A308" t="s">
        <v>30</v>
      </c>
      <c r="B308" s="11" t="s">
        <v>72</v>
      </c>
      <c r="C308">
        <v>4023</v>
      </c>
      <c r="D308" s="9">
        <v>215</v>
      </c>
      <c r="E308" t="s">
        <v>59</v>
      </c>
    </row>
    <row r="309" spans="1:5">
      <c r="A309" t="s">
        <v>30</v>
      </c>
      <c r="B309" s="11" t="s">
        <v>78</v>
      </c>
      <c r="C309">
        <v>1001</v>
      </c>
      <c r="D309" s="9">
        <v>-14259.4</v>
      </c>
      <c r="E309" t="s">
        <v>59</v>
      </c>
    </row>
    <row r="310" spans="1:5">
      <c r="A310" t="s">
        <v>30</v>
      </c>
      <c r="B310" s="11" t="s">
        <v>78</v>
      </c>
      <c r="C310">
        <v>4011</v>
      </c>
      <c r="D310" s="9">
        <v>252.46</v>
      </c>
      <c r="E310" t="s">
        <v>59</v>
      </c>
    </row>
    <row r="311" spans="1:5">
      <c r="A311" t="s">
        <v>30</v>
      </c>
      <c r="B311" s="11" t="s">
        <v>78</v>
      </c>
      <c r="C311">
        <v>4012</v>
      </c>
      <c r="D311" s="9">
        <v>50.49</v>
      </c>
      <c r="E311" t="s">
        <v>59</v>
      </c>
    </row>
    <row r="312" spans="1:5">
      <c r="A312" t="s">
        <v>30</v>
      </c>
      <c r="B312" s="11" t="s">
        <v>78</v>
      </c>
      <c r="C312">
        <v>4018</v>
      </c>
      <c r="D312" s="9">
        <v>973.27</v>
      </c>
      <c r="E312" t="s">
        <v>59</v>
      </c>
    </row>
    <row r="313" spans="1:5">
      <c r="A313" t="s">
        <v>30</v>
      </c>
      <c r="B313" s="11" t="s">
        <v>78</v>
      </c>
      <c r="C313">
        <v>4022</v>
      </c>
      <c r="D313" s="9">
        <v>87.22</v>
      </c>
      <c r="E313" t="s">
        <v>59</v>
      </c>
    </row>
    <row r="314" spans="1:5">
      <c r="A314" t="s">
        <v>30</v>
      </c>
      <c r="B314" s="11" t="s">
        <v>78</v>
      </c>
      <c r="C314">
        <v>4023</v>
      </c>
      <c r="D314" s="9">
        <v>155.72</v>
      </c>
      <c r="E314" t="s">
        <v>59</v>
      </c>
    </row>
    <row r="315" spans="1:5">
      <c r="A315" t="s">
        <v>30</v>
      </c>
      <c r="B315" s="11" t="s">
        <v>73</v>
      </c>
      <c r="C315">
        <v>1001</v>
      </c>
      <c r="D315" s="9">
        <v>-15939.62</v>
      </c>
      <c r="E315" t="s">
        <v>60</v>
      </c>
    </row>
    <row r="316" spans="1:5">
      <c r="A316" t="s">
        <v>30</v>
      </c>
      <c r="B316" s="11" t="s">
        <v>73</v>
      </c>
      <c r="C316">
        <v>4011</v>
      </c>
      <c r="D316" s="9">
        <v>481.42</v>
      </c>
      <c r="E316" t="s">
        <v>60</v>
      </c>
    </row>
    <row r="317" spans="1:5">
      <c r="A317" t="s">
        <v>30</v>
      </c>
      <c r="B317" s="11" t="s">
        <v>73</v>
      </c>
      <c r="C317">
        <v>4012</v>
      </c>
      <c r="D317" s="9">
        <v>96.28</v>
      </c>
      <c r="E317" t="s">
        <v>60</v>
      </c>
    </row>
    <row r="318" spans="1:5">
      <c r="A318" t="s">
        <v>30</v>
      </c>
      <c r="B318" s="11" t="s">
        <v>73</v>
      </c>
      <c r="C318">
        <v>4018</v>
      </c>
      <c r="D318" s="9">
        <v>425.58</v>
      </c>
      <c r="E318" t="s">
        <v>60</v>
      </c>
    </row>
    <row r="319" spans="1:5">
      <c r="A319" t="s">
        <v>30</v>
      </c>
      <c r="B319" s="11" t="s">
        <v>73</v>
      </c>
      <c r="C319">
        <v>4022</v>
      </c>
      <c r="D319" s="9">
        <v>132.4</v>
      </c>
      <c r="E319" t="s">
        <v>60</v>
      </c>
    </row>
    <row r="320" spans="1:5">
      <c r="A320" t="s">
        <v>30</v>
      </c>
      <c r="B320" s="11" t="s">
        <v>73</v>
      </c>
      <c r="C320">
        <v>4023</v>
      </c>
      <c r="D320" s="9">
        <v>189.15</v>
      </c>
      <c r="E320" t="s">
        <v>60</v>
      </c>
    </row>
    <row r="321" spans="1:5">
      <c r="A321" t="s">
        <v>30</v>
      </c>
      <c r="B321" s="11" t="s">
        <v>74</v>
      </c>
      <c r="C321">
        <v>1001</v>
      </c>
      <c r="D321" s="9">
        <v>-16520.439999999999</v>
      </c>
      <c r="E321" t="s">
        <v>60</v>
      </c>
    </row>
    <row r="322" spans="1:5">
      <c r="A322" t="s">
        <v>30</v>
      </c>
      <c r="B322" s="11" t="s">
        <v>74</v>
      </c>
      <c r="C322">
        <v>4011</v>
      </c>
      <c r="D322" s="9">
        <v>590.35</v>
      </c>
      <c r="E322" t="s">
        <v>60</v>
      </c>
    </row>
    <row r="323" spans="1:5">
      <c r="A323" t="s">
        <v>30</v>
      </c>
      <c r="B323" s="11" t="s">
        <v>74</v>
      </c>
      <c r="C323">
        <v>4012</v>
      </c>
      <c r="D323" s="9">
        <v>118.07</v>
      </c>
      <c r="E323" t="s">
        <v>60</v>
      </c>
    </row>
    <row r="324" spans="1:5">
      <c r="A324" t="s">
        <v>30</v>
      </c>
      <c r="B324" s="11" t="s">
        <v>74</v>
      </c>
      <c r="C324">
        <v>4018</v>
      </c>
      <c r="D324" s="9">
        <v>480.8</v>
      </c>
      <c r="E324" t="s">
        <v>60</v>
      </c>
    </row>
    <row r="325" spans="1:5">
      <c r="A325" t="s">
        <v>30</v>
      </c>
      <c r="B325" s="11" t="s">
        <v>74</v>
      </c>
      <c r="C325">
        <v>4022</v>
      </c>
      <c r="D325" s="9">
        <v>149.58000000000001</v>
      </c>
      <c r="E325" t="s">
        <v>60</v>
      </c>
    </row>
    <row r="326" spans="1:5">
      <c r="A326" t="s">
        <v>30</v>
      </c>
      <c r="B326" s="11" t="s">
        <v>74</v>
      </c>
      <c r="C326">
        <v>4023</v>
      </c>
      <c r="D326" s="9">
        <v>213.69</v>
      </c>
      <c r="E326" t="s">
        <v>60</v>
      </c>
    </row>
    <row r="327" spans="1:5">
      <c r="A327" t="s">
        <v>31</v>
      </c>
      <c r="B327" s="11" t="s">
        <v>61</v>
      </c>
      <c r="C327">
        <v>1001</v>
      </c>
      <c r="D327" s="9">
        <v>-14908.11</v>
      </c>
      <c r="E327" t="s">
        <v>56</v>
      </c>
    </row>
    <row r="328" spans="1:5">
      <c r="A328" t="s">
        <v>31</v>
      </c>
      <c r="B328" s="11" t="s">
        <v>61</v>
      </c>
      <c r="C328">
        <v>4011</v>
      </c>
      <c r="D328" s="9">
        <v>253.57</v>
      </c>
      <c r="E328" t="s">
        <v>56</v>
      </c>
    </row>
    <row r="329" spans="1:5">
      <c r="A329" t="s">
        <v>31</v>
      </c>
      <c r="B329" s="11" t="s">
        <v>61</v>
      </c>
      <c r="C329">
        <v>4012</v>
      </c>
      <c r="D329" s="9">
        <v>44.37</v>
      </c>
      <c r="E329" t="s">
        <v>56</v>
      </c>
    </row>
    <row r="330" spans="1:5">
      <c r="A330" t="s">
        <v>31</v>
      </c>
      <c r="B330" s="11" t="s">
        <v>61</v>
      </c>
      <c r="C330">
        <v>4018</v>
      </c>
      <c r="D330" s="9">
        <v>288.38</v>
      </c>
      <c r="E330" t="s">
        <v>56</v>
      </c>
    </row>
    <row r="331" spans="1:5">
      <c r="A331" t="s">
        <v>31</v>
      </c>
      <c r="B331" s="11" t="s">
        <v>61</v>
      </c>
      <c r="C331">
        <v>4021</v>
      </c>
      <c r="D331" s="9">
        <v>222.91</v>
      </c>
      <c r="E331" t="s">
        <v>56</v>
      </c>
    </row>
    <row r="332" spans="1:5">
      <c r="A332" t="s">
        <v>31</v>
      </c>
      <c r="B332" s="11" t="s">
        <v>61</v>
      </c>
      <c r="C332">
        <v>4022</v>
      </c>
      <c r="D332" s="9">
        <v>70.489999999999995</v>
      </c>
      <c r="E332" t="s">
        <v>56</v>
      </c>
    </row>
    <row r="333" spans="1:5">
      <c r="A333" t="s">
        <v>31</v>
      </c>
      <c r="B333" s="11" t="s">
        <v>61</v>
      </c>
      <c r="C333">
        <v>4023</v>
      </c>
      <c r="D333" s="9">
        <v>128.16999999999999</v>
      </c>
      <c r="E333" t="s">
        <v>56</v>
      </c>
    </row>
    <row r="334" spans="1:5">
      <c r="A334" t="s">
        <v>31</v>
      </c>
      <c r="B334" s="11" t="s">
        <v>62</v>
      </c>
      <c r="C334">
        <v>1001</v>
      </c>
      <c r="D334" s="9">
        <v>-9816.83</v>
      </c>
      <c r="E334" t="s">
        <v>56</v>
      </c>
    </row>
    <row r="335" spans="1:5">
      <c r="A335" t="s">
        <v>31</v>
      </c>
      <c r="B335" s="11" t="s">
        <v>62</v>
      </c>
      <c r="C335">
        <v>4011</v>
      </c>
      <c r="D335" s="9">
        <v>190.16</v>
      </c>
      <c r="E335" t="s">
        <v>56</v>
      </c>
    </row>
    <row r="336" spans="1:5">
      <c r="A336" t="s">
        <v>31</v>
      </c>
      <c r="B336" s="11" t="s">
        <v>62</v>
      </c>
      <c r="C336">
        <v>4012</v>
      </c>
      <c r="D336" s="9">
        <v>33.28</v>
      </c>
      <c r="E336" t="s">
        <v>56</v>
      </c>
    </row>
    <row r="337" spans="1:5">
      <c r="A337" t="s">
        <v>31</v>
      </c>
      <c r="B337" s="11" t="s">
        <v>62</v>
      </c>
      <c r="C337">
        <v>4018</v>
      </c>
      <c r="D337" s="9">
        <v>189.6</v>
      </c>
      <c r="E337" t="s">
        <v>56</v>
      </c>
    </row>
    <row r="338" spans="1:5">
      <c r="A338" t="s">
        <v>31</v>
      </c>
      <c r="B338" s="11" t="s">
        <v>62</v>
      </c>
      <c r="C338">
        <v>4021</v>
      </c>
      <c r="D338" s="9">
        <v>222.91</v>
      </c>
      <c r="E338" t="s">
        <v>56</v>
      </c>
    </row>
    <row r="339" spans="1:5">
      <c r="A339" t="s">
        <v>31</v>
      </c>
      <c r="B339" s="11" t="s">
        <v>62</v>
      </c>
      <c r="C339">
        <v>4022</v>
      </c>
      <c r="D339" s="9">
        <v>46.35</v>
      </c>
      <c r="E339" t="s">
        <v>56</v>
      </c>
    </row>
    <row r="340" spans="1:5">
      <c r="A340" t="s">
        <v>31</v>
      </c>
      <c r="B340" s="11" t="s">
        <v>62</v>
      </c>
      <c r="C340">
        <v>4023</v>
      </c>
      <c r="D340" s="9">
        <v>84.27</v>
      </c>
      <c r="E340" t="s">
        <v>56</v>
      </c>
    </row>
    <row r="341" spans="1:5">
      <c r="A341" t="s">
        <v>31</v>
      </c>
      <c r="B341" s="11" t="s">
        <v>63</v>
      </c>
      <c r="C341">
        <v>1001</v>
      </c>
      <c r="D341" s="9">
        <v>-17128.27</v>
      </c>
      <c r="E341" t="s">
        <v>56</v>
      </c>
    </row>
    <row r="342" spans="1:5">
      <c r="A342" t="s">
        <v>31</v>
      </c>
      <c r="B342" s="11" t="s">
        <v>63</v>
      </c>
      <c r="C342">
        <v>4011</v>
      </c>
      <c r="D342" s="9">
        <v>309.18</v>
      </c>
      <c r="E342" t="s">
        <v>56</v>
      </c>
    </row>
    <row r="343" spans="1:5">
      <c r="A343" t="s">
        <v>31</v>
      </c>
      <c r="B343" s="11" t="s">
        <v>63</v>
      </c>
      <c r="C343">
        <v>4012</v>
      </c>
      <c r="D343" s="9">
        <v>61.84</v>
      </c>
      <c r="E343" t="s">
        <v>56</v>
      </c>
    </row>
    <row r="344" spans="1:5">
      <c r="A344" t="s">
        <v>31</v>
      </c>
      <c r="B344" s="11" t="s">
        <v>63</v>
      </c>
      <c r="C344">
        <v>4018</v>
      </c>
      <c r="D344" s="9">
        <v>298.49</v>
      </c>
      <c r="E344" t="s">
        <v>56</v>
      </c>
    </row>
    <row r="345" spans="1:5">
      <c r="A345" t="s">
        <v>31</v>
      </c>
      <c r="B345" s="11" t="s">
        <v>63</v>
      </c>
      <c r="C345">
        <v>4021</v>
      </c>
      <c r="D345" s="9">
        <v>222.91</v>
      </c>
      <c r="E345" t="s">
        <v>56</v>
      </c>
    </row>
    <row r="346" spans="1:5">
      <c r="A346" t="s">
        <v>31</v>
      </c>
      <c r="B346" s="11" t="s">
        <v>63</v>
      </c>
      <c r="C346">
        <v>4022</v>
      </c>
      <c r="D346" s="9">
        <v>72.959999999999994</v>
      </c>
      <c r="E346" t="s">
        <v>56</v>
      </c>
    </row>
    <row r="347" spans="1:5">
      <c r="A347" t="s">
        <v>31</v>
      </c>
      <c r="B347" s="11" t="s">
        <v>63</v>
      </c>
      <c r="C347">
        <v>4023</v>
      </c>
      <c r="D347" s="9">
        <v>132.66</v>
      </c>
      <c r="E347" t="s">
        <v>56</v>
      </c>
    </row>
    <row r="348" spans="1:5">
      <c r="A348" t="s">
        <v>31</v>
      </c>
      <c r="B348" s="11" t="s">
        <v>75</v>
      </c>
      <c r="C348">
        <v>1001</v>
      </c>
      <c r="D348" s="9">
        <v>-16470.900000000001</v>
      </c>
      <c r="E348" t="s">
        <v>56</v>
      </c>
    </row>
    <row r="349" spans="1:5">
      <c r="A349" t="s">
        <v>31</v>
      </c>
      <c r="B349" s="11" t="s">
        <v>75</v>
      </c>
      <c r="C349">
        <v>4011</v>
      </c>
      <c r="D349" s="9">
        <v>342.78</v>
      </c>
      <c r="E349" t="s">
        <v>56</v>
      </c>
    </row>
    <row r="350" spans="1:5">
      <c r="A350" t="s">
        <v>31</v>
      </c>
      <c r="B350" s="11" t="s">
        <v>75</v>
      </c>
      <c r="C350">
        <v>4012</v>
      </c>
      <c r="D350" s="9">
        <v>68.56</v>
      </c>
      <c r="E350" t="s">
        <v>56</v>
      </c>
    </row>
    <row r="351" spans="1:5">
      <c r="A351" t="s">
        <v>31</v>
      </c>
      <c r="B351" s="11" t="s">
        <v>75</v>
      </c>
      <c r="C351">
        <v>4018</v>
      </c>
      <c r="D351" s="9">
        <v>341.36</v>
      </c>
      <c r="E351" t="s">
        <v>56</v>
      </c>
    </row>
    <row r="352" spans="1:5">
      <c r="A352" t="s">
        <v>31</v>
      </c>
      <c r="B352" s="11" t="s">
        <v>75</v>
      </c>
      <c r="C352">
        <v>4021</v>
      </c>
      <c r="D352" s="9">
        <v>225</v>
      </c>
      <c r="E352" t="s">
        <v>56</v>
      </c>
    </row>
    <row r="353" spans="1:5">
      <c r="A353" t="s">
        <v>31</v>
      </c>
      <c r="B353" s="11" t="s">
        <v>75</v>
      </c>
      <c r="C353">
        <v>4022</v>
      </c>
      <c r="D353" s="9">
        <v>83.44</v>
      </c>
      <c r="E353" t="s">
        <v>56</v>
      </c>
    </row>
    <row r="354" spans="1:5">
      <c r="A354" t="s">
        <v>31</v>
      </c>
      <c r="B354" s="11" t="s">
        <v>75</v>
      </c>
      <c r="C354">
        <v>4023</v>
      </c>
      <c r="D354" s="9">
        <v>151.72</v>
      </c>
      <c r="E354" t="s">
        <v>56</v>
      </c>
    </row>
    <row r="355" spans="1:5">
      <c r="A355" t="s">
        <v>31</v>
      </c>
      <c r="B355" s="11" t="s">
        <v>64</v>
      </c>
      <c r="C355">
        <v>1001</v>
      </c>
      <c r="D355" s="9">
        <v>-15257.76</v>
      </c>
      <c r="E355" t="s">
        <v>57</v>
      </c>
    </row>
    <row r="356" spans="1:5">
      <c r="A356" t="s">
        <v>31</v>
      </c>
      <c r="B356" s="11" t="s">
        <v>64</v>
      </c>
      <c r="C356">
        <v>4011</v>
      </c>
      <c r="D356" s="9">
        <v>375.05</v>
      </c>
      <c r="E356" t="s">
        <v>57</v>
      </c>
    </row>
    <row r="357" spans="1:5">
      <c r="A357" t="s">
        <v>31</v>
      </c>
      <c r="B357" s="11" t="s">
        <v>64</v>
      </c>
      <c r="C357">
        <v>4012</v>
      </c>
      <c r="D357" s="9">
        <v>75.010000000000005</v>
      </c>
      <c r="E357" t="s">
        <v>57</v>
      </c>
    </row>
    <row r="358" spans="1:5">
      <c r="A358" t="s">
        <v>31</v>
      </c>
      <c r="B358" s="11" t="s">
        <v>64</v>
      </c>
      <c r="C358">
        <v>4018</v>
      </c>
      <c r="D358" s="9">
        <v>311.69</v>
      </c>
      <c r="E358" t="s">
        <v>57</v>
      </c>
    </row>
    <row r="359" spans="1:5">
      <c r="A359" t="s">
        <v>31</v>
      </c>
      <c r="B359" s="11" t="s">
        <v>64</v>
      </c>
      <c r="C359">
        <v>4021</v>
      </c>
      <c r="D359" s="9">
        <v>231.82</v>
      </c>
      <c r="E359" t="s">
        <v>57</v>
      </c>
    </row>
    <row r="360" spans="1:5">
      <c r="A360" t="s">
        <v>31</v>
      </c>
      <c r="B360" s="11" t="s">
        <v>64</v>
      </c>
      <c r="C360">
        <v>4022</v>
      </c>
      <c r="D360" s="9">
        <v>76.19</v>
      </c>
      <c r="E360" t="s">
        <v>57</v>
      </c>
    </row>
    <row r="361" spans="1:5">
      <c r="A361" t="s">
        <v>31</v>
      </c>
      <c r="B361" s="11" t="s">
        <v>64</v>
      </c>
      <c r="C361">
        <v>4023</v>
      </c>
      <c r="D361" s="9">
        <v>138.53</v>
      </c>
      <c r="E361" t="s">
        <v>57</v>
      </c>
    </row>
    <row r="362" spans="1:5">
      <c r="A362" t="s">
        <v>31</v>
      </c>
      <c r="B362" s="11" t="s">
        <v>65</v>
      </c>
      <c r="C362">
        <v>1001</v>
      </c>
      <c r="D362" s="9">
        <v>-11557.41</v>
      </c>
      <c r="E362" t="s">
        <v>57</v>
      </c>
    </row>
    <row r="363" spans="1:5">
      <c r="A363" t="s">
        <v>31</v>
      </c>
      <c r="B363" s="11" t="s">
        <v>65</v>
      </c>
      <c r="C363">
        <v>4011</v>
      </c>
      <c r="D363" s="9">
        <v>267.63</v>
      </c>
      <c r="E363" t="s">
        <v>57</v>
      </c>
    </row>
    <row r="364" spans="1:5">
      <c r="A364" t="s">
        <v>31</v>
      </c>
      <c r="B364" s="11" t="s">
        <v>65</v>
      </c>
      <c r="C364">
        <v>4012</v>
      </c>
      <c r="D364" s="9">
        <v>53.53</v>
      </c>
      <c r="E364" t="s">
        <v>57</v>
      </c>
    </row>
    <row r="365" spans="1:5">
      <c r="A365" t="s">
        <v>31</v>
      </c>
      <c r="B365" s="11" t="s">
        <v>65</v>
      </c>
      <c r="C365">
        <v>4018</v>
      </c>
      <c r="D365" s="9">
        <v>266.24</v>
      </c>
      <c r="E365" t="s">
        <v>57</v>
      </c>
    </row>
    <row r="366" spans="1:5">
      <c r="A366" t="s">
        <v>31</v>
      </c>
      <c r="B366" s="11" t="s">
        <v>65</v>
      </c>
      <c r="C366">
        <v>4021</v>
      </c>
      <c r="D366" s="9">
        <v>222.91</v>
      </c>
      <c r="E366" t="s">
        <v>57</v>
      </c>
    </row>
    <row r="367" spans="1:5">
      <c r="A367" t="s">
        <v>31</v>
      </c>
      <c r="B367" s="11" t="s">
        <v>65</v>
      </c>
      <c r="C367">
        <v>4022</v>
      </c>
      <c r="D367" s="9">
        <v>65.08</v>
      </c>
      <c r="E367" t="s">
        <v>57</v>
      </c>
    </row>
    <row r="368" spans="1:5">
      <c r="A368" t="s">
        <v>31</v>
      </c>
      <c r="B368" s="11" t="s">
        <v>65</v>
      </c>
      <c r="C368">
        <v>4023</v>
      </c>
      <c r="D368" s="9">
        <v>118.33</v>
      </c>
      <c r="E368" t="s">
        <v>57</v>
      </c>
    </row>
    <row r="369" spans="1:5">
      <c r="A369" t="s">
        <v>31</v>
      </c>
      <c r="B369" s="11" t="s">
        <v>66</v>
      </c>
      <c r="C369">
        <v>1001</v>
      </c>
      <c r="D369" s="9">
        <v>-22197.84</v>
      </c>
      <c r="E369" t="s">
        <v>57</v>
      </c>
    </row>
    <row r="370" spans="1:5">
      <c r="A370" t="s">
        <v>31</v>
      </c>
      <c r="B370" s="11" t="s">
        <v>66</v>
      </c>
      <c r="C370">
        <v>4011</v>
      </c>
      <c r="D370" s="9">
        <v>409.27</v>
      </c>
      <c r="E370" t="s">
        <v>57</v>
      </c>
    </row>
    <row r="371" spans="1:5">
      <c r="A371" t="s">
        <v>31</v>
      </c>
      <c r="B371" s="11" t="s">
        <v>66</v>
      </c>
      <c r="C371">
        <v>4012</v>
      </c>
      <c r="D371" s="9">
        <v>81.849999999999994</v>
      </c>
      <c r="E371" t="s">
        <v>57</v>
      </c>
    </row>
    <row r="372" spans="1:5">
      <c r="A372" t="s">
        <v>31</v>
      </c>
      <c r="B372" s="11" t="s">
        <v>66</v>
      </c>
      <c r="C372">
        <v>4018</v>
      </c>
      <c r="D372" s="9">
        <v>486.89</v>
      </c>
      <c r="E372" t="s">
        <v>57</v>
      </c>
    </row>
    <row r="373" spans="1:5">
      <c r="A373" t="s">
        <v>31</v>
      </c>
      <c r="B373" s="11" t="s">
        <v>66</v>
      </c>
      <c r="C373">
        <v>4021</v>
      </c>
      <c r="D373" s="9">
        <v>231.82</v>
      </c>
      <c r="E373" t="s">
        <v>57</v>
      </c>
    </row>
    <row r="374" spans="1:5">
      <c r="A374" t="s">
        <v>31</v>
      </c>
      <c r="B374" s="11" t="s">
        <v>66</v>
      </c>
      <c r="C374">
        <v>4022</v>
      </c>
      <c r="D374" s="9">
        <v>119.02</v>
      </c>
      <c r="E374" t="s">
        <v>57</v>
      </c>
    </row>
    <row r="375" spans="1:5">
      <c r="A375" t="s">
        <v>31</v>
      </c>
      <c r="B375" s="11" t="s">
        <v>66</v>
      </c>
      <c r="C375">
        <v>4023</v>
      </c>
      <c r="D375" s="9">
        <v>216.4</v>
      </c>
      <c r="E375" t="s">
        <v>57</v>
      </c>
    </row>
    <row r="376" spans="1:5">
      <c r="A376" t="s">
        <v>31</v>
      </c>
      <c r="B376" s="11" t="s">
        <v>67</v>
      </c>
      <c r="C376">
        <v>1001</v>
      </c>
      <c r="D376" s="9">
        <v>-10512.66</v>
      </c>
      <c r="E376" t="s">
        <v>57</v>
      </c>
    </row>
    <row r="377" spans="1:5">
      <c r="A377" t="s">
        <v>31</v>
      </c>
      <c r="B377" s="11" t="s">
        <v>67</v>
      </c>
      <c r="C377">
        <v>4011</v>
      </c>
      <c r="D377" s="9">
        <v>198.42</v>
      </c>
      <c r="E377" t="s">
        <v>57</v>
      </c>
    </row>
    <row r="378" spans="1:5">
      <c r="A378" t="s">
        <v>31</v>
      </c>
      <c r="B378" s="11" t="s">
        <v>67</v>
      </c>
      <c r="C378">
        <v>4012</v>
      </c>
      <c r="D378" s="9">
        <v>39.68</v>
      </c>
      <c r="E378" t="s">
        <v>57</v>
      </c>
    </row>
    <row r="379" spans="1:5">
      <c r="A379" t="s">
        <v>31</v>
      </c>
      <c r="B379" s="11" t="s">
        <v>67</v>
      </c>
      <c r="C379">
        <v>4018</v>
      </c>
      <c r="D379" s="9">
        <v>197.47</v>
      </c>
      <c r="E379" t="s">
        <v>57</v>
      </c>
    </row>
    <row r="380" spans="1:5">
      <c r="A380" t="s">
        <v>31</v>
      </c>
      <c r="B380" s="11" t="s">
        <v>67</v>
      </c>
      <c r="C380">
        <v>4021</v>
      </c>
      <c r="D380" s="9">
        <v>222.91</v>
      </c>
      <c r="E380" t="s">
        <v>57</v>
      </c>
    </row>
    <row r="381" spans="1:5">
      <c r="A381" t="s">
        <v>31</v>
      </c>
      <c r="B381" s="11" t="s">
        <v>67</v>
      </c>
      <c r="C381">
        <v>4022</v>
      </c>
      <c r="D381" s="9">
        <v>48.27</v>
      </c>
      <c r="E381" t="s">
        <v>57</v>
      </c>
    </row>
    <row r="382" spans="1:5">
      <c r="A382" t="s">
        <v>31</v>
      </c>
      <c r="B382" s="11" t="s">
        <v>67</v>
      </c>
      <c r="C382">
        <v>4023</v>
      </c>
      <c r="D382" s="9">
        <v>87.77</v>
      </c>
      <c r="E382" t="s">
        <v>57</v>
      </c>
    </row>
    <row r="383" spans="1:5">
      <c r="A383" t="s">
        <v>31</v>
      </c>
      <c r="B383" s="11" t="s">
        <v>76</v>
      </c>
      <c r="C383">
        <v>1001</v>
      </c>
      <c r="D383" s="9">
        <v>-7306.04</v>
      </c>
      <c r="E383" t="s">
        <v>57</v>
      </c>
    </row>
    <row r="384" spans="1:5">
      <c r="A384" t="s">
        <v>31</v>
      </c>
      <c r="B384" s="11" t="s">
        <v>76</v>
      </c>
      <c r="C384">
        <v>4011</v>
      </c>
      <c r="D384" s="9">
        <v>118.05</v>
      </c>
      <c r="E384" t="s">
        <v>57</v>
      </c>
    </row>
    <row r="385" spans="1:5">
      <c r="A385" t="s">
        <v>31</v>
      </c>
      <c r="B385" s="11" t="s">
        <v>76</v>
      </c>
      <c r="C385">
        <v>4012</v>
      </c>
      <c r="D385" s="9">
        <v>22.13</v>
      </c>
      <c r="E385" t="s">
        <v>57</v>
      </c>
    </row>
    <row r="386" spans="1:5">
      <c r="A386" t="s">
        <v>31</v>
      </c>
      <c r="B386" s="11" t="s">
        <v>76</v>
      </c>
      <c r="C386">
        <v>4018</v>
      </c>
      <c r="D386" s="9">
        <v>165.06</v>
      </c>
      <c r="E386" t="s">
        <v>57</v>
      </c>
    </row>
    <row r="387" spans="1:5">
      <c r="A387" t="s">
        <v>31</v>
      </c>
      <c r="B387" s="11" t="s">
        <v>76</v>
      </c>
      <c r="C387">
        <v>4021</v>
      </c>
      <c r="D387" s="9">
        <v>222.91</v>
      </c>
      <c r="E387" t="s">
        <v>57</v>
      </c>
    </row>
    <row r="388" spans="1:5">
      <c r="A388" t="s">
        <v>31</v>
      </c>
      <c r="B388" s="11" t="s">
        <v>76</v>
      </c>
      <c r="C388">
        <v>4022</v>
      </c>
      <c r="D388" s="9">
        <v>40.35</v>
      </c>
      <c r="E388" t="s">
        <v>57</v>
      </c>
    </row>
    <row r="389" spans="1:5">
      <c r="A389" t="s">
        <v>31</v>
      </c>
      <c r="B389" s="11" t="s">
        <v>76</v>
      </c>
      <c r="C389">
        <v>4023</v>
      </c>
      <c r="D389" s="9">
        <v>73.36</v>
      </c>
      <c r="E389" t="s">
        <v>57</v>
      </c>
    </row>
    <row r="390" spans="1:5">
      <c r="A390" t="s">
        <v>31</v>
      </c>
      <c r="B390" s="11" t="s">
        <v>68</v>
      </c>
      <c r="C390">
        <v>1001</v>
      </c>
      <c r="D390" s="9">
        <v>-12856.05</v>
      </c>
      <c r="E390" t="s">
        <v>58</v>
      </c>
    </row>
    <row r="391" spans="1:5">
      <c r="A391" t="s">
        <v>31</v>
      </c>
      <c r="B391" s="11" t="s">
        <v>68</v>
      </c>
      <c r="C391">
        <v>4011</v>
      </c>
      <c r="D391" s="9">
        <v>236.05</v>
      </c>
      <c r="E391" t="s">
        <v>58</v>
      </c>
    </row>
    <row r="392" spans="1:5">
      <c r="A392" t="s">
        <v>31</v>
      </c>
      <c r="B392" s="11" t="s">
        <v>68</v>
      </c>
      <c r="C392">
        <v>4012</v>
      </c>
      <c r="D392" s="9">
        <v>41.31</v>
      </c>
      <c r="E392" t="s">
        <v>58</v>
      </c>
    </row>
    <row r="393" spans="1:5">
      <c r="A393" t="s">
        <v>31</v>
      </c>
      <c r="B393" s="11" t="s">
        <v>68</v>
      </c>
      <c r="C393">
        <v>4018</v>
      </c>
      <c r="D393" s="9">
        <v>269.86</v>
      </c>
      <c r="E393" t="s">
        <v>58</v>
      </c>
    </row>
    <row r="394" spans="1:5">
      <c r="A394" t="s">
        <v>31</v>
      </c>
      <c r="B394" s="11" t="s">
        <v>68</v>
      </c>
      <c r="C394">
        <v>4021</v>
      </c>
      <c r="D394" s="9">
        <v>222.91</v>
      </c>
      <c r="E394" t="s">
        <v>58</v>
      </c>
    </row>
    <row r="395" spans="1:5">
      <c r="A395" t="s">
        <v>31</v>
      </c>
      <c r="B395" s="11" t="s">
        <v>68</v>
      </c>
      <c r="C395">
        <v>4022</v>
      </c>
      <c r="D395" s="9">
        <v>65.97</v>
      </c>
      <c r="E395" t="s">
        <v>58</v>
      </c>
    </row>
    <row r="396" spans="1:5">
      <c r="A396" t="s">
        <v>31</v>
      </c>
      <c r="B396" s="11" t="s">
        <v>68</v>
      </c>
      <c r="C396">
        <v>4023</v>
      </c>
      <c r="D396" s="9">
        <v>119.94</v>
      </c>
      <c r="E396" t="s">
        <v>58</v>
      </c>
    </row>
    <row r="397" spans="1:5">
      <c r="A397" t="s">
        <v>31</v>
      </c>
      <c r="B397" s="11" t="s">
        <v>69</v>
      </c>
      <c r="C397">
        <v>1001</v>
      </c>
      <c r="D397" s="9">
        <v>-11370.61</v>
      </c>
      <c r="E397" t="s">
        <v>58</v>
      </c>
    </row>
    <row r="398" spans="1:5">
      <c r="A398" t="s">
        <v>31</v>
      </c>
      <c r="B398" s="11" t="s">
        <v>69</v>
      </c>
      <c r="C398">
        <v>4011</v>
      </c>
      <c r="D398" s="9">
        <v>194.97</v>
      </c>
      <c r="E398" t="s">
        <v>58</v>
      </c>
    </row>
    <row r="399" spans="1:5">
      <c r="A399" t="s">
        <v>31</v>
      </c>
      <c r="B399" s="11" t="s">
        <v>69</v>
      </c>
      <c r="C399">
        <v>4012</v>
      </c>
      <c r="D399" s="9">
        <v>34.119999999999997</v>
      </c>
      <c r="E399" t="s">
        <v>58</v>
      </c>
    </row>
    <row r="400" spans="1:5">
      <c r="A400" t="s">
        <v>31</v>
      </c>
      <c r="B400" s="11" t="s">
        <v>69</v>
      </c>
      <c r="C400">
        <v>4018</v>
      </c>
      <c r="D400" s="9">
        <v>240.73</v>
      </c>
      <c r="E400" t="s">
        <v>58</v>
      </c>
    </row>
    <row r="401" spans="1:5">
      <c r="A401" t="s">
        <v>31</v>
      </c>
      <c r="B401" s="11" t="s">
        <v>69</v>
      </c>
      <c r="C401">
        <v>4021</v>
      </c>
      <c r="D401" s="9">
        <v>222.91</v>
      </c>
      <c r="E401" t="s">
        <v>58</v>
      </c>
    </row>
    <row r="402" spans="1:5">
      <c r="A402" t="s">
        <v>31</v>
      </c>
      <c r="B402" s="11" t="s">
        <v>69</v>
      </c>
      <c r="C402">
        <v>4022</v>
      </c>
      <c r="D402" s="9">
        <v>58.85</v>
      </c>
      <c r="E402" t="s">
        <v>58</v>
      </c>
    </row>
    <row r="403" spans="1:5">
      <c r="A403" t="s">
        <v>31</v>
      </c>
      <c r="B403" s="11" t="s">
        <v>69</v>
      </c>
      <c r="C403">
        <v>4023</v>
      </c>
      <c r="D403" s="9">
        <v>106.99</v>
      </c>
      <c r="E403" t="s">
        <v>58</v>
      </c>
    </row>
    <row r="404" spans="1:5">
      <c r="A404" t="s">
        <v>31</v>
      </c>
      <c r="B404" s="11" t="s">
        <v>77</v>
      </c>
      <c r="C404">
        <v>1001</v>
      </c>
      <c r="D404" s="9">
        <v>-15104.29</v>
      </c>
      <c r="E404" t="s">
        <v>58</v>
      </c>
    </row>
    <row r="405" spans="1:5">
      <c r="A405" t="s">
        <v>31</v>
      </c>
      <c r="B405" s="11" t="s">
        <v>77</v>
      </c>
      <c r="C405">
        <v>4011</v>
      </c>
      <c r="D405" s="9">
        <v>408.48</v>
      </c>
      <c r="E405" t="s">
        <v>58</v>
      </c>
    </row>
    <row r="406" spans="1:5">
      <c r="A406" t="s">
        <v>31</v>
      </c>
      <c r="B406" s="11" t="s">
        <v>77</v>
      </c>
      <c r="C406">
        <v>4012</v>
      </c>
      <c r="D406" s="9">
        <v>81.7</v>
      </c>
      <c r="E406" t="s">
        <v>58</v>
      </c>
    </row>
    <row r="407" spans="1:5">
      <c r="A407" t="s">
        <v>31</v>
      </c>
      <c r="B407" s="11" t="s">
        <v>77</v>
      </c>
      <c r="C407">
        <v>4018</v>
      </c>
      <c r="D407" s="9">
        <v>321.39</v>
      </c>
      <c r="E407" t="s">
        <v>58</v>
      </c>
    </row>
    <row r="408" spans="1:5">
      <c r="A408" t="s">
        <v>31</v>
      </c>
      <c r="B408" s="11" t="s">
        <v>77</v>
      </c>
      <c r="C408">
        <v>4021</v>
      </c>
      <c r="D408" s="9">
        <v>231.82</v>
      </c>
      <c r="E408" t="s">
        <v>58</v>
      </c>
    </row>
    <row r="409" spans="1:5">
      <c r="A409" t="s">
        <v>31</v>
      </c>
      <c r="B409" s="11" t="s">
        <v>77</v>
      </c>
      <c r="C409">
        <v>4022</v>
      </c>
      <c r="D409" s="9">
        <v>78.56</v>
      </c>
      <c r="E409" t="s">
        <v>58</v>
      </c>
    </row>
    <row r="410" spans="1:5">
      <c r="A410" t="s">
        <v>31</v>
      </c>
      <c r="B410" s="11" t="s">
        <v>77</v>
      </c>
      <c r="C410">
        <v>4023</v>
      </c>
      <c r="D410" s="9">
        <v>142.84</v>
      </c>
      <c r="E410" t="s">
        <v>58</v>
      </c>
    </row>
    <row r="411" spans="1:5">
      <c r="A411" t="s">
        <v>31</v>
      </c>
      <c r="B411" s="11" t="s">
        <v>70</v>
      </c>
      <c r="C411">
        <v>1001</v>
      </c>
      <c r="D411" s="9">
        <v>-15310.84</v>
      </c>
      <c r="E411" t="s">
        <v>59</v>
      </c>
    </row>
    <row r="412" spans="1:5">
      <c r="A412" t="s">
        <v>31</v>
      </c>
      <c r="B412" s="11" t="s">
        <v>70</v>
      </c>
      <c r="C412">
        <v>4011</v>
      </c>
      <c r="D412" s="9">
        <v>290.02999999999997</v>
      </c>
      <c r="E412" t="s">
        <v>59</v>
      </c>
    </row>
    <row r="413" spans="1:5">
      <c r="A413" t="s">
        <v>31</v>
      </c>
      <c r="B413" s="11" t="s">
        <v>70</v>
      </c>
      <c r="C413">
        <v>4012</v>
      </c>
      <c r="D413" s="9">
        <v>58.01</v>
      </c>
      <c r="E413" t="s">
        <v>59</v>
      </c>
    </row>
    <row r="414" spans="1:5">
      <c r="A414" t="s">
        <v>31</v>
      </c>
      <c r="B414" s="11" t="s">
        <v>70</v>
      </c>
      <c r="C414">
        <v>4018</v>
      </c>
      <c r="D414" s="9">
        <v>325.73</v>
      </c>
      <c r="E414" t="s">
        <v>59</v>
      </c>
    </row>
    <row r="415" spans="1:5">
      <c r="A415" t="s">
        <v>31</v>
      </c>
      <c r="B415" s="11" t="s">
        <v>70</v>
      </c>
      <c r="C415">
        <v>4021</v>
      </c>
      <c r="D415" s="9">
        <v>231.82</v>
      </c>
      <c r="E415" t="s">
        <v>59</v>
      </c>
    </row>
    <row r="416" spans="1:5">
      <c r="A416" t="s">
        <v>31</v>
      </c>
      <c r="B416" s="11" t="s">
        <v>70</v>
      </c>
      <c r="C416">
        <v>4022</v>
      </c>
      <c r="D416" s="9">
        <v>71.66</v>
      </c>
      <c r="E416" t="s">
        <v>59</v>
      </c>
    </row>
    <row r="417" spans="1:5">
      <c r="A417" t="s">
        <v>31</v>
      </c>
      <c r="B417" s="11" t="s">
        <v>70</v>
      </c>
      <c r="C417">
        <v>4023</v>
      </c>
      <c r="D417" s="9">
        <v>130.29</v>
      </c>
      <c r="E417" t="s">
        <v>59</v>
      </c>
    </row>
    <row r="418" spans="1:5">
      <c r="A418" t="s">
        <v>31</v>
      </c>
      <c r="B418" s="11" t="s">
        <v>71</v>
      </c>
      <c r="C418">
        <v>1001</v>
      </c>
      <c r="D418" s="9">
        <v>-20122.43</v>
      </c>
      <c r="E418" t="s">
        <v>59</v>
      </c>
    </row>
    <row r="419" spans="1:5">
      <c r="A419" t="s">
        <v>31</v>
      </c>
      <c r="B419" s="11" t="s">
        <v>71</v>
      </c>
      <c r="C419">
        <v>4011</v>
      </c>
      <c r="D419" s="9">
        <v>443.85</v>
      </c>
      <c r="E419" t="s">
        <v>59</v>
      </c>
    </row>
    <row r="420" spans="1:5">
      <c r="A420" t="s">
        <v>31</v>
      </c>
      <c r="B420" s="11" t="s">
        <v>71</v>
      </c>
      <c r="C420">
        <v>4012</v>
      </c>
      <c r="D420" s="9">
        <v>88.77</v>
      </c>
      <c r="E420" t="s">
        <v>59</v>
      </c>
    </row>
    <row r="421" spans="1:5">
      <c r="A421" t="s">
        <v>31</v>
      </c>
      <c r="B421" s="11" t="s">
        <v>71</v>
      </c>
      <c r="C421">
        <v>4018</v>
      </c>
      <c r="D421" s="9">
        <v>363.25</v>
      </c>
      <c r="E421" t="s">
        <v>59</v>
      </c>
    </row>
    <row r="422" spans="1:5">
      <c r="A422" t="s">
        <v>31</v>
      </c>
      <c r="B422" s="11" t="s">
        <v>71</v>
      </c>
      <c r="C422">
        <v>4021</v>
      </c>
      <c r="D422" s="9">
        <v>231.82</v>
      </c>
      <c r="E422" t="s">
        <v>59</v>
      </c>
    </row>
    <row r="423" spans="1:5">
      <c r="A423" t="s">
        <v>31</v>
      </c>
      <c r="B423" s="11" t="s">
        <v>71</v>
      </c>
      <c r="C423">
        <v>4022</v>
      </c>
      <c r="D423" s="9">
        <v>88.79</v>
      </c>
      <c r="E423" t="s">
        <v>59</v>
      </c>
    </row>
    <row r="424" spans="1:5">
      <c r="A424" t="s">
        <v>31</v>
      </c>
      <c r="B424" s="11" t="s">
        <v>71</v>
      </c>
      <c r="C424">
        <v>4023</v>
      </c>
      <c r="D424" s="9">
        <v>161.44</v>
      </c>
      <c r="E424" t="s">
        <v>59</v>
      </c>
    </row>
    <row r="425" spans="1:5">
      <c r="A425" t="s">
        <v>31</v>
      </c>
      <c r="B425" s="11" t="s">
        <v>72</v>
      </c>
      <c r="C425">
        <v>1001</v>
      </c>
      <c r="D425" s="9">
        <v>-18935.150000000001</v>
      </c>
      <c r="E425" t="s">
        <v>59</v>
      </c>
    </row>
    <row r="426" spans="1:5">
      <c r="A426" t="s">
        <v>31</v>
      </c>
      <c r="B426" s="11" t="s">
        <v>72</v>
      </c>
      <c r="C426">
        <v>4011</v>
      </c>
      <c r="D426" s="9">
        <v>546.87</v>
      </c>
      <c r="E426" t="s">
        <v>59</v>
      </c>
    </row>
    <row r="427" spans="1:5">
      <c r="A427" t="s">
        <v>31</v>
      </c>
      <c r="B427" s="11" t="s">
        <v>72</v>
      </c>
      <c r="C427">
        <v>4012</v>
      </c>
      <c r="D427" s="9">
        <v>109.37</v>
      </c>
      <c r="E427" t="s">
        <v>59</v>
      </c>
    </row>
    <row r="428" spans="1:5">
      <c r="A428" t="s">
        <v>31</v>
      </c>
      <c r="B428" s="11" t="s">
        <v>72</v>
      </c>
      <c r="C428">
        <v>4018</v>
      </c>
      <c r="D428" s="9">
        <v>954.42</v>
      </c>
      <c r="E428" t="s">
        <v>59</v>
      </c>
    </row>
    <row r="429" spans="1:5">
      <c r="A429" t="s">
        <v>31</v>
      </c>
      <c r="B429" s="11" t="s">
        <v>72</v>
      </c>
      <c r="C429">
        <v>4021</v>
      </c>
      <c r="D429" s="9">
        <v>234</v>
      </c>
      <c r="E429" t="s">
        <v>59</v>
      </c>
    </row>
    <row r="430" spans="1:5">
      <c r="A430" t="s">
        <v>31</v>
      </c>
      <c r="B430" s="11" t="s">
        <v>72</v>
      </c>
      <c r="C430">
        <v>4022</v>
      </c>
      <c r="D430" s="9">
        <v>104.99</v>
      </c>
      <c r="E430" t="s">
        <v>59</v>
      </c>
    </row>
    <row r="431" spans="1:5">
      <c r="A431" t="s">
        <v>31</v>
      </c>
      <c r="B431" s="11" t="s">
        <v>72</v>
      </c>
      <c r="C431">
        <v>4023</v>
      </c>
      <c r="D431" s="9">
        <v>190.88</v>
      </c>
      <c r="E431" t="s">
        <v>59</v>
      </c>
    </row>
    <row r="432" spans="1:5">
      <c r="A432" t="s">
        <v>31</v>
      </c>
      <c r="B432" s="11" t="s">
        <v>78</v>
      </c>
      <c r="C432">
        <v>1001</v>
      </c>
      <c r="D432" s="9">
        <v>-13245.19</v>
      </c>
      <c r="E432" t="s">
        <v>59</v>
      </c>
    </row>
    <row r="433" spans="1:5">
      <c r="A433" t="s">
        <v>31</v>
      </c>
      <c r="B433" s="11" t="s">
        <v>78</v>
      </c>
      <c r="C433">
        <v>4011</v>
      </c>
      <c r="D433" s="9">
        <v>268.55</v>
      </c>
      <c r="E433" t="s">
        <v>59</v>
      </c>
    </row>
    <row r="434" spans="1:5">
      <c r="A434" t="s">
        <v>31</v>
      </c>
      <c r="B434" s="11" t="s">
        <v>78</v>
      </c>
      <c r="C434">
        <v>4012</v>
      </c>
      <c r="D434" s="9">
        <v>53.71</v>
      </c>
      <c r="E434" t="s">
        <v>59</v>
      </c>
    </row>
    <row r="435" spans="1:5">
      <c r="A435" t="s">
        <v>31</v>
      </c>
      <c r="B435" s="11" t="s">
        <v>78</v>
      </c>
      <c r="C435">
        <v>4018</v>
      </c>
      <c r="D435" s="9">
        <v>951.89</v>
      </c>
      <c r="E435" t="s">
        <v>59</v>
      </c>
    </row>
    <row r="436" spans="1:5">
      <c r="A436" t="s">
        <v>31</v>
      </c>
      <c r="B436" s="11" t="s">
        <v>78</v>
      </c>
      <c r="C436">
        <v>4021</v>
      </c>
      <c r="D436" s="9">
        <v>225</v>
      </c>
      <c r="E436" t="s">
        <v>59</v>
      </c>
    </row>
    <row r="437" spans="1:5">
      <c r="A437" t="s">
        <v>31</v>
      </c>
      <c r="B437" s="11" t="s">
        <v>78</v>
      </c>
      <c r="C437">
        <v>4022</v>
      </c>
      <c r="D437" s="9">
        <v>64.83</v>
      </c>
      <c r="E437" t="s">
        <v>59</v>
      </c>
    </row>
    <row r="438" spans="1:5">
      <c r="A438" t="s">
        <v>31</v>
      </c>
      <c r="B438" s="11" t="s">
        <v>78</v>
      </c>
      <c r="C438">
        <v>4023</v>
      </c>
      <c r="D438" s="9">
        <v>152.30000000000001</v>
      </c>
      <c r="E438" t="s">
        <v>59</v>
      </c>
    </row>
    <row r="439" spans="1:5">
      <c r="A439" t="s">
        <v>31</v>
      </c>
      <c r="B439" s="11" t="s">
        <v>73</v>
      </c>
      <c r="C439">
        <v>1001</v>
      </c>
      <c r="D439" s="9">
        <v>-16585.45</v>
      </c>
      <c r="E439" t="s">
        <v>60</v>
      </c>
    </row>
    <row r="440" spans="1:5">
      <c r="A440" t="s">
        <v>31</v>
      </c>
      <c r="B440" s="11" t="s">
        <v>73</v>
      </c>
      <c r="C440">
        <v>4011</v>
      </c>
      <c r="D440" s="9">
        <v>449.13</v>
      </c>
      <c r="E440" t="s">
        <v>60</v>
      </c>
    </row>
    <row r="441" spans="1:5">
      <c r="A441" t="s">
        <v>31</v>
      </c>
      <c r="B441" s="11" t="s">
        <v>73</v>
      </c>
      <c r="C441">
        <v>4012</v>
      </c>
      <c r="D441" s="9">
        <v>89.83</v>
      </c>
      <c r="E441" t="s">
        <v>60</v>
      </c>
    </row>
    <row r="442" spans="1:5">
      <c r="A442" t="s">
        <v>31</v>
      </c>
      <c r="B442" s="11" t="s">
        <v>73</v>
      </c>
      <c r="C442">
        <v>4018</v>
      </c>
      <c r="D442" s="9">
        <v>348.12</v>
      </c>
      <c r="E442" t="s">
        <v>60</v>
      </c>
    </row>
    <row r="443" spans="1:5">
      <c r="A443" t="s">
        <v>31</v>
      </c>
      <c r="B443" s="11" t="s">
        <v>73</v>
      </c>
      <c r="C443">
        <v>4021</v>
      </c>
      <c r="D443" s="9">
        <v>231.82</v>
      </c>
      <c r="E443" t="s">
        <v>60</v>
      </c>
    </row>
    <row r="444" spans="1:5">
      <c r="A444" t="s">
        <v>31</v>
      </c>
      <c r="B444" s="11" t="s">
        <v>73</v>
      </c>
      <c r="C444">
        <v>4022</v>
      </c>
      <c r="D444" s="9">
        <v>85.1</v>
      </c>
      <c r="E444" t="s">
        <v>60</v>
      </c>
    </row>
    <row r="445" spans="1:5">
      <c r="A445" t="s">
        <v>31</v>
      </c>
      <c r="B445" s="11" t="s">
        <v>73</v>
      </c>
      <c r="C445">
        <v>4023</v>
      </c>
      <c r="D445" s="9">
        <v>154.72</v>
      </c>
      <c r="E445" t="s">
        <v>60</v>
      </c>
    </row>
    <row r="446" spans="1:5">
      <c r="A446" t="s">
        <v>31</v>
      </c>
      <c r="B446" s="11" t="s">
        <v>74</v>
      </c>
      <c r="C446">
        <v>1001</v>
      </c>
      <c r="D446" s="9">
        <v>-16067.57</v>
      </c>
      <c r="E446" t="s">
        <v>60</v>
      </c>
    </row>
    <row r="447" spans="1:5">
      <c r="A447" t="s">
        <v>31</v>
      </c>
      <c r="B447" s="11" t="s">
        <v>74</v>
      </c>
      <c r="C447">
        <v>4011</v>
      </c>
      <c r="D447" s="9">
        <v>478.16</v>
      </c>
      <c r="E447" t="s">
        <v>60</v>
      </c>
    </row>
    <row r="448" spans="1:5">
      <c r="A448" t="s">
        <v>31</v>
      </c>
      <c r="B448" s="11" t="s">
        <v>74</v>
      </c>
      <c r="C448">
        <v>4012</v>
      </c>
      <c r="D448" s="9">
        <v>95.63</v>
      </c>
      <c r="E448" t="s">
        <v>60</v>
      </c>
    </row>
    <row r="449" spans="1:5">
      <c r="A449" t="s">
        <v>31</v>
      </c>
      <c r="B449" s="11" t="s">
        <v>74</v>
      </c>
      <c r="C449">
        <v>4018</v>
      </c>
      <c r="D449" s="9">
        <v>369.12</v>
      </c>
      <c r="E449" t="s">
        <v>60</v>
      </c>
    </row>
    <row r="450" spans="1:5">
      <c r="A450" t="s">
        <v>31</v>
      </c>
      <c r="B450" s="11" t="s">
        <v>74</v>
      </c>
      <c r="C450">
        <v>4021</v>
      </c>
      <c r="D450" s="9">
        <v>222.91</v>
      </c>
      <c r="E450" t="s">
        <v>60</v>
      </c>
    </row>
    <row r="451" spans="1:5">
      <c r="A451" t="s">
        <v>31</v>
      </c>
      <c r="B451" s="11" t="s">
        <v>74</v>
      </c>
      <c r="C451">
        <v>4022</v>
      </c>
      <c r="D451" s="9">
        <v>90.23</v>
      </c>
      <c r="E451" t="s">
        <v>60</v>
      </c>
    </row>
    <row r="452" spans="1:5">
      <c r="A452" t="s">
        <v>31</v>
      </c>
      <c r="B452" s="11" t="s">
        <v>74</v>
      </c>
      <c r="C452">
        <v>4023</v>
      </c>
      <c r="D452" s="9">
        <v>164.05</v>
      </c>
      <c r="E452" t="s">
        <v>60</v>
      </c>
    </row>
    <row r="453" spans="1:5">
      <c r="A453" t="s">
        <v>32</v>
      </c>
      <c r="B453" s="11" t="s">
        <v>61</v>
      </c>
      <c r="C453">
        <v>1001</v>
      </c>
      <c r="D453" s="9">
        <v>-13786.47</v>
      </c>
      <c r="E453" t="s">
        <v>56</v>
      </c>
    </row>
    <row r="454" spans="1:5">
      <c r="A454" t="s">
        <v>32</v>
      </c>
      <c r="B454" s="11" t="s">
        <v>61</v>
      </c>
      <c r="C454">
        <v>4011</v>
      </c>
      <c r="D454" s="9">
        <v>215.03</v>
      </c>
      <c r="E454" t="s">
        <v>56</v>
      </c>
    </row>
    <row r="455" spans="1:5">
      <c r="A455" t="s">
        <v>32</v>
      </c>
      <c r="B455" s="11" t="s">
        <v>61</v>
      </c>
      <c r="C455">
        <v>4012</v>
      </c>
      <c r="D455" s="9">
        <v>37.630000000000003</v>
      </c>
      <c r="E455" t="s">
        <v>56</v>
      </c>
    </row>
    <row r="456" spans="1:5">
      <c r="A456" t="s">
        <v>32</v>
      </c>
      <c r="B456" s="11" t="s">
        <v>61</v>
      </c>
      <c r="C456">
        <v>4018</v>
      </c>
      <c r="D456" s="9">
        <v>285.70999999999998</v>
      </c>
      <c r="E456" t="s">
        <v>56</v>
      </c>
    </row>
    <row r="457" spans="1:5">
      <c r="A457" t="s">
        <v>32</v>
      </c>
      <c r="B457" s="11" t="s">
        <v>61</v>
      </c>
      <c r="C457">
        <v>4021</v>
      </c>
      <c r="D457" s="9">
        <v>222.91</v>
      </c>
      <c r="E457" t="s">
        <v>56</v>
      </c>
    </row>
    <row r="458" spans="1:5">
      <c r="A458" t="s">
        <v>32</v>
      </c>
      <c r="B458" s="11" t="s">
        <v>61</v>
      </c>
      <c r="C458">
        <v>4022</v>
      </c>
      <c r="D458" s="9">
        <v>63.49</v>
      </c>
      <c r="E458" t="s">
        <v>56</v>
      </c>
    </row>
    <row r="459" spans="1:5">
      <c r="A459" t="s">
        <v>32</v>
      </c>
      <c r="B459" s="11" t="s">
        <v>61</v>
      </c>
      <c r="C459">
        <v>4023</v>
      </c>
      <c r="D459" s="9">
        <v>126.98</v>
      </c>
      <c r="E459" t="s">
        <v>56</v>
      </c>
    </row>
    <row r="460" spans="1:5">
      <c r="A460" t="s">
        <v>32</v>
      </c>
      <c r="B460" s="11" t="s">
        <v>62</v>
      </c>
      <c r="C460">
        <v>1001</v>
      </c>
      <c r="D460" s="9">
        <v>-9608.4500000000007</v>
      </c>
      <c r="E460" t="s">
        <v>56</v>
      </c>
    </row>
    <row r="461" spans="1:5">
      <c r="A461" t="s">
        <v>32</v>
      </c>
      <c r="B461" s="11" t="s">
        <v>62</v>
      </c>
      <c r="C461">
        <v>4011</v>
      </c>
      <c r="D461" s="9">
        <v>182.7</v>
      </c>
      <c r="E461" t="s">
        <v>56</v>
      </c>
    </row>
    <row r="462" spans="1:5">
      <c r="A462" t="s">
        <v>32</v>
      </c>
      <c r="B462" s="11" t="s">
        <v>62</v>
      </c>
      <c r="C462">
        <v>4012</v>
      </c>
      <c r="D462" s="9">
        <v>31.97</v>
      </c>
      <c r="E462" t="s">
        <v>56</v>
      </c>
    </row>
    <row r="463" spans="1:5">
      <c r="A463" t="s">
        <v>32</v>
      </c>
      <c r="B463" s="11" t="s">
        <v>62</v>
      </c>
      <c r="C463">
        <v>4018</v>
      </c>
      <c r="D463" s="9">
        <v>189.6</v>
      </c>
      <c r="E463" t="s">
        <v>56</v>
      </c>
    </row>
    <row r="464" spans="1:5">
      <c r="A464" t="s">
        <v>32</v>
      </c>
      <c r="B464" s="11" t="s">
        <v>62</v>
      </c>
      <c r="C464">
        <v>4021</v>
      </c>
      <c r="D464" s="9">
        <v>222.91</v>
      </c>
      <c r="E464" t="s">
        <v>56</v>
      </c>
    </row>
    <row r="465" spans="1:5">
      <c r="A465" t="s">
        <v>32</v>
      </c>
      <c r="B465" s="11" t="s">
        <v>62</v>
      </c>
      <c r="C465">
        <v>4022</v>
      </c>
      <c r="D465" s="9">
        <v>42.13</v>
      </c>
      <c r="E465" t="s">
        <v>56</v>
      </c>
    </row>
    <row r="466" spans="1:5">
      <c r="A466" t="s">
        <v>32</v>
      </c>
      <c r="B466" s="11" t="s">
        <v>62</v>
      </c>
      <c r="C466">
        <v>4023</v>
      </c>
      <c r="D466" s="9">
        <v>84.27</v>
      </c>
      <c r="E466" t="s">
        <v>56</v>
      </c>
    </row>
    <row r="467" spans="1:5">
      <c r="A467" t="s">
        <v>32</v>
      </c>
      <c r="B467" s="11" t="s">
        <v>63</v>
      </c>
      <c r="C467">
        <v>1001</v>
      </c>
      <c r="D467" s="9">
        <v>-17403.669999999998</v>
      </c>
      <c r="E467" t="s">
        <v>56</v>
      </c>
    </row>
    <row r="468" spans="1:5">
      <c r="A468" t="s">
        <v>32</v>
      </c>
      <c r="B468" s="11" t="s">
        <v>63</v>
      </c>
      <c r="C468">
        <v>4011</v>
      </c>
      <c r="D468" s="9">
        <v>304.04000000000002</v>
      </c>
      <c r="E468" t="s">
        <v>56</v>
      </c>
    </row>
    <row r="469" spans="1:5">
      <c r="A469" t="s">
        <v>32</v>
      </c>
      <c r="B469" s="11" t="s">
        <v>63</v>
      </c>
      <c r="C469">
        <v>4012</v>
      </c>
      <c r="D469" s="9">
        <v>60.81</v>
      </c>
      <c r="E469" t="s">
        <v>56</v>
      </c>
    </row>
    <row r="470" spans="1:5">
      <c r="A470" t="s">
        <v>32</v>
      </c>
      <c r="B470" s="11" t="s">
        <v>63</v>
      </c>
      <c r="C470">
        <v>4018</v>
      </c>
      <c r="D470" s="9">
        <v>309.7</v>
      </c>
      <c r="E470" t="s">
        <v>56</v>
      </c>
    </row>
    <row r="471" spans="1:5">
      <c r="A471" t="s">
        <v>32</v>
      </c>
      <c r="B471" s="11" t="s">
        <v>63</v>
      </c>
      <c r="C471">
        <v>4021</v>
      </c>
      <c r="D471" s="9">
        <v>222.91</v>
      </c>
      <c r="E471" t="s">
        <v>56</v>
      </c>
    </row>
    <row r="472" spans="1:5">
      <c r="A472" t="s">
        <v>32</v>
      </c>
      <c r="B472" s="11" t="s">
        <v>63</v>
      </c>
      <c r="C472">
        <v>4022</v>
      </c>
      <c r="D472" s="9">
        <v>68.819999999999993</v>
      </c>
      <c r="E472" t="s">
        <v>56</v>
      </c>
    </row>
    <row r="473" spans="1:5">
      <c r="A473" t="s">
        <v>32</v>
      </c>
      <c r="B473" s="11" t="s">
        <v>63</v>
      </c>
      <c r="C473">
        <v>4023</v>
      </c>
      <c r="D473" s="9">
        <v>137.63999999999999</v>
      </c>
      <c r="E473" t="s">
        <v>56</v>
      </c>
    </row>
    <row r="474" spans="1:5">
      <c r="A474" t="s">
        <v>32</v>
      </c>
      <c r="B474" s="11" t="s">
        <v>75</v>
      </c>
      <c r="C474">
        <v>1001</v>
      </c>
      <c r="D474" s="9">
        <v>-16804.52</v>
      </c>
      <c r="E474" t="s">
        <v>56</v>
      </c>
    </row>
    <row r="475" spans="1:5">
      <c r="A475" t="s">
        <v>32</v>
      </c>
      <c r="B475" s="11" t="s">
        <v>75</v>
      </c>
      <c r="C475">
        <v>4011</v>
      </c>
      <c r="D475" s="9">
        <v>294</v>
      </c>
      <c r="E475" t="s">
        <v>56</v>
      </c>
    </row>
    <row r="476" spans="1:5">
      <c r="A476" t="s">
        <v>32</v>
      </c>
      <c r="B476" s="11" t="s">
        <v>75</v>
      </c>
      <c r="C476">
        <v>4012</v>
      </c>
      <c r="D476" s="9">
        <v>58.8</v>
      </c>
      <c r="E476" t="s">
        <v>56</v>
      </c>
    </row>
    <row r="477" spans="1:5">
      <c r="A477" t="s">
        <v>32</v>
      </c>
      <c r="B477" s="11" t="s">
        <v>75</v>
      </c>
      <c r="C477">
        <v>4018</v>
      </c>
      <c r="D477" s="9">
        <v>341.36</v>
      </c>
      <c r="E477" t="s">
        <v>56</v>
      </c>
    </row>
    <row r="478" spans="1:5">
      <c r="A478" t="s">
        <v>32</v>
      </c>
      <c r="B478" s="11" t="s">
        <v>75</v>
      </c>
      <c r="C478">
        <v>4021</v>
      </c>
      <c r="D478" s="9">
        <v>225</v>
      </c>
      <c r="E478" t="s">
        <v>56</v>
      </c>
    </row>
    <row r="479" spans="1:5">
      <c r="A479" t="s">
        <v>32</v>
      </c>
      <c r="B479" s="11" t="s">
        <v>75</v>
      </c>
      <c r="C479">
        <v>4022</v>
      </c>
      <c r="D479" s="9">
        <v>75.86</v>
      </c>
      <c r="E479" t="s">
        <v>56</v>
      </c>
    </row>
    <row r="480" spans="1:5">
      <c r="A480" t="s">
        <v>32</v>
      </c>
      <c r="B480" s="11" t="s">
        <v>75</v>
      </c>
      <c r="C480">
        <v>4023</v>
      </c>
      <c r="D480" s="9">
        <v>151.72</v>
      </c>
      <c r="E480" t="s">
        <v>56</v>
      </c>
    </row>
    <row r="481" spans="1:5">
      <c r="A481" t="s">
        <v>32</v>
      </c>
      <c r="B481" s="11" t="s">
        <v>64</v>
      </c>
      <c r="C481">
        <v>1001</v>
      </c>
      <c r="D481" s="9">
        <v>-15038.65</v>
      </c>
      <c r="E481" t="s">
        <v>57</v>
      </c>
    </row>
    <row r="482" spans="1:5">
      <c r="A482" t="s">
        <v>32</v>
      </c>
      <c r="B482" s="11" t="s">
        <v>64</v>
      </c>
      <c r="C482">
        <v>4011</v>
      </c>
      <c r="D482" s="9">
        <v>337.88</v>
      </c>
      <c r="E482" t="s">
        <v>57</v>
      </c>
    </row>
    <row r="483" spans="1:5">
      <c r="A483" t="s">
        <v>32</v>
      </c>
      <c r="B483" s="11" t="s">
        <v>64</v>
      </c>
      <c r="C483">
        <v>4012</v>
      </c>
      <c r="D483" s="9">
        <v>67.58</v>
      </c>
      <c r="E483" t="s">
        <v>57</v>
      </c>
    </row>
    <row r="484" spans="1:5">
      <c r="A484" t="s">
        <v>32</v>
      </c>
      <c r="B484" s="11" t="s">
        <v>64</v>
      </c>
      <c r="C484">
        <v>4018</v>
      </c>
      <c r="D484" s="9">
        <v>315.85000000000002</v>
      </c>
      <c r="E484" t="s">
        <v>57</v>
      </c>
    </row>
    <row r="485" spans="1:5">
      <c r="A485" t="s">
        <v>32</v>
      </c>
      <c r="B485" s="11" t="s">
        <v>64</v>
      </c>
      <c r="C485">
        <v>4021</v>
      </c>
      <c r="D485" s="9">
        <v>231.82</v>
      </c>
      <c r="E485" t="s">
        <v>57</v>
      </c>
    </row>
    <row r="486" spans="1:5">
      <c r="A486" t="s">
        <v>32</v>
      </c>
      <c r="B486" s="11" t="s">
        <v>64</v>
      </c>
      <c r="C486">
        <v>4022</v>
      </c>
      <c r="D486" s="9">
        <v>70.19</v>
      </c>
      <c r="E486" t="s">
        <v>57</v>
      </c>
    </row>
    <row r="487" spans="1:5">
      <c r="A487" t="s">
        <v>32</v>
      </c>
      <c r="B487" s="11" t="s">
        <v>64</v>
      </c>
      <c r="C487">
        <v>4023</v>
      </c>
      <c r="D487" s="9">
        <v>140.38</v>
      </c>
      <c r="E487" t="s">
        <v>57</v>
      </c>
    </row>
    <row r="488" spans="1:5">
      <c r="A488" t="s">
        <v>32</v>
      </c>
      <c r="B488" s="11" t="s">
        <v>65</v>
      </c>
      <c r="C488">
        <v>1001</v>
      </c>
      <c r="D488" s="9">
        <v>-11350.54</v>
      </c>
      <c r="E488" t="s">
        <v>57</v>
      </c>
    </row>
    <row r="489" spans="1:5">
      <c r="A489" t="s">
        <v>32</v>
      </c>
      <c r="B489" s="11" t="s">
        <v>65</v>
      </c>
      <c r="C489">
        <v>4011</v>
      </c>
      <c r="D489" s="9">
        <v>249.81</v>
      </c>
      <c r="E489" t="s">
        <v>57</v>
      </c>
    </row>
    <row r="490" spans="1:5">
      <c r="A490" t="s">
        <v>32</v>
      </c>
      <c r="B490" s="11" t="s">
        <v>65</v>
      </c>
      <c r="C490">
        <v>4012</v>
      </c>
      <c r="D490" s="9">
        <v>49.96</v>
      </c>
      <c r="E490" t="s">
        <v>57</v>
      </c>
    </row>
    <row r="491" spans="1:5">
      <c r="A491" t="s">
        <v>32</v>
      </c>
      <c r="B491" s="11" t="s">
        <v>65</v>
      </c>
      <c r="C491">
        <v>4018</v>
      </c>
      <c r="D491" s="9">
        <v>262.82</v>
      </c>
      <c r="E491" t="s">
        <v>57</v>
      </c>
    </row>
    <row r="492" spans="1:5">
      <c r="A492" t="s">
        <v>32</v>
      </c>
      <c r="B492" s="11" t="s">
        <v>65</v>
      </c>
      <c r="C492">
        <v>4021</v>
      </c>
      <c r="D492" s="9">
        <v>222.91</v>
      </c>
      <c r="E492" t="s">
        <v>57</v>
      </c>
    </row>
    <row r="493" spans="1:5">
      <c r="A493" t="s">
        <v>32</v>
      </c>
      <c r="B493" s="11" t="s">
        <v>65</v>
      </c>
      <c r="C493">
        <v>4022</v>
      </c>
      <c r="D493" s="9">
        <v>58.4</v>
      </c>
      <c r="E493" t="s">
        <v>57</v>
      </c>
    </row>
    <row r="494" spans="1:5">
      <c r="A494" t="s">
        <v>32</v>
      </c>
      <c r="B494" s="11" t="s">
        <v>65</v>
      </c>
      <c r="C494">
        <v>4023</v>
      </c>
      <c r="D494" s="9">
        <v>116.81</v>
      </c>
      <c r="E494" t="s">
        <v>57</v>
      </c>
    </row>
    <row r="495" spans="1:5">
      <c r="A495" t="s">
        <v>32</v>
      </c>
      <c r="B495" s="11" t="s">
        <v>66</v>
      </c>
      <c r="C495">
        <v>1001</v>
      </c>
      <c r="D495" s="9">
        <v>-19944.25</v>
      </c>
      <c r="E495" t="s">
        <v>57</v>
      </c>
    </row>
    <row r="496" spans="1:5">
      <c r="A496" t="s">
        <v>32</v>
      </c>
      <c r="B496" s="11" t="s">
        <v>66</v>
      </c>
      <c r="C496">
        <v>4011</v>
      </c>
      <c r="D496" s="9">
        <v>358.43</v>
      </c>
      <c r="E496" t="s">
        <v>57</v>
      </c>
    </row>
    <row r="497" spans="1:5">
      <c r="A497" t="s">
        <v>32</v>
      </c>
      <c r="B497" s="11" t="s">
        <v>66</v>
      </c>
      <c r="C497">
        <v>4012</v>
      </c>
      <c r="D497" s="9">
        <v>71.69</v>
      </c>
      <c r="E497" t="s">
        <v>57</v>
      </c>
    </row>
    <row r="498" spans="1:5">
      <c r="A498" t="s">
        <v>32</v>
      </c>
      <c r="B498" s="11" t="s">
        <v>66</v>
      </c>
      <c r="C498">
        <v>4018</v>
      </c>
      <c r="D498" s="9">
        <v>498.17</v>
      </c>
      <c r="E498" t="s">
        <v>57</v>
      </c>
    </row>
    <row r="499" spans="1:5">
      <c r="A499" t="s">
        <v>32</v>
      </c>
      <c r="B499" s="11" t="s">
        <v>66</v>
      </c>
      <c r="C499">
        <v>4021</v>
      </c>
      <c r="D499" s="9">
        <v>231.82</v>
      </c>
      <c r="E499" t="s">
        <v>57</v>
      </c>
    </row>
    <row r="500" spans="1:5">
      <c r="A500" t="s">
        <v>32</v>
      </c>
      <c r="B500" s="11" t="s">
        <v>66</v>
      </c>
      <c r="C500">
        <v>4022</v>
      </c>
      <c r="D500" s="9">
        <v>110.7</v>
      </c>
      <c r="E500" t="s">
        <v>57</v>
      </c>
    </row>
    <row r="501" spans="1:5">
      <c r="A501" t="s">
        <v>32</v>
      </c>
      <c r="B501" s="11" t="s">
        <v>66</v>
      </c>
      <c r="C501">
        <v>4023</v>
      </c>
      <c r="D501" s="9">
        <v>221.41</v>
      </c>
      <c r="E501" t="s">
        <v>57</v>
      </c>
    </row>
    <row r="502" spans="1:5">
      <c r="A502" t="s">
        <v>32</v>
      </c>
      <c r="B502" s="11" t="s">
        <v>67</v>
      </c>
      <c r="C502">
        <v>1001</v>
      </c>
      <c r="D502" s="9">
        <v>-10491.12</v>
      </c>
      <c r="E502" t="s">
        <v>57</v>
      </c>
    </row>
    <row r="503" spans="1:5">
      <c r="A503" t="s">
        <v>32</v>
      </c>
      <c r="B503" s="11" t="s">
        <v>67</v>
      </c>
      <c r="C503">
        <v>4011</v>
      </c>
      <c r="D503" s="9">
        <v>180.14</v>
      </c>
      <c r="E503" t="s">
        <v>57</v>
      </c>
    </row>
    <row r="504" spans="1:5">
      <c r="A504" t="s">
        <v>32</v>
      </c>
      <c r="B504" s="11" t="s">
        <v>67</v>
      </c>
      <c r="C504">
        <v>4012</v>
      </c>
      <c r="D504" s="9">
        <v>36.03</v>
      </c>
      <c r="E504" t="s">
        <v>57</v>
      </c>
    </row>
    <row r="505" spans="1:5">
      <c r="A505" t="s">
        <v>32</v>
      </c>
      <c r="B505" s="11" t="s">
        <v>67</v>
      </c>
      <c r="C505">
        <v>4018</v>
      </c>
      <c r="D505" s="9">
        <v>209.96</v>
      </c>
      <c r="E505" t="s">
        <v>57</v>
      </c>
    </row>
    <row r="506" spans="1:5">
      <c r="A506" t="s">
        <v>32</v>
      </c>
      <c r="B506" s="11" t="s">
        <v>67</v>
      </c>
      <c r="C506">
        <v>4021</v>
      </c>
      <c r="D506" s="9">
        <v>222.91</v>
      </c>
      <c r="E506" t="s">
        <v>57</v>
      </c>
    </row>
    <row r="507" spans="1:5">
      <c r="A507" t="s">
        <v>32</v>
      </c>
      <c r="B507" s="11" t="s">
        <v>67</v>
      </c>
      <c r="C507">
        <v>4022</v>
      </c>
      <c r="D507" s="9">
        <v>46.66</v>
      </c>
      <c r="E507" t="s">
        <v>57</v>
      </c>
    </row>
    <row r="508" spans="1:5">
      <c r="A508" t="s">
        <v>32</v>
      </c>
      <c r="B508" s="11" t="s">
        <v>67</v>
      </c>
      <c r="C508">
        <v>4023</v>
      </c>
      <c r="D508" s="9">
        <v>93.31</v>
      </c>
      <c r="E508" t="s">
        <v>57</v>
      </c>
    </row>
    <row r="509" spans="1:5">
      <c r="A509" t="s">
        <v>32</v>
      </c>
      <c r="B509" s="11" t="s">
        <v>76</v>
      </c>
      <c r="C509">
        <v>1001</v>
      </c>
      <c r="D509" s="9">
        <v>-7328.8</v>
      </c>
      <c r="E509" t="s">
        <v>57</v>
      </c>
    </row>
    <row r="510" spans="1:5">
      <c r="A510" t="s">
        <v>32</v>
      </c>
      <c r="B510" s="11" t="s">
        <v>76</v>
      </c>
      <c r="C510">
        <v>4011</v>
      </c>
      <c r="D510" s="9">
        <v>105.79</v>
      </c>
      <c r="E510" t="s">
        <v>57</v>
      </c>
    </row>
    <row r="511" spans="1:5">
      <c r="A511" t="s">
        <v>32</v>
      </c>
      <c r="B511" s="11" t="s">
        <v>76</v>
      </c>
      <c r="C511">
        <v>4012</v>
      </c>
      <c r="D511" s="9">
        <v>19.84</v>
      </c>
      <c r="E511" t="s">
        <v>57</v>
      </c>
    </row>
    <row r="512" spans="1:5">
      <c r="A512" t="s">
        <v>32</v>
      </c>
      <c r="B512" s="11" t="s">
        <v>76</v>
      </c>
      <c r="C512">
        <v>4018</v>
      </c>
      <c r="D512" s="9">
        <v>156.16</v>
      </c>
      <c r="E512" t="s">
        <v>57</v>
      </c>
    </row>
    <row r="513" spans="1:5">
      <c r="A513" t="s">
        <v>32</v>
      </c>
      <c r="B513" s="11" t="s">
        <v>76</v>
      </c>
      <c r="C513">
        <v>4021</v>
      </c>
      <c r="D513" s="9">
        <v>222.91</v>
      </c>
      <c r="E513" t="s">
        <v>57</v>
      </c>
    </row>
    <row r="514" spans="1:5">
      <c r="A514" t="s">
        <v>32</v>
      </c>
      <c r="B514" s="11" t="s">
        <v>76</v>
      </c>
      <c r="C514">
        <v>4022</v>
      </c>
      <c r="D514" s="9">
        <v>34.700000000000003</v>
      </c>
      <c r="E514" t="s">
        <v>57</v>
      </c>
    </row>
    <row r="515" spans="1:5">
      <c r="A515" t="s">
        <v>32</v>
      </c>
      <c r="B515" s="11" t="s">
        <v>76</v>
      </c>
      <c r="C515">
        <v>4023</v>
      </c>
      <c r="D515" s="9">
        <v>69.41</v>
      </c>
      <c r="E515" t="s">
        <v>57</v>
      </c>
    </row>
    <row r="516" spans="1:5">
      <c r="A516" t="s">
        <v>32</v>
      </c>
      <c r="B516" s="11" t="s">
        <v>68</v>
      </c>
      <c r="C516">
        <v>1001</v>
      </c>
      <c r="D516" s="9">
        <v>-12905.47</v>
      </c>
      <c r="E516" t="s">
        <v>58</v>
      </c>
    </row>
    <row r="517" spans="1:5">
      <c r="A517" t="s">
        <v>32</v>
      </c>
      <c r="B517" s="11" t="s">
        <v>68</v>
      </c>
      <c r="C517">
        <v>4011</v>
      </c>
      <c r="D517" s="9">
        <v>234.1</v>
      </c>
      <c r="E517" t="s">
        <v>58</v>
      </c>
    </row>
    <row r="518" spans="1:5">
      <c r="A518" t="s">
        <v>32</v>
      </c>
      <c r="B518" s="11" t="s">
        <v>68</v>
      </c>
      <c r="C518">
        <v>4012</v>
      </c>
      <c r="D518" s="9">
        <v>40.97</v>
      </c>
      <c r="E518" t="s">
        <v>58</v>
      </c>
    </row>
    <row r="519" spans="1:5">
      <c r="A519" t="s">
        <v>32</v>
      </c>
      <c r="B519" s="11" t="s">
        <v>68</v>
      </c>
      <c r="C519">
        <v>4018</v>
      </c>
      <c r="D519" s="9">
        <v>265.35000000000002</v>
      </c>
      <c r="E519" t="s">
        <v>58</v>
      </c>
    </row>
    <row r="520" spans="1:5">
      <c r="A520" t="s">
        <v>32</v>
      </c>
      <c r="B520" s="11" t="s">
        <v>68</v>
      </c>
      <c r="C520">
        <v>4021</v>
      </c>
      <c r="D520" s="9">
        <v>222.91</v>
      </c>
      <c r="E520" t="s">
        <v>58</v>
      </c>
    </row>
    <row r="521" spans="1:5">
      <c r="A521" t="s">
        <v>32</v>
      </c>
      <c r="B521" s="11" t="s">
        <v>68</v>
      </c>
      <c r="C521">
        <v>4022</v>
      </c>
      <c r="D521" s="9">
        <v>58.97</v>
      </c>
      <c r="E521" t="s">
        <v>58</v>
      </c>
    </row>
    <row r="522" spans="1:5">
      <c r="A522" t="s">
        <v>32</v>
      </c>
      <c r="B522" s="11" t="s">
        <v>68</v>
      </c>
      <c r="C522">
        <v>4023</v>
      </c>
      <c r="D522" s="9">
        <v>117.93</v>
      </c>
      <c r="E522" t="s">
        <v>58</v>
      </c>
    </row>
    <row r="523" spans="1:5">
      <c r="A523" t="s">
        <v>32</v>
      </c>
      <c r="B523" s="11" t="s">
        <v>69</v>
      </c>
      <c r="C523">
        <v>1001</v>
      </c>
      <c r="D523" s="9">
        <v>-11321.73</v>
      </c>
      <c r="E523" t="s">
        <v>58</v>
      </c>
    </row>
    <row r="524" spans="1:5">
      <c r="A524" t="s">
        <v>32</v>
      </c>
      <c r="B524" s="11" t="s">
        <v>69</v>
      </c>
      <c r="C524">
        <v>4011</v>
      </c>
      <c r="D524" s="9">
        <v>182.8</v>
      </c>
      <c r="E524" t="s">
        <v>58</v>
      </c>
    </row>
    <row r="525" spans="1:5">
      <c r="A525" t="s">
        <v>32</v>
      </c>
      <c r="B525" s="11" t="s">
        <v>69</v>
      </c>
      <c r="C525">
        <v>4012</v>
      </c>
      <c r="D525" s="9">
        <v>31.99</v>
      </c>
      <c r="E525" t="s">
        <v>58</v>
      </c>
    </row>
    <row r="526" spans="1:5">
      <c r="A526" t="s">
        <v>32</v>
      </c>
      <c r="B526" s="11" t="s">
        <v>69</v>
      </c>
      <c r="C526">
        <v>4018</v>
      </c>
      <c r="D526" s="9">
        <v>236.63</v>
      </c>
      <c r="E526" t="s">
        <v>58</v>
      </c>
    </row>
    <row r="527" spans="1:5">
      <c r="A527" t="s">
        <v>32</v>
      </c>
      <c r="B527" s="11" t="s">
        <v>69</v>
      </c>
      <c r="C527">
        <v>4021</v>
      </c>
      <c r="D527" s="9">
        <v>222.91</v>
      </c>
      <c r="E527" t="s">
        <v>58</v>
      </c>
    </row>
    <row r="528" spans="1:5">
      <c r="A528" t="s">
        <v>32</v>
      </c>
      <c r="B528" s="11" t="s">
        <v>69</v>
      </c>
      <c r="C528">
        <v>4022</v>
      </c>
      <c r="D528" s="9">
        <v>52.59</v>
      </c>
      <c r="E528" t="s">
        <v>58</v>
      </c>
    </row>
    <row r="529" spans="1:5">
      <c r="A529" t="s">
        <v>32</v>
      </c>
      <c r="B529" s="11" t="s">
        <v>69</v>
      </c>
      <c r="C529">
        <v>4023</v>
      </c>
      <c r="D529" s="9">
        <v>105.17</v>
      </c>
      <c r="E529" t="s">
        <v>58</v>
      </c>
    </row>
    <row r="530" spans="1:5">
      <c r="A530" t="s">
        <v>32</v>
      </c>
      <c r="B530" s="11" t="s">
        <v>77</v>
      </c>
      <c r="C530">
        <v>1001</v>
      </c>
      <c r="D530" s="9">
        <v>-14987.72</v>
      </c>
      <c r="E530" t="s">
        <v>58</v>
      </c>
    </row>
    <row r="531" spans="1:5">
      <c r="A531" t="s">
        <v>32</v>
      </c>
      <c r="B531" s="11" t="s">
        <v>77</v>
      </c>
      <c r="C531">
        <v>4011</v>
      </c>
      <c r="D531" s="9">
        <v>376.3</v>
      </c>
      <c r="E531" t="s">
        <v>58</v>
      </c>
    </row>
    <row r="532" spans="1:5">
      <c r="A532" t="s">
        <v>32</v>
      </c>
      <c r="B532" s="11" t="s">
        <v>77</v>
      </c>
      <c r="C532">
        <v>4012</v>
      </c>
      <c r="D532" s="9">
        <v>75.260000000000005</v>
      </c>
      <c r="E532" t="s">
        <v>58</v>
      </c>
    </row>
    <row r="533" spans="1:5">
      <c r="A533" t="s">
        <v>32</v>
      </c>
      <c r="B533" s="11" t="s">
        <v>77</v>
      </c>
      <c r="C533">
        <v>4018</v>
      </c>
      <c r="D533" s="9">
        <v>318.33999999999997</v>
      </c>
      <c r="E533" t="s">
        <v>58</v>
      </c>
    </row>
    <row r="534" spans="1:5">
      <c r="A534" t="s">
        <v>32</v>
      </c>
      <c r="B534" s="11" t="s">
        <v>77</v>
      </c>
      <c r="C534">
        <v>4021</v>
      </c>
      <c r="D534" s="9">
        <v>231.82</v>
      </c>
      <c r="E534" t="s">
        <v>58</v>
      </c>
    </row>
    <row r="535" spans="1:5">
      <c r="A535" t="s">
        <v>32</v>
      </c>
      <c r="B535" s="11" t="s">
        <v>77</v>
      </c>
      <c r="C535">
        <v>4022</v>
      </c>
      <c r="D535" s="9">
        <v>70.739999999999995</v>
      </c>
      <c r="E535" t="s">
        <v>58</v>
      </c>
    </row>
    <row r="536" spans="1:5">
      <c r="A536" t="s">
        <v>32</v>
      </c>
      <c r="B536" s="11" t="s">
        <v>77</v>
      </c>
      <c r="C536">
        <v>4023</v>
      </c>
      <c r="D536" s="9">
        <v>141.49</v>
      </c>
      <c r="E536" t="s">
        <v>58</v>
      </c>
    </row>
    <row r="537" spans="1:5">
      <c r="A537" t="s">
        <v>32</v>
      </c>
      <c r="B537" s="11" t="s">
        <v>70</v>
      </c>
      <c r="C537">
        <v>1001</v>
      </c>
      <c r="D537" s="9">
        <v>-15095.84</v>
      </c>
      <c r="E537" t="s">
        <v>59</v>
      </c>
    </row>
    <row r="538" spans="1:5">
      <c r="A538" t="s">
        <v>32</v>
      </c>
      <c r="B538" s="11" t="s">
        <v>70</v>
      </c>
      <c r="C538">
        <v>4011</v>
      </c>
      <c r="D538" s="9">
        <v>286.58999999999997</v>
      </c>
      <c r="E538" t="s">
        <v>59</v>
      </c>
    </row>
    <row r="539" spans="1:5">
      <c r="A539" t="s">
        <v>32</v>
      </c>
      <c r="B539" s="11" t="s">
        <v>70</v>
      </c>
      <c r="C539">
        <v>4012</v>
      </c>
      <c r="D539" s="9">
        <v>57.32</v>
      </c>
      <c r="E539" t="s">
        <v>59</v>
      </c>
    </row>
    <row r="540" spans="1:5">
      <c r="A540" t="s">
        <v>32</v>
      </c>
      <c r="B540" s="11" t="s">
        <v>70</v>
      </c>
      <c r="C540">
        <v>4018</v>
      </c>
      <c r="D540" s="9">
        <v>351.51</v>
      </c>
      <c r="E540" t="s">
        <v>59</v>
      </c>
    </row>
    <row r="541" spans="1:5">
      <c r="A541" t="s">
        <v>32</v>
      </c>
      <c r="B541" s="11" t="s">
        <v>70</v>
      </c>
      <c r="C541">
        <v>4021</v>
      </c>
      <c r="D541" s="9">
        <v>231.82</v>
      </c>
      <c r="E541" t="s">
        <v>59</v>
      </c>
    </row>
    <row r="542" spans="1:5">
      <c r="A542" t="s">
        <v>32</v>
      </c>
      <c r="B542" s="11" t="s">
        <v>70</v>
      </c>
      <c r="C542">
        <v>4022</v>
      </c>
      <c r="D542" s="9">
        <v>70.3</v>
      </c>
      <c r="E542" t="s">
        <v>59</v>
      </c>
    </row>
    <row r="543" spans="1:5">
      <c r="A543" t="s">
        <v>32</v>
      </c>
      <c r="B543" s="11" t="s">
        <v>70</v>
      </c>
      <c r="C543">
        <v>4023</v>
      </c>
      <c r="D543" s="9">
        <v>140.61000000000001</v>
      </c>
      <c r="E543" t="s">
        <v>59</v>
      </c>
    </row>
    <row r="544" spans="1:5">
      <c r="A544" t="s">
        <v>32</v>
      </c>
      <c r="B544" s="11" t="s">
        <v>71</v>
      </c>
      <c r="C544">
        <v>1001</v>
      </c>
      <c r="D544" s="9">
        <v>-19673.37</v>
      </c>
      <c r="E544" t="s">
        <v>59</v>
      </c>
    </row>
    <row r="545" spans="1:5">
      <c r="A545" t="s">
        <v>32</v>
      </c>
      <c r="B545" s="11" t="s">
        <v>71</v>
      </c>
      <c r="C545">
        <v>4011</v>
      </c>
      <c r="D545" s="9">
        <v>414.82</v>
      </c>
      <c r="E545" t="s">
        <v>59</v>
      </c>
    </row>
    <row r="546" spans="1:5">
      <c r="A546" t="s">
        <v>32</v>
      </c>
      <c r="B546" s="11" t="s">
        <v>71</v>
      </c>
      <c r="C546">
        <v>4012</v>
      </c>
      <c r="D546" s="9">
        <v>82.96</v>
      </c>
      <c r="E546" t="s">
        <v>59</v>
      </c>
    </row>
    <row r="547" spans="1:5">
      <c r="A547" t="s">
        <v>32</v>
      </c>
      <c r="B547" s="11" t="s">
        <v>71</v>
      </c>
      <c r="C547">
        <v>4018</v>
      </c>
      <c r="D547" s="9">
        <v>371.3</v>
      </c>
      <c r="E547" t="s">
        <v>59</v>
      </c>
    </row>
    <row r="548" spans="1:5">
      <c r="A548" t="s">
        <v>32</v>
      </c>
      <c r="B548" s="11" t="s">
        <v>71</v>
      </c>
      <c r="C548">
        <v>4021</v>
      </c>
      <c r="D548" s="9">
        <v>231.82</v>
      </c>
      <c r="E548" t="s">
        <v>59</v>
      </c>
    </row>
    <row r="549" spans="1:5">
      <c r="A549" t="s">
        <v>32</v>
      </c>
      <c r="B549" s="11" t="s">
        <v>71</v>
      </c>
      <c r="C549">
        <v>4022</v>
      </c>
      <c r="D549" s="9">
        <v>82.51</v>
      </c>
      <c r="E549" t="s">
        <v>59</v>
      </c>
    </row>
    <row r="550" spans="1:5">
      <c r="A550" t="s">
        <v>32</v>
      </c>
      <c r="B550" s="11" t="s">
        <v>71</v>
      </c>
      <c r="C550">
        <v>4023</v>
      </c>
      <c r="D550" s="9">
        <v>165.02</v>
      </c>
      <c r="E550" t="s">
        <v>59</v>
      </c>
    </row>
    <row r="551" spans="1:5">
      <c r="A551" t="s">
        <v>32</v>
      </c>
      <c r="B551" s="11" t="s">
        <v>72</v>
      </c>
      <c r="C551">
        <v>1001</v>
      </c>
      <c r="D551" s="9">
        <v>-19282.82</v>
      </c>
      <c r="E551" t="s">
        <v>59</v>
      </c>
    </row>
    <row r="552" spans="1:5">
      <c r="A552" t="s">
        <v>32</v>
      </c>
      <c r="B552" s="11" t="s">
        <v>72</v>
      </c>
      <c r="C552">
        <v>4011</v>
      </c>
      <c r="D552" s="9">
        <v>447.14</v>
      </c>
      <c r="E552" t="s">
        <v>59</v>
      </c>
    </row>
    <row r="553" spans="1:5">
      <c r="A553" t="s">
        <v>32</v>
      </c>
      <c r="B553" s="11" t="s">
        <v>72</v>
      </c>
      <c r="C553">
        <v>4012</v>
      </c>
      <c r="D553" s="9">
        <v>89.43</v>
      </c>
      <c r="E553" t="s">
        <v>59</v>
      </c>
    </row>
    <row r="554" spans="1:5">
      <c r="A554" t="s">
        <v>32</v>
      </c>
      <c r="B554" s="11" t="s">
        <v>72</v>
      </c>
      <c r="C554">
        <v>4018</v>
      </c>
      <c r="D554" s="9">
        <v>950.79</v>
      </c>
      <c r="E554" t="s">
        <v>59</v>
      </c>
    </row>
    <row r="555" spans="1:5">
      <c r="A555" t="s">
        <v>32</v>
      </c>
      <c r="B555" s="11" t="s">
        <v>72</v>
      </c>
      <c r="C555">
        <v>4021</v>
      </c>
      <c r="D555" s="9">
        <v>234</v>
      </c>
      <c r="E555" t="s">
        <v>59</v>
      </c>
    </row>
    <row r="556" spans="1:5">
      <c r="A556" t="s">
        <v>32</v>
      </c>
      <c r="B556" s="11" t="s">
        <v>72</v>
      </c>
      <c r="C556">
        <v>4022</v>
      </c>
      <c r="D556" s="9">
        <v>95.08</v>
      </c>
      <c r="E556" t="s">
        <v>59</v>
      </c>
    </row>
    <row r="557" spans="1:5">
      <c r="A557" t="s">
        <v>32</v>
      </c>
      <c r="B557" s="11" t="s">
        <v>72</v>
      </c>
      <c r="C557">
        <v>4023</v>
      </c>
      <c r="D557" s="9">
        <v>190.16</v>
      </c>
      <c r="E557" t="s">
        <v>59</v>
      </c>
    </row>
    <row r="558" spans="1:5">
      <c r="A558" t="s">
        <v>32</v>
      </c>
      <c r="B558" s="11" t="s">
        <v>78</v>
      </c>
      <c r="C558">
        <v>1001</v>
      </c>
      <c r="D558" s="9">
        <v>-13692.28</v>
      </c>
      <c r="E558" t="s">
        <v>59</v>
      </c>
    </row>
    <row r="559" spans="1:5">
      <c r="A559" t="s">
        <v>32</v>
      </c>
      <c r="B559" s="11" t="s">
        <v>78</v>
      </c>
      <c r="C559">
        <v>4011</v>
      </c>
      <c r="D559" s="9">
        <v>239.19</v>
      </c>
      <c r="E559" t="s">
        <v>59</v>
      </c>
    </row>
    <row r="560" spans="1:5">
      <c r="A560" t="s">
        <v>32</v>
      </c>
      <c r="B560" s="11" t="s">
        <v>78</v>
      </c>
      <c r="C560">
        <v>4012</v>
      </c>
      <c r="D560" s="9">
        <v>47.84</v>
      </c>
      <c r="E560" t="s">
        <v>59</v>
      </c>
    </row>
    <row r="561" spans="1:5">
      <c r="A561" t="s">
        <v>32</v>
      </c>
      <c r="B561" s="11" t="s">
        <v>78</v>
      </c>
      <c r="C561">
        <v>4018</v>
      </c>
      <c r="D561" s="9">
        <v>943.27</v>
      </c>
      <c r="E561" t="s">
        <v>59</v>
      </c>
    </row>
    <row r="562" spans="1:5">
      <c r="A562" t="s">
        <v>32</v>
      </c>
      <c r="B562" s="11" t="s">
        <v>78</v>
      </c>
      <c r="C562">
        <v>4021</v>
      </c>
      <c r="D562" s="9">
        <v>225</v>
      </c>
      <c r="E562" t="s">
        <v>59</v>
      </c>
    </row>
    <row r="563" spans="1:5">
      <c r="A563" t="s">
        <v>32</v>
      </c>
      <c r="B563" s="11" t="s">
        <v>78</v>
      </c>
      <c r="C563">
        <v>4022</v>
      </c>
      <c r="D563" s="9">
        <v>58.94</v>
      </c>
      <c r="E563" t="s">
        <v>59</v>
      </c>
    </row>
    <row r="564" spans="1:5">
      <c r="A564" t="s">
        <v>32</v>
      </c>
      <c r="B564" s="11" t="s">
        <v>78</v>
      </c>
      <c r="C564">
        <v>4023</v>
      </c>
      <c r="D564" s="9">
        <v>150.91999999999999</v>
      </c>
      <c r="E564" t="s">
        <v>59</v>
      </c>
    </row>
    <row r="565" spans="1:5">
      <c r="A565" t="s">
        <v>32</v>
      </c>
      <c r="B565" s="11" t="s">
        <v>73</v>
      </c>
      <c r="C565">
        <v>1001</v>
      </c>
      <c r="D565" s="9">
        <v>-17324.21</v>
      </c>
      <c r="E565" t="s">
        <v>60</v>
      </c>
    </row>
    <row r="566" spans="1:5">
      <c r="A566" t="s">
        <v>32</v>
      </c>
      <c r="B566" s="11" t="s">
        <v>73</v>
      </c>
      <c r="C566">
        <v>4011</v>
      </c>
      <c r="D566" s="9">
        <v>383.79</v>
      </c>
      <c r="E566" t="s">
        <v>60</v>
      </c>
    </row>
    <row r="567" spans="1:5">
      <c r="A567" t="s">
        <v>32</v>
      </c>
      <c r="B567" s="11" t="s">
        <v>73</v>
      </c>
      <c r="C567">
        <v>4012</v>
      </c>
      <c r="D567" s="9">
        <v>76.760000000000005</v>
      </c>
      <c r="E567" t="s">
        <v>60</v>
      </c>
    </row>
    <row r="568" spans="1:5">
      <c r="A568" t="s">
        <v>32</v>
      </c>
      <c r="B568" s="11" t="s">
        <v>73</v>
      </c>
      <c r="C568">
        <v>4018</v>
      </c>
      <c r="D568" s="9">
        <v>354.67</v>
      </c>
      <c r="E568" t="s">
        <v>60</v>
      </c>
    </row>
    <row r="569" spans="1:5">
      <c r="A569" t="s">
        <v>32</v>
      </c>
      <c r="B569" s="11" t="s">
        <v>73</v>
      </c>
      <c r="C569">
        <v>4021</v>
      </c>
      <c r="D569" s="9">
        <v>231.82</v>
      </c>
      <c r="E569" t="s">
        <v>60</v>
      </c>
    </row>
    <row r="570" spans="1:5">
      <c r="A570" t="s">
        <v>32</v>
      </c>
      <c r="B570" s="11" t="s">
        <v>73</v>
      </c>
      <c r="C570">
        <v>4022</v>
      </c>
      <c r="D570" s="9">
        <v>78.81</v>
      </c>
      <c r="E570" t="s">
        <v>60</v>
      </c>
    </row>
    <row r="571" spans="1:5">
      <c r="A571" t="s">
        <v>32</v>
      </c>
      <c r="B571" s="11" t="s">
        <v>73</v>
      </c>
      <c r="C571">
        <v>4023</v>
      </c>
      <c r="D571" s="9">
        <v>157.63</v>
      </c>
      <c r="E571" t="s">
        <v>60</v>
      </c>
    </row>
    <row r="572" spans="1:5">
      <c r="A572" t="s">
        <v>32</v>
      </c>
      <c r="B572" s="11" t="s">
        <v>74</v>
      </c>
      <c r="C572">
        <v>1001</v>
      </c>
      <c r="D572" s="9">
        <v>-14866.71</v>
      </c>
      <c r="E572" t="s">
        <v>60</v>
      </c>
    </row>
    <row r="573" spans="1:5">
      <c r="A573" t="s">
        <v>32</v>
      </c>
      <c r="B573" s="11" t="s">
        <v>74</v>
      </c>
      <c r="C573">
        <v>4011</v>
      </c>
      <c r="D573" s="9">
        <v>438.01</v>
      </c>
      <c r="E573" t="s">
        <v>60</v>
      </c>
    </row>
    <row r="574" spans="1:5">
      <c r="A574" t="s">
        <v>32</v>
      </c>
      <c r="B574" s="11" t="s">
        <v>74</v>
      </c>
      <c r="C574">
        <v>4012</v>
      </c>
      <c r="D574" s="9">
        <v>87.6</v>
      </c>
      <c r="E574" t="s">
        <v>60</v>
      </c>
    </row>
    <row r="575" spans="1:5">
      <c r="A575" t="s">
        <v>32</v>
      </c>
      <c r="B575" s="11" t="s">
        <v>74</v>
      </c>
      <c r="C575">
        <v>4018</v>
      </c>
      <c r="D575" s="9">
        <v>380.81</v>
      </c>
      <c r="E575" t="s">
        <v>60</v>
      </c>
    </row>
    <row r="576" spans="1:5">
      <c r="A576" t="s">
        <v>32</v>
      </c>
      <c r="B576" s="11" t="s">
        <v>74</v>
      </c>
      <c r="C576">
        <v>4021</v>
      </c>
      <c r="D576" s="9">
        <v>222.91</v>
      </c>
      <c r="E576" t="s">
        <v>60</v>
      </c>
    </row>
    <row r="577" spans="1:5">
      <c r="A577" t="s">
        <v>32</v>
      </c>
      <c r="B577" s="11" t="s">
        <v>74</v>
      </c>
      <c r="C577">
        <v>4022</v>
      </c>
      <c r="D577" s="9">
        <v>84.63</v>
      </c>
      <c r="E577" t="s">
        <v>60</v>
      </c>
    </row>
    <row r="578" spans="1:5">
      <c r="A578" t="s">
        <v>32</v>
      </c>
      <c r="B578" s="11" t="s">
        <v>74</v>
      </c>
      <c r="C578">
        <v>4023</v>
      </c>
      <c r="D578" s="9">
        <v>169.25</v>
      </c>
      <c r="E578" t="s">
        <v>60</v>
      </c>
    </row>
    <row r="579" spans="1:5">
      <c r="A579" t="s">
        <v>33</v>
      </c>
      <c r="B579" s="11" t="s">
        <v>61</v>
      </c>
      <c r="C579">
        <v>1001</v>
      </c>
      <c r="D579" s="9">
        <v>-15570.93</v>
      </c>
      <c r="E579" t="s">
        <v>56</v>
      </c>
    </row>
    <row r="580" spans="1:5">
      <c r="A580" t="s">
        <v>33</v>
      </c>
      <c r="B580" s="11" t="s">
        <v>61</v>
      </c>
      <c r="C580">
        <v>4011</v>
      </c>
      <c r="D580" s="9">
        <v>212.13</v>
      </c>
      <c r="E580" t="s">
        <v>56</v>
      </c>
    </row>
    <row r="581" spans="1:5">
      <c r="A581" t="s">
        <v>33</v>
      </c>
      <c r="B581" s="11" t="s">
        <v>61</v>
      </c>
      <c r="C581">
        <v>4012</v>
      </c>
      <c r="D581" s="9">
        <v>37.119999999999997</v>
      </c>
      <c r="E581" t="s">
        <v>56</v>
      </c>
    </row>
    <row r="582" spans="1:5">
      <c r="A582" t="s">
        <v>33</v>
      </c>
      <c r="B582" s="11" t="s">
        <v>61</v>
      </c>
      <c r="C582">
        <v>4018</v>
      </c>
      <c r="D582" s="9">
        <v>248.93</v>
      </c>
      <c r="E582" t="s">
        <v>56</v>
      </c>
    </row>
    <row r="583" spans="1:5">
      <c r="A583" t="s">
        <v>33</v>
      </c>
      <c r="B583" s="11" t="s">
        <v>61</v>
      </c>
      <c r="C583">
        <v>4022</v>
      </c>
      <c r="D583" s="9">
        <v>55.32</v>
      </c>
      <c r="E583" t="s">
        <v>56</v>
      </c>
    </row>
    <row r="584" spans="1:5">
      <c r="A584" t="s">
        <v>33</v>
      </c>
      <c r="B584" s="11" t="s">
        <v>61</v>
      </c>
      <c r="C584">
        <v>4023</v>
      </c>
      <c r="D584" s="9">
        <v>110.63</v>
      </c>
      <c r="E584" t="s">
        <v>56</v>
      </c>
    </row>
    <row r="585" spans="1:5">
      <c r="A585" t="s">
        <v>33</v>
      </c>
      <c r="B585" s="11" t="s">
        <v>62</v>
      </c>
      <c r="C585">
        <v>1001</v>
      </c>
      <c r="D585" s="9">
        <v>-10233.02</v>
      </c>
      <c r="E585" t="s">
        <v>56</v>
      </c>
    </row>
    <row r="586" spans="1:5">
      <c r="A586" t="s">
        <v>33</v>
      </c>
      <c r="B586" s="11" t="s">
        <v>62</v>
      </c>
      <c r="C586">
        <v>4011</v>
      </c>
      <c r="D586" s="9">
        <v>175</v>
      </c>
      <c r="E586" t="s">
        <v>56</v>
      </c>
    </row>
    <row r="587" spans="1:5">
      <c r="A587" t="s">
        <v>33</v>
      </c>
      <c r="B587" s="11" t="s">
        <v>62</v>
      </c>
      <c r="C587">
        <v>4012</v>
      </c>
      <c r="D587" s="9">
        <v>30.62</v>
      </c>
      <c r="E587" t="s">
        <v>56</v>
      </c>
    </row>
    <row r="588" spans="1:5">
      <c r="A588" t="s">
        <v>33</v>
      </c>
      <c r="B588" s="11" t="s">
        <v>62</v>
      </c>
      <c r="C588">
        <v>4018</v>
      </c>
      <c r="D588" s="9">
        <v>189.72</v>
      </c>
      <c r="E588" t="s">
        <v>56</v>
      </c>
    </row>
    <row r="589" spans="1:5">
      <c r="A589" t="s">
        <v>33</v>
      </c>
      <c r="B589" s="11" t="s">
        <v>62</v>
      </c>
      <c r="C589">
        <v>4022</v>
      </c>
      <c r="D589" s="9">
        <v>42.16</v>
      </c>
      <c r="E589" t="s">
        <v>56</v>
      </c>
    </row>
    <row r="590" spans="1:5">
      <c r="A590" t="s">
        <v>33</v>
      </c>
      <c r="B590" s="11" t="s">
        <v>62</v>
      </c>
      <c r="C590">
        <v>4023</v>
      </c>
      <c r="D590" s="9">
        <v>84.32</v>
      </c>
      <c r="E590" t="s">
        <v>56</v>
      </c>
    </row>
    <row r="591" spans="1:5">
      <c r="A591" t="s">
        <v>33</v>
      </c>
      <c r="B591" s="11" t="s">
        <v>63</v>
      </c>
      <c r="C591">
        <v>1001</v>
      </c>
      <c r="D591" s="9">
        <v>-17504.240000000002</v>
      </c>
      <c r="E591" t="s">
        <v>56</v>
      </c>
    </row>
    <row r="592" spans="1:5">
      <c r="A592" t="s">
        <v>33</v>
      </c>
      <c r="B592" s="11" t="s">
        <v>63</v>
      </c>
      <c r="C592">
        <v>4011</v>
      </c>
      <c r="D592" s="9">
        <v>312.07</v>
      </c>
      <c r="E592" t="s">
        <v>56</v>
      </c>
    </row>
    <row r="593" spans="1:5">
      <c r="A593" t="s">
        <v>33</v>
      </c>
      <c r="B593" s="11" t="s">
        <v>63</v>
      </c>
      <c r="C593">
        <v>4012</v>
      </c>
      <c r="D593" s="9">
        <v>62.41</v>
      </c>
      <c r="E593" t="s">
        <v>56</v>
      </c>
    </row>
    <row r="594" spans="1:5">
      <c r="A594" t="s">
        <v>33</v>
      </c>
      <c r="B594" s="11" t="s">
        <v>63</v>
      </c>
      <c r="C594">
        <v>4018</v>
      </c>
      <c r="D594" s="9">
        <v>273.39999999999998</v>
      </c>
      <c r="E594" t="s">
        <v>56</v>
      </c>
    </row>
    <row r="595" spans="1:5">
      <c r="A595" t="s">
        <v>33</v>
      </c>
      <c r="B595" s="11" t="s">
        <v>63</v>
      </c>
      <c r="C595">
        <v>4022</v>
      </c>
      <c r="D595" s="9">
        <v>60.75</v>
      </c>
      <c r="E595" t="s">
        <v>56</v>
      </c>
    </row>
    <row r="596" spans="1:5">
      <c r="A596" t="s">
        <v>33</v>
      </c>
      <c r="B596" s="11" t="s">
        <v>63</v>
      </c>
      <c r="C596">
        <v>4023</v>
      </c>
      <c r="D596" s="9">
        <v>121.51</v>
      </c>
      <c r="E596" t="s">
        <v>56</v>
      </c>
    </row>
    <row r="597" spans="1:5">
      <c r="A597" t="s">
        <v>33</v>
      </c>
      <c r="B597" s="11" t="s">
        <v>75</v>
      </c>
      <c r="C597">
        <v>1001</v>
      </c>
      <c r="D597" s="9">
        <v>-18423.400000000001</v>
      </c>
      <c r="E597" t="s">
        <v>56</v>
      </c>
    </row>
    <row r="598" spans="1:5">
      <c r="A598" t="s">
        <v>33</v>
      </c>
      <c r="B598" s="11" t="s">
        <v>75</v>
      </c>
      <c r="C598">
        <v>4011</v>
      </c>
      <c r="D598" s="9">
        <v>293.79000000000002</v>
      </c>
      <c r="E598" t="s">
        <v>56</v>
      </c>
    </row>
    <row r="599" spans="1:5">
      <c r="A599" t="s">
        <v>33</v>
      </c>
      <c r="B599" s="11" t="s">
        <v>75</v>
      </c>
      <c r="C599">
        <v>4012</v>
      </c>
      <c r="D599" s="9">
        <v>58.76</v>
      </c>
      <c r="E599" t="s">
        <v>56</v>
      </c>
    </row>
    <row r="600" spans="1:5">
      <c r="A600" t="s">
        <v>33</v>
      </c>
      <c r="B600" s="11" t="s">
        <v>75</v>
      </c>
      <c r="C600">
        <v>4018</v>
      </c>
      <c r="D600" s="9">
        <v>341.57</v>
      </c>
      <c r="E600" t="s">
        <v>56</v>
      </c>
    </row>
    <row r="601" spans="1:5">
      <c r="A601" t="s">
        <v>33</v>
      </c>
      <c r="B601" s="11" t="s">
        <v>75</v>
      </c>
      <c r="C601">
        <v>4022</v>
      </c>
      <c r="D601" s="9">
        <v>75.900000000000006</v>
      </c>
      <c r="E601" t="s">
        <v>56</v>
      </c>
    </row>
    <row r="602" spans="1:5">
      <c r="A602" t="s">
        <v>33</v>
      </c>
      <c r="B602" s="11" t="s">
        <v>75</v>
      </c>
      <c r="C602">
        <v>4023</v>
      </c>
      <c r="D602" s="9">
        <v>151.81</v>
      </c>
      <c r="E602" t="s">
        <v>56</v>
      </c>
    </row>
    <row r="603" spans="1:5">
      <c r="A603" t="s">
        <v>33</v>
      </c>
      <c r="B603" s="11" t="s">
        <v>64</v>
      </c>
      <c r="C603">
        <v>1001</v>
      </c>
      <c r="D603" s="9">
        <v>-17075.8</v>
      </c>
      <c r="E603" t="s">
        <v>57</v>
      </c>
    </row>
    <row r="604" spans="1:5">
      <c r="A604" t="s">
        <v>33</v>
      </c>
      <c r="B604" s="11" t="s">
        <v>64</v>
      </c>
      <c r="C604">
        <v>4011</v>
      </c>
      <c r="D604" s="9">
        <v>318.39</v>
      </c>
      <c r="E604" t="s">
        <v>57</v>
      </c>
    </row>
    <row r="605" spans="1:5">
      <c r="A605" t="s">
        <v>33</v>
      </c>
      <c r="B605" s="11" t="s">
        <v>64</v>
      </c>
      <c r="C605">
        <v>4012</v>
      </c>
      <c r="D605" s="9">
        <v>63.68</v>
      </c>
      <c r="E605" t="s">
        <v>57</v>
      </c>
    </row>
    <row r="606" spans="1:5">
      <c r="A606" t="s">
        <v>33</v>
      </c>
      <c r="B606" s="11" t="s">
        <v>64</v>
      </c>
      <c r="C606">
        <v>4018</v>
      </c>
      <c r="D606" s="9">
        <v>266.23</v>
      </c>
      <c r="E606" t="s">
        <v>57</v>
      </c>
    </row>
    <row r="607" spans="1:5">
      <c r="A607" t="s">
        <v>33</v>
      </c>
      <c r="B607" s="11" t="s">
        <v>64</v>
      </c>
      <c r="C607">
        <v>4022</v>
      </c>
      <c r="D607" s="9">
        <v>59.16</v>
      </c>
      <c r="E607" t="s">
        <v>57</v>
      </c>
    </row>
    <row r="608" spans="1:5">
      <c r="A608" t="s">
        <v>33</v>
      </c>
      <c r="B608" s="11" t="s">
        <v>64</v>
      </c>
      <c r="C608">
        <v>4023</v>
      </c>
      <c r="D608" s="9">
        <v>118.32</v>
      </c>
      <c r="E608" t="s">
        <v>57</v>
      </c>
    </row>
    <row r="609" spans="1:5">
      <c r="A609" t="s">
        <v>33</v>
      </c>
      <c r="B609" s="11" t="s">
        <v>65</v>
      </c>
      <c r="C609">
        <v>1001</v>
      </c>
      <c r="D609" s="9">
        <v>-13929.63</v>
      </c>
      <c r="E609" t="s">
        <v>57</v>
      </c>
    </row>
    <row r="610" spans="1:5">
      <c r="A610" t="s">
        <v>33</v>
      </c>
      <c r="B610" s="11" t="s">
        <v>65</v>
      </c>
      <c r="C610">
        <v>4011</v>
      </c>
      <c r="D610" s="9">
        <v>257.02</v>
      </c>
      <c r="E610" t="s">
        <v>57</v>
      </c>
    </row>
    <row r="611" spans="1:5">
      <c r="A611" t="s">
        <v>33</v>
      </c>
      <c r="B611" s="11" t="s">
        <v>65</v>
      </c>
      <c r="C611">
        <v>4012</v>
      </c>
      <c r="D611" s="9">
        <v>51.4</v>
      </c>
      <c r="E611" t="s">
        <v>57</v>
      </c>
    </row>
    <row r="612" spans="1:5">
      <c r="A612" t="s">
        <v>33</v>
      </c>
      <c r="B612" s="11" t="s">
        <v>65</v>
      </c>
      <c r="C612">
        <v>4018</v>
      </c>
      <c r="D612" s="9">
        <v>233.89</v>
      </c>
      <c r="E612" t="s">
        <v>57</v>
      </c>
    </row>
    <row r="613" spans="1:5">
      <c r="A613" t="s">
        <v>33</v>
      </c>
      <c r="B613" s="11" t="s">
        <v>65</v>
      </c>
      <c r="C613">
        <v>4022</v>
      </c>
      <c r="D613" s="9">
        <v>51.98</v>
      </c>
      <c r="E613" t="s">
        <v>57</v>
      </c>
    </row>
    <row r="614" spans="1:5">
      <c r="A614" t="s">
        <v>33</v>
      </c>
      <c r="B614" s="11" t="s">
        <v>65</v>
      </c>
      <c r="C614">
        <v>4023</v>
      </c>
      <c r="D614" s="9">
        <v>103.95</v>
      </c>
      <c r="E614" t="s">
        <v>57</v>
      </c>
    </row>
    <row r="615" spans="1:5">
      <c r="A615" t="s">
        <v>33</v>
      </c>
      <c r="B615" s="11" t="s">
        <v>66</v>
      </c>
      <c r="C615">
        <v>1001</v>
      </c>
      <c r="D615" s="9">
        <v>-27990.22</v>
      </c>
      <c r="E615" t="s">
        <v>57</v>
      </c>
    </row>
    <row r="616" spans="1:5">
      <c r="A616" t="s">
        <v>33</v>
      </c>
      <c r="B616" s="11" t="s">
        <v>66</v>
      </c>
      <c r="C616">
        <v>4011</v>
      </c>
      <c r="D616" s="9">
        <v>380.99</v>
      </c>
      <c r="E616" t="s">
        <v>57</v>
      </c>
    </row>
    <row r="617" spans="1:5">
      <c r="A617" t="s">
        <v>33</v>
      </c>
      <c r="B617" s="11" t="s">
        <v>66</v>
      </c>
      <c r="C617">
        <v>4012</v>
      </c>
      <c r="D617" s="9">
        <v>76.2</v>
      </c>
      <c r="E617" t="s">
        <v>57</v>
      </c>
    </row>
    <row r="618" spans="1:5">
      <c r="A618" t="s">
        <v>33</v>
      </c>
      <c r="B618" s="11" t="s">
        <v>66</v>
      </c>
      <c r="C618">
        <v>4018</v>
      </c>
      <c r="D618" s="9">
        <v>441.05</v>
      </c>
      <c r="E618" t="s">
        <v>57</v>
      </c>
    </row>
    <row r="619" spans="1:5">
      <c r="A619" t="s">
        <v>33</v>
      </c>
      <c r="B619" s="11" t="s">
        <v>66</v>
      </c>
      <c r="C619">
        <v>4022</v>
      </c>
      <c r="D619" s="9">
        <v>98.01</v>
      </c>
      <c r="E619" t="s">
        <v>57</v>
      </c>
    </row>
    <row r="620" spans="1:5">
      <c r="A620" t="s">
        <v>33</v>
      </c>
      <c r="B620" s="11" t="s">
        <v>66</v>
      </c>
      <c r="C620">
        <v>4023</v>
      </c>
      <c r="D620" s="9">
        <v>196.02</v>
      </c>
      <c r="E620" t="s">
        <v>57</v>
      </c>
    </row>
    <row r="621" spans="1:5">
      <c r="A621" t="s">
        <v>33</v>
      </c>
      <c r="B621" s="11" t="s">
        <v>67</v>
      </c>
      <c r="C621">
        <v>1001</v>
      </c>
      <c r="D621" s="9">
        <v>-11534.07</v>
      </c>
      <c r="E621" t="s">
        <v>57</v>
      </c>
    </row>
    <row r="622" spans="1:5">
      <c r="A622" t="s">
        <v>33</v>
      </c>
      <c r="B622" s="11" t="s">
        <v>67</v>
      </c>
      <c r="C622">
        <v>4011</v>
      </c>
      <c r="D622" s="9">
        <v>178.93</v>
      </c>
      <c r="E622" t="s">
        <v>57</v>
      </c>
    </row>
    <row r="623" spans="1:5">
      <c r="A623" t="s">
        <v>33</v>
      </c>
      <c r="B623" s="11" t="s">
        <v>67</v>
      </c>
      <c r="C623">
        <v>4012</v>
      </c>
      <c r="D623" s="9">
        <v>35.79</v>
      </c>
      <c r="E623" t="s">
        <v>57</v>
      </c>
    </row>
    <row r="624" spans="1:5">
      <c r="A624" t="s">
        <v>33</v>
      </c>
      <c r="B624" s="11" t="s">
        <v>67</v>
      </c>
      <c r="C624">
        <v>4018</v>
      </c>
      <c r="D624" s="9">
        <v>182.65</v>
      </c>
      <c r="E624" t="s">
        <v>57</v>
      </c>
    </row>
    <row r="625" spans="1:5">
      <c r="A625" t="s">
        <v>33</v>
      </c>
      <c r="B625" s="11" t="s">
        <v>67</v>
      </c>
      <c r="C625">
        <v>4022</v>
      </c>
      <c r="D625" s="9">
        <v>40.590000000000003</v>
      </c>
      <c r="E625" t="s">
        <v>57</v>
      </c>
    </row>
    <row r="626" spans="1:5">
      <c r="A626" t="s">
        <v>33</v>
      </c>
      <c r="B626" s="11" t="s">
        <v>67</v>
      </c>
      <c r="C626">
        <v>4023</v>
      </c>
      <c r="D626" s="9">
        <v>81.180000000000007</v>
      </c>
      <c r="E626" t="s">
        <v>57</v>
      </c>
    </row>
    <row r="627" spans="1:5">
      <c r="A627" t="s">
        <v>33</v>
      </c>
      <c r="B627" s="11" t="s">
        <v>76</v>
      </c>
      <c r="C627">
        <v>1001</v>
      </c>
      <c r="D627" s="9">
        <v>-8509.8799999999992</v>
      </c>
      <c r="E627" t="s">
        <v>57</v>
      </c>
    </row>
    <row r="628" spans="1:5">
      <c r="A628" t="s">
        <v>33</v>
      </c>
      <c r="B628" s="11" t="s">
        <v>76</v>
      </c>
      <c r="C628">
        <v>4011</v>
      </c>
      <c r="D628" s="9">
        <v>108.47</v>
      </c>
      <c r="E628" t="s">
        <v>57</v>
      </c>
    </row>
    <row r="629" spans="1:5">
      <c r="A629" t="s">
        <v>33</v>
      </c>
      <c r="B629" s="11" t="s">
        <v>76</v>
      </c>
      <c r="C629">
        <v>4012</v>
      </c>
      <c r="D629" s="9">
        <v>20.34</v>
      </c>
      <c r="E629" t="s">
        <v>57</v>
      </c>
    </row>
    <row r="630" spans="1:5">
      <c r="A630" t="s">
        <v>33</v>
      </c>
      <c r="B630" s="11" t="s">
        <v>76</v>
      </c>
      <c r="C630">
        <v>4018</v>
      </c>
      <c r="D630" s="9">
        <v>135.81</v>
      </c>
      <c r="E630" t="s">
        <v>57</v>
      </c>
    </row>
    <row r="631" spans="1:5">
      <c r="A631" t="s">
        <v>33</v>
      </c>
      <c r="B631" s="11" t="s">
        <v>76</v>
      </c>
      <c r="C631">
        <v>4022</v>
      </c>
      <c r="D631" s="9">
        <v>30.18</v>
      </c>
      <c r="E631" t="s">
        <v>57</v>
      </c>
    </row>
    <row r="632" spans="1:5">
      <c r="A632" t="s">
        <v>33</v>
      </c>
      <c r="B632" s="11" t="s">
        <v>76</v>
      </c>
      <c r="C632">
        <v>4023</v>
      </c>
      <c r="D632" s="9">
        <v>60.36</v>
      </c>
      <c r="E632" t="s">
        <v>57</v>
      </c>
    </row>
    <row r="633" spans="1:5">
      <c r="A633" t="s">
        <v>33</v>
      </c>
      <c r="B633" s="11" t="s">
        <v>68</v>
      </c>
      <c r="C633">
        <v>1001</v>
      </c>
      <c r="D633" s="9">
        <v>-14656.58</v>
      </c>
      <c r="E633" t="s">
        <v>58</v>
      </c>
    </row>
    <row r="634" spans="1:5">
      <c r="A634" t="s">
        <v>33</v>
      </c>
      <c r="B634" s="11" t="s">
        <v>68</v>
      </c>
      <c r="C634">
        <v>4011</v>
      </c>
      <c r="D634" s="9">
        <v>226.24</v>
      </c>
      <c r="E634" t="s">
        <v>58</v>
      </c>
    </row>
    <row r="635" spans="1:5">
      <c r="A635" t="s">
        <v>33</v>
      </c>
      <c r="B635" s="11" t="s">
        <v>68</v>
      </c>
      <c r="C635">
        <v>4012</v>
      </c>
      <c r="D635" s="9">
        <v>39.590000000000003</v>
      </c>
      <c r="E635" t="s">
        <v>58</v>
      </c>
    </row>
    <row r="636" spans="1:5">
      <c r="A636" t="s">
        <v>33</v>
      </c>
      <c r="B636" s="11" t="s">
        <v>68</v>
      </c>
      <c r="C636">
        <v>4018</v>
      </c>
      <c r="D636" s="9">
        <v>238.76</v>
      </c>
      <c r="E636" t="s">
        <v>58</v>
      </c>
    </row>
    <row r="637" spans="1:5">
      <c r="A637" t="s">
        <v>33</v>
      </c>
      <c r="B637" s="11" t="s">
        <v>68</v>
      </c>
      <c r="C637">
        <v>4022</v>
      </c>
      <c r="D637" s="9">
        <v>53.06</v>
      </c>
      <c r="E637" t="s">
        <v>58</v>
      </c>
    </row>
    <row r="638" spans="1:5">
      <c r="A638" t="s">
        <v>33</v>
      </c>
      <c r="B638" s="11" t="s">
        <v>68</v>
      </c>
      <c r="C638">
        <v>4023</v>
      </c>
      <c r="D638" s="9">
        <v>106.12</v>
      </c>
      <c r="E638" t="s">
        <v>58</v>
      </c>
    </row>
    <row r="639" spans="1:5">
      <c r="A639" t="s">
        <v>33</v>
      </c>
      <c r="B639" s="11" t="s">
        <v>69</v>
      </c>
      <c r="C639">
        <v>1001</v>
      </c>
      <c r="D639" s="9">
        <v>-12938.82</v>
      </c>
      <c r="E639" t="s">
        <v>58</v>
      </c>
    </row>
    <row r="640" spans="1:5">
      <c r="A640" t="s">
        <v>33</v>
      </c>
      <c r="B640" s="11" t="s">
        <v>69</v>
      </c>
      <c r="C640">
        <v>4011</v>
      </c>
      <c r="D640" s="9">
        <v>165.72</v>
      </c>
      <c r="E640" t="s">
        <v>58</v>
      </c>
    </row>
    <row r="641" spans="1:5">
      <c r="A641" t="s">
        <v>33</v>
      </c>
      <c r="B641" s="11" t="s">
        <v>69</v>
      </c>
      <c r="C641">
        <v>4012</v>
      </c>
      <c r="D641" s="9">
        <v>29</v>
      </c>
      <c r="E641" t="s">
        <v>58</v>
      </c>
    </row>
    <row r="642" spans="1:5">
      <c r="A642" t="s">
        <v>33</v>
      </c>
      <c r="B642" s="11" t="s">
        <v>69</v>
      </c>
      <c r="C642">
        <v>4018</v>
      </c>
      <c r="D642" s="9">
        <v>204.65</v>
      </c>
      <c r="E642" t="s">
        <v>58</v>
      </c>
    </row>
    <row r="643" spans="1:5">
      <c r="A643" t="s">
        <v>33</v>
      </c>
      <c r="B643" s="11" t="s">
        <v>69</v>
      </c>
      <c r="C643">
        <v>4022</v>
      </c>
      <c r="D643" s="9">
        <v>45.48</v>
      </c>
      <c r="E643" t="s">
        <v>58</v>
      </c>
    </row>
    <row r="644" spans="1:5">
      <c r="A644" t="s">
        <v>33</v>
      </c>
      <c r="B644" s="11" t="s">
        <v>69</v>
      </c>
      <c r="C644">
        <v>4023</v>
      </c>
      <c r="D644" s="9">
        <v>90.95</v>
      </c>
      <c r="E644" t="s">
        <v>58</v>
      </c>
    </row>
    <row r="645" spans="1:5">
      <c r="A645" t="s">
        <v>33</v>
      </c>
      <c r="B645" s="11" t="s">
        <v>77</v>
      </c>
      <c r="C645">
        <v>1001</v>
      </c>
      <c r="D645" s="9">
        <v>-18224.91</v>
      </c>
      <c r="E645" t="s">
        <v>58</v>
      </c>
    </row>
    <row r="646" spans="1:5">
      <c r="A646" t="s">
        <v>33</v>
      </c>
      <c r="B646" s="11" t="s">
        <v>77</v>
      </c>
      <c r="C646">
        <v>4011</v>
      </c>
      <c r="D646" s="9">
        <v>396.4</v>
      </c>
      <c r="E646" t="s">
        <v>58</v>
      </c>
    </row>
    <row r="647" spans="1:5">
      <c r="A647" t="s">
        <v>33</v>
      </c>
      <c r="B647" s="11" t="s">
        <v>77</v>
      </c>
      <c r="C647">
        <v>4012</v>
      </c>
      <c r="D647" s="9">
        <v>79.28</v>
      </c>
      <c r="E647" t="s">
        <v>58</v>
      </c>
    </row>
    <row r="648" spans="1:5">
      <c r="A648" t="s">
        <v>33</v>
      </c>
      <c r="B648" s="11" t="s">
        <v>77</v>
      </c>
      <c r="C648">
        <v>4018</v>
      </c>
      <c r="D648" s="9">
        <v>288</v>
      </c>
      <c r="E648" t="s">
        <v>58</v>
      </c>
    </row>
    <row r="649" spans="1:5">
      <c r="A649" t="s">
        <v>33</v>
      </c>
      <c r="B649" s="11" t="s">
        <v>77</v>
      </c>
      <c r="C649">
        <v>4022</v>
      </c>
      <c r="D649" s="9">
        <v>64</v>
      </c>
      <c r="E649" t="s">
        <v>58</v>
      </c>
    </row>
    <row r="650" spans="1:5">
      <c r="A650" t="s">
        <v>33</v>
      </c>
      <c r="B650" s="11" t="s">
        <v>77</v>
      </c>
      <c r="C650">
        <v>4023</v>
      </c>
      <c r="D650" s="9">
        <v>128</v>
      </c>
      <c r="E650" t="s">
        <v>58</v>
      </c>
    </row>
    <row r="651" spans="1:5">
      <c r="A651" t="s">
        <v>33</v>
      </c>
      <c r="B651" s="11" t="s">
        <v>70</v>
      </c>
      <c r="C651">
        <v>1001</v>
      </c>
      <c r="D651" s="9">
        <v>-17709.91</v>
      </c>
      <c r="E651" t="s">
        <v>59</v>
      </c>
    </row>
    <row r="652" spans="1:5">
      <c r="A652" t="s">
        <v>33</v>
      </c>
      <c r="B652" s="11" t="s">
        <v>70</v>
      </c>
      <c r="C652">
        <v>4011</v>
      </c>
      <c r="D652" s="9">
        <v>280.14</v>
      </c>
      <c r="E652" t="s">
        <v>59</v>
      </c>
    </row>
    <row r="653" spans="1:5">
      <c r="A653" t="s">
        <v>33</v>
      </c>
      <c r="B653" s="11" t="s">
        <v>70</v>
      </c>
      <c r="C653">
        <v>4012</v>
      </c>
      <c r="D653" s="9">
        <v>56.03</v>
      </c>
      <c r="E653" t="s">
        <v>59</v>
      </c>
    </row>
    <row r="654" spans="1:5">
      <c r="A654" t="s">
        <v>33</v>
      </c>
      <c r="B654" s="11" t="s">
        <v>70</v>
      </c>
      <c r="C654">
        <v>4018</v>
      </c>
      <c r="D654" s="9">
        <v>306.45999999999998</v>
      </c>
      <c r="E654" t="s">
        <v>59</v>
      </c>
    </row>
    <row r="655" spans="1:5">
      <c r="A655" t="s">
        <v>33</v>
      </c>
      <c r="B655" s="11" t="s">
        <v>70</v>
      </c>
      <c r="C655">
        <v>4022</v>
      </c>
      <c r="D655" s="9">
        <v>61.29</v>
      </c>
      <c r="E655" t="s">
        <v>59</v>
      </c>
    </row>
    <row r="656" spans="1:5">
      <c r="A656" t="s">
        <v>33</v>
      </c>
      <c r="B656" s="11" t="s">
        <v>70</v>
      </c>
      <c r="C656">
        <v>4023</v>
      </c>
      <c r="D656" s="9">
        <v>122.58</v>
      </c>
      <c r="E656" t="s">
        <v>59</v>
      </c>
    </row>
    <row r="657" spans="1:5">
      <c r="A657" t="s">
        <v>33</v>
      </c>
      <c r="B657" s="11" t="s">
        <v>71</v>
      </c>
      <c r="C657">
        <v>1001</v>
      </c>
      <c r="D657" s="9">
        <v>-20583.37</v>
      </c>
      <c r="E657" t="s">
        <v>59</v>
      </c>
    </row>
    <row r="658" spans="1:5">
      <c r="A658" t="s">
        <v>33</v>
      </c>
      <c r="B658" s="11" t="s">
        <v>71</v>
      </c>
      <c r="C658">
        <v>4011</v>
      </c>
      <c r="D658" s="9">
        <v>416.78</v>
      </c>
      <c r="E658" t="s">
        <v>59</v>
      </c>
    </row>
    <row r="659" spans="1:5">
      <c r="A659" t="s">
        <v>33</v>
      </c>
      <c r="B659" s="11" t="s">
        <v>71</v>
      </c>
      <c r="C659">
        <v>4012</v>
      </c>
      <c r="D659" s="9">
        <v>83.36</v>
      </c>
      <c r="E659" t="s">
        <v>59</v>
      </c>
    </row>
    <row r="660" spans="1:5">
      <c r="A660" t="s">
        <v>33</v>
      </c>
      <c r="B660" s="11" t="s">
        <v>71</v>
      </c>
      <c r="C660">
        <v>4018</v>
      </c>
      <c r="D660" s="9">
        <v>320.60000000000002</v>
      </c>
      <c r="E660" t="s">
        <v>59</v>
      </c>
    </row>
    <row r="661" spans="1:5">
      <c r="A661" t="s">
        <v>33</v>
      </c>
      <c r="B661" s="11" t="s">
        <v>71</v>
      </c>
      <c r="C661">
        <v>4022</v>
      </c>
      <c r="D661" s="9">
        <v>71.239999999999995</v>
      </c>
      <c r="E661" t="s">
        <v>59</v>
      </c>
    </row>
    <row r="662" spans="1:5">
      <c r="A662" t="s">
        <v>33</v>
      </c>
      <c r="B662" s="11" t="s">
        <v>71</v>
      </c>
      <c r="C662">
        <v>4023</v>
      </c>
      <c r="D662" s="9">
        <v>142.49</v>
      </c>
      <c r="E662" t="s">
        <v>59</v>
      </c>
    </row>
    <row r="663" spans="1:5">
      <c r="A663" t="s">
        <v>33</v>
      </c>
      <c r="B663" s="11" t="s">
        <v>72</v>
      </c>
      <c r="C663">
        <v>1001</v>
      </c>
      <c r="D663" s="9">
        <v>-22535.38</v>
      </c>
      <c r="E663" t="s">
        <v>59</v>
      </c>
    </row>
    <row r="664" spans="1:5">
      <c r="A664" t="s">
        <v>33</v>
      </c>
      <c r="B664" s="11" t="s">
        <v>72</v>
      </c>
      <c r="C664">
        <v>4011</v>
      </c>
      <c r="D664" s="9">
        <v>410.22</v>
      </c>
      <c r="E664" t="s">
        <v>59</v>
      </c>
    </row>
    <row r="665" spans="1:5">
      <c r="A665" t="s">
        <v>33</v>
      </c>
      <c r="B665" s="11" t="s">
        <v>72</v>
      </c>
      <c r="C665">
        <v>4012</v>
      </c>
      <c r="D665" s="9">
        <v>82.04</v>
      </c>
      <c r="E665" t="s">
        <v>59</v>
      </c>
    </row>
    <row r="666" spans="1:5">
      <c r="A666" t="s">
        <v>33</v>
      </c>
      <c r="B666" s="11" t="s">
        <v>72</v>
      </c>
      <c r="C666">
        <v>4018</v>
      </c>
      <c r="D666" s="9">
        <v>790.66</v>
      </c>
      <c r="E666" t="s">
        <v>59</v>
      </c>
    </row>
    <row r="667" spans="1:5">
      <c r="A667" t="s">
        <v>33</v>
      </c>
      <c r="B667" s="11" t="s">
        <v>72</v>
      </c>
      <c r="C667">
        <v>4022</v>
      </c>
      <c r="D667" s="9">
        <v>79.069999999999993</v>
      </c>
      <c r="E667" t="s">
        <v>59</v>
      </c>
    </row>
    <row r="668" spans="1:5">
      <c r="A668" t="s">
        <v>33</v>
      </c>
      <c r="B668" s="11" t="s">
        <v>72</v>
      </c>
      <c r="C668">
        <v>4023</v>
      </c>
      <c r="D668" s="9">
        <v>158.13</v>
      </c>
      <c r="E668" t="s">
        <v>59</v>
      </c>
    </row>
    <row r="669" spans="1:5">
      <c r="A669" t="s">
        <v>33</v>
      </c>
      <c r="B669" s="11" t="s">
        <v>78</v>
      </c>
      <c r="C669">
        <v>1001</v>
      </c>
      <c r="D669" s="9">
        <v>-17901.099999999999</v>
      </c>
      <c r="E669" t="s">
        <v>59</v>
      </c>
    </row>
    <row r="670" spans="1:5">
      <c r="A670" t="s">
        <v>33</v>
      </c>
      <c r="B670" s="11" t="s">
        <v>78</v>
      </c>
      <c r="C670">
        <v>4011</v>
      </c>
      <c r="D670" s="9">
        <v>214.16</v>
      </c>
      <c r="E670" t="s">
        <v>59</v>
      </c>
    </row>
    <row r="671" spans="1:5">
      <c r="A671" t="s">
        <v>33</v>
      </c>
      <c r="B671" s="11" t="s">
        <v>78</v>
      </c>
      <c r="C671">
        <v>4012</v>
      </c>
      <c r="D671" s="9">
        <v>42.83</v>
      </c>
      <c r="E671" t="s">
        <v>59</v>
      </c>
    </row>
    <row r="672" spans="1:5">
      <c r="A672" t="s">
        <v>33</v>
      </c>
      <c r="B672" s="11" t="s">
        <v>78</v>
      </c>
      <c r="C672">
        <v>4018</v>
      </c>
      <c r="D672" s="9">
        <v>798.52</v>
      </c>
      <c r="E672" t="s">
        <v>59</v>
      </c>
    </row>
    <row r="673" spans="1:5">
      <c r="A673" t="s">
        <v>33</v>
      </c>
      <c r="B673" s="11" t="s">
        <v>78</v>
      </c>
      <c r="C673">
        <v>4022</v>
      </c>
      <c r="D673" s="9">
        <v>58.98</v>
      </c>
      <c r="E673" t="s">
        <v>59</v>
      </c>
    </row>
    <row r="674" spans="1:5">
      <c r="A674" t="s">
        <v>33</v>
      </c>
      <c r="B674" s="11" t="s">
        <v>78</v>
      </c>
      <c r="C674">
        <v>4023</v>
      </c>
      <c r="D674" s="9">
        <v>127.76</v>
      </c>
      <c r="E674" t="s">
        <v>59</v>
      </c>
    </row>
    <row r="675" spans="1:5">
      <c r="A675" t="s">
        <v>33</v>
      </c>
      <c r="B675" s="11" t="s">
        <v>73</v>
      </c>
      <c r="C675">
        <v>1001</v>
      </c>
      <c r="D675" s="9">
        <v>-19306.060000000001</v>
      </c>
      <c r="E675" t="s">
        <v>60</v>
      </c>
    </row>
    <row r="676" spans="1:5">
      <c r="A676" t="s">
        <v>33</v>
      </c>
      <c r="B676" s="11" t="s">
        <v>73</v>
      </c>
      <c r="C676">
        <v>4011</v>
      </c>
      <c r="D676" s="9">
        <v>386.98</v>
      </c>
      <c r="E676" t="s">
        <v>60</v>
      </c>
    </row>
    <row r="677" spans="1:5">
      <c r="A677" t="s">
        <v>33</v>
      </c>
      <c r="B677" s="11" t="s">
        <v>73</v>
      </c>
      <c r="C677">
        <v>4012</v>
      </c>
      <c r="D677" s="9">
        <v>77.400000000000006</v>
      </c>
      <c r="E677" t="s">
        <v>60</v>
      </c>
    </row>
    <row r="678" spans="1:5">
      <c r="A678" t="s">
        <v>33</v>
      </c>
      <c r="B678" s="11" t="s">
        <v>73</v>
      </c>
      <c r="C678">
        <v>4018</v>
      </c>
      <c r="D678" s="9">
        <v>321.37</v>
      </c>
      <c r="E678" t="s">
        <v>60</v>
      </c>
    </row>
    <row r="679" spans="1:5">
      <c r="A679" t="s">
        <v>33</v>
      </c>
      <c r="B679" s="11" t="s">
        <v>73</v>
      </c>
      <c r="C679">
        <v>4022</v>
      </c>
      <c r="D679" s="9">
        <v>71.42</v>
      </c>
      <c r="E679" t="s">
        <v>60</v>
      </c>
    </row>
    <row r="680" spans="1:5">
      <c r="A680" t="s">
        <v>33</v>
      </c>
      <c r="B680" s="11" t="s">
        <v>73</v>
      </c>
      <c r="C680">
        <v>4023</v>
      </c>
      <c r="D680" s="9">
        <v>142.83000000000001</v>
      </c>
      <c r="E680" t="s">
        <v>60</v>
      </c>
    </row>
    <row r="681" spans="1:5">
      <c r="A681" t="s">
        <v>33</v>
      </c>
      <c r="B681" s="11" t="s">
        <v>74</v>
      </c>
      <c r="C681">
        <v>1001</v>
      </c>
      <c r="D681" s="9">
        <v>-17015.080000000002</v>
      </c>
      <c r="E681" t="s">
        <v>60</v>
      </c>
    </row>
    <row r="682" spans="1:5">
      <c r="A682" t="s">
        <v>33</v>
      </c>
      <c r="B682" s="11" t="s">
        <v>74</v>
      </c>
      <c r="C682">
        <v>4011</v>
      </c>
      <c r="D682" s="9">
        <v>473.26</v>
      </c>
      <c r="E682" t="s">
        <v>60</v>
      </c>
    </row>
    <row r="683" spans="1:5">
      <c r="A683" t="s">
        <v>33</v>
      </c>
      <c r="B683" s="11" t="s">
        <v>74</v>
      </c>
      <c r="C683">
        <v>4012</v>
      </c>
      <c r="D683" s="9">
        <v>94.65</v>
      </c>
      <c r="E683" t="s">
        <v>60</v>
      </c>
    </row>
    <row r="684" spans="1:5">
      <c r="A684" t="s">
        <v>33</v>
      </c>
      <c r="B684" s="11" t="s">
        <v>74</v>
      </c>
      <c r="C684">
        <v>4018</v>
      </c>
      <c r="D684" s="9">
        <v>281.3</v>
      </c>
      <c r="E684" t="s">
        <v>60</v>
      </c>
    </row>
    <row r="685" spans="1:5">
      <c r="A685" t="s">
        <v>33</v>
      </c>
      <c r="B685" s="11" t="s">
        <v>74</v>
      </c>
      <c r="C685">
        <v>4022</v>
      </c>
      <c r="D685" s="9">
        <v>62.51</v>
      </c>
      <c r="E685" t="s">
        <v>60</v>
      </c>
    </row>
    <row r="686" spans="1:5">
      <c r="A686" t="s">
        <v>33</v>
      </c>
      <c r="B686" s="11" t="s">
        <v>74</v>
      </c>
      <c r="C686">
        <v>4023</v>
      </c>
      <c r="D686" s="9">
        <v>125.02</v>
      </c>
      <c r="E686" t="s">
        <v>60</v>
      </c>
    </row>
    <row r="687" spans="1:5">
      <c r="A687" t="s">
        <v>34</v>
      </c>
      <c r="B687" s="11" t="s">
        <v>61</v>
      </c>
      <c r="C687">
        <v>1001</v>
      </c>
      <c r="D687" s="9">
        <v>-15558.15</v>
      </c>
      <c r="E687" t="s">
        <v>56</v>
      </c>
    </row>
    <row r="688" spans="1:5">
      <c r="A688" t="s">
        <v>34</v>
      </c>
      <c r="B688" s="11" t="s">
        <v>61</v>
      </c>
      <c r="C688">
        <v>4011</v>
      </c>
      <c r="D688" s="9">
        <v>223.37</v>
      </c>
      <c r="E688" t="s">
        <v>56</v>
      </c>
    </row>
    <row r="689" spans="1:5">
      <c r="A689" t="s">
        <v>34</v>
      </c>
      <c r="B689" s="11" t="s">
        <v>61</v>
      </c>
      <c r="C689">
        <v>4012</v>
      </c>
      <c r="D689" s="9">
        <v>39.090000000000003</v>
      </c>
      <c r="E689" t="s">
        <v>56</v>
      </c>
    </row>
    <row r="690" spans="1:5">
      <c r="A690" t="s">
        <v>34</v>
      </c>
      <c r="B690" s="11" t="s">
        <v>61</v>
      </c>
      <c r="C690">
        <v>4018</v>
      </c>
      <c r="D690" s="9">
        <v>288.45</v>
      </c>
      <c r="E690" t="s">
        <v>56</v>
      </c>
    </row>
    <row r="691" spans="1:5">
      <c r="A691" t="s">
        <v>34</v>
      </c>
      <c r="B691" s="11" t="s">
        <v>61</v>
      </c>
      <c r="C691">
        <v>4022</v>
      </c>
      <c r="D691" s="9">
        <v>64.099999999999994</v>
      </c>
      <c r="E691" t="s">
        <v>56</v>
      </c>
    </row>
    <row r="692" spans="1:5">
      <c r="A692" t="s">
        <v>34</v>
      </c>
      <c r="B692" s="11" t="s">
        <v>61</v>
      </c>
      <c r="C692">
        <v>4023</v>
      </c>
      <c r="D692" s="9">
        <v>128.19999999999999</v>
      </c>
      <c r="E692" t="s">
        <v>56</v>
      </c>
    </row>
    <row r="693" spans="1:5">
      <c r="A693" t="s">
        <v>34</v>
      </c>
      <c r="B693" s="11" t="s">
        <v>62</v>
      </c>
      <c r="C693">
        <v>1001</v>
      </c>
      <c r="D693" s="9">
        <v>-14184.68</v>
      </c>
      <c r="E693" t="s">
        <v>56</v>
      </c>
    </row>
    <row r="694" spans="1:5">
      <c r="A694" t="s">
        <v>34</v>
      </c>
      <c r="B694" s="11" t="s">
        <v>62</v>
      </c>
      <c r="C694">
        <v>4011</v>
      </c>
      <c r="D694" s="9">
        <v>173.13</v>
      </c>
      <c r="E694" t="s">
        <v>56</v>
      </c>
    </row>
    <row r="695" spans="1:5">
      <c r="A695" t="s">
        <v>34</v>
      </c>
      <c r="B695" s="11" t="s">
        <v>62</v>
      </c>
      <c r="C695">
        <v>4012</v>
      </c>
      <c r="D695" s="9">
        <v>30.3</v>
      </c>
      <c r="E695" t="s">
        <v>56</v>
      </c>
    </row>
    <row r="696" spans="1:5">
      <c r="A696" t="s">
        <v>34</v>
      </c>
      <c r="B696" s="11" t="s">
        <v>62</v>
      </c>
      <c r="C696">
        <v>4018</v>
      </c>
      <c r="D696" s="9">
        <v>186.97</v>
      </c>
      <c r="E696" t="s">
        <v>56</v>
      </c>
    </row>
    <row r="697" spans="1:5">
      <c r="A697" t="s">
        <v>34</v>
      </c>
      <c r="B697" s="11" t="s">
        <v>62</v>
      </c>
      <c r="C697">
        <v>4022</v>
      </c>
      <c r="D697" s="9">
        <v>41.55</v>
      </c>
      <c r="E697" t="s">
        <v>56</v>
      </c>
    </row>
    <row r="698" spans="1:5">
      <c r="A698" t="s">
        <v>34</v>
      </c>
      <c r="B698" s="11" t="s">
        <v>62</v>
      </c>
      <c r="C698">
        <v>4023</v>
      </c>
      <c r="D698" s="9">
        <v>83.1</v>
      </c>
      <c r="E698" t="s">
        <v>56</v>
      </c>
    </row>
    <row r="699" spans="1:5">
      <c r="A699" t="s">
        <v>34</v>
      </c>
      <c r="B699" s="11" t="s">
        <v>63</v>
      </c>
      <c r="C699">
        <v>1001</v>
      </c>
      <c r="D699" s="9">
        <v>-16562.810000000001</v>
      </c>
      <c r="E699" t="s">
        <v>56</v>
      </c>
    </row>
    <row r="700" spans="1:5">
      <c r="A700" t="s">
        <v>34</v>
      </c>
      <c r="B700" s="11" t="s">
        <v>63</v>
      </c>
      <c r="C700">
        <v>4011</v>
      </c>
      <c r="D700" s="9">
        <v>309.69</v>
      </c>
      <c r="E700" t="s">
        <v>56</v>
      </c>
    </row>
    <row r="701" spans="1:5">
      <c r="A701" t="s">
        <v>34</v>
      </c>
      <c r="B701" s="11" t="s">
        <v>63</v>
      </c>
      <c r="C701">
        <v>4012</v>
      </c>
      <c r="D701" s="9">
        <v>61.94</v>
      </c>
      <c r="E701" t="s">
        <v>56</v>
      </c>
    </row>
    <row r="702" spans="1:5">
      <c r="A702" t="s">
        <v>34</v>
      </c>
      <c r="B702" s="11" t="s">
        <v>63</v>
      </c>
      <c r="C702">
        <v>4018</v>
      </c>
      <c r="D702" s="9">
        <v>307.07</v>
      </c>
      <c r="E702" t="s">
        <v>56</v>
      </c>
    </row>
    <row r="703" spans="1:5">
      <c r="A703" t="s">
        <v>34</v>
      </c>
      <c r="B703" s="11" t="s">
        <v>63</v>
      </c>
      <c r="C703">
        <v>4022</v>
      </c>
      <c r="D703" s="9">
        <v>68.239999999999995</v>
      </c>
      <c r="E703" t="s">
        <v>56</v>
      </c>
    </row>
    <row r="704" spans="1:5">
      <c r="A704" t="s">
        <v>34</v>
      </c>
      <c r="B704" s="11" t="s">
        <v>63</v>
      </c>
      <c r="C704">
        <v>4023</v>
      </c>
      <c r="D704" s="9">
        <v>136.47999999999999</v>
      </c>
      <c r="E704" t="s">
        <v>56</v>
      </c>
    </row>
    <row r="705" spans="1:5">
      <c r="A705" t="s">
        <v>34</v>
      </c>
      <c r="B705" s="11" t="s">
        <v>75</v>
      </c>
      <c r="C705">
        <v>4011</v>
      </c>
      <c r="D705" s="9">
        <v>299.58</v>
      </c>
      <c r="E705" t="s">
        <v>56</v>
      </c>
    </row>
    <row r="706" spans="1:5">
      <c r="A706" t="s">
        <v>34</v>
      </c>
      <c r="B706" s="11" t="s">
        <v>75</v>
      </c>
      <c r="C706">
        <v>4012</v>
      </c>
      <c r="D706" s="9">
        <v>59.92</v>
      </c>
      <c r="E706" t="s">
        <v>56</v>
      </c>
    </row>
    <row r="707" spans="1:5">
      <c r="A707" t="s">
        <v>34</v>
      </c>
      <c r="B707" s="11" t="s">
        <v>75</v>
      </c>
      <c r="C707">
        <v>4018</v>
      </c>
      <c r="D707" s="9">
        <v>336.94</v>
      </c>
      <c r="E707" t="s">
        <v>56</v>
      </c>
    </row>
    <row r="708" spans="1:5">
      <c r="A708" t="s">
        <v>34</v>
      </c>
      <c r="B708" s="11" t="s">
        <v>75</v>
      </c>
      <c r="C708">
        <v>4022</v>
      </c>
      <c r="D708" s="9">
        <v>74.87</v>
      </c>
      <c r="E708" t="s">
        <v>56</v>
      </c>
    </row>
    <row r="709" spans="1:5">
      <c r="A709" t="s">
        <v>34</v>
      </c>
      <c r="B709" s="11" t="s">
        <v>75</v>
      </c>
      <c r="C709">
        <v>4023</v>
      </c>
      <c r="D709" s="9">
        <v>149.75</v>
      </c>
      <c r="E709" t="s">
        <v>56</v>
      </c>
    </row>
    <row r="710" spans="1:5">
      <c r="A710" t="s">
        <v>34</v>
      </c>
      <c r="B710" s="11" t="s">
        <v>64</v>
      </c>
      <c r="C710">
        <v>1001</v>
      </c>
      <c r="D710" s="9">
        <v>-15701.99</v>
      </c>
      <c r="E710" t="s">
        <v>57</v>
      </c>
    </row>
    <row r="711" spans="1:5">
      <c r="A711" t="s">
        <v>34</v>
      </c>
      <c r="B711" s="11" t="s">
        <v>64</v>
      </c>
      <c r="C711">
        <v>4011</v>
      </c>
      <c r="D711" s="9">
        <v>303.95999999999998</v>
      </c>
      <c r="E711" t="s">
        <v>57</v>
      </c>
    </row>
    <row r="712" spans="1:5">
      <c r="A712" t="s">
        <v>34</v>
      </c>
      <c r="B712" s="11" t="s">
        <v>64</v>
      </c>
      <c r="C712">
        <v>4012</v>
      </c>
      <c r="D712" s="9">
        <v>60.79</v>
      </c>
      <c r="E712" t="s">
        <v>57</v>
      </c>
    </row>
    <row r="713" spans="1:5">
      <c r="A713" t="s">
        <v>34</v>
      </c>
      <c r="B713" s="11" t="s">
        <v>64</v>
      </c>
      <c r="C713">
        <v>4018</v>
      </c>
      <c r="D713" s="9">
        <v>291.11</v>
      </c>
      <c r="E713" t="s">
        <v>57</v>
      </c>
    </row>
    <row r="714" spans="1:5">
      <c r="A714" t="s">
        <v>34</v>
      </c>
      <c r="B714" s="11" t="s">
        <v>64</v>
      </c>
      <c r="C714">
        <v>4022</v>
      </c>
      <c r="D714" s="9">
        <v>64.69</v>
      </c>
      <c r="E714" t="s">
        <v>57</v>
      </c>
    </row>
    <row r="715" spans="1:5">
      <c r="A715" t="s">
        <v>34</v>
      </c>
      <c r="B715" s="11" t="s">
        <v>64</v>
      </c>
      <c r="C715">
        <v>4023</v>
      </c>
      <c r="D715" s="9">
        <v>129.38</v>
      </c>
      <c r="E715" t="s">
        <v>57</v>
      </c>
    </row>
    <row r="716" spans="1:5">
      <c r="A716" t="s">
        <v>34</v>
      </c>
      <c r="B716" s="11" t="s">
        <v>65</v>
      </c>
      <c r="C716">
        <v>1001</v>
      </c>
      <c r="D716" s="9">
        <v>-13054.71</v>
      </c>
      <c r="E716" t="s">
        <v>57</v>
      </c>
    </row>
    <row r="717" spans="1:5">
      <c r="A717" t="s">
        <v>34</v>
      </c>
      <c r="B717" s="11" t="s">
        <v>65</v>
      </c>
      <c r="C717">
        <v>4011</v>
      </c>
      <c r="D717" s="9">
        <v>267.63</v>
      </c>
      <c r="E717" t="s">
        <v>57</v>
      </c>
    </row>
    <row r="718" spans="1:5">
      <c r="A718" t="s">
        <v>34</v>
      </c>
      <c r="B718" s="11" t="s">
        <v>65</v>
      </c>
      <c r="C718">
        <v>4012</v>
      </c>
      <c r="D718" s="9">
        <v>53.53</v>
      </c>
      <c r="E718" t="s">
        <v>57</v>
      </c>
    </row>
    <row r="719" spans="1:5">
      <c r="A719" t="s">
        <v>34</v>
      </c>
      <c r="B719" s="11" t="s">
        <v>65</v>
      </c>
      <c r="C719">
        <v>4018</v>
      </c>
      <c r="D719" s="9">
        <v>258.48</v>
      </c>
      <c r="E719" t="s">
        <v>57</v>
      </c>
    </row>
    <row r="720" spans="1:5">
      <c r="A720" t="s">
        <v>34</v>
      </c>
      <c r="B720" s="11" t="s">
        <v>65</v>
      </c>
      <c r="C720">
        <v>4022</v>
      </c>
      <c r="D720" s="9">
        <v>57.44</v>
      </c>
      <c r="E720" t="s">
        <v>57</v>
      </c>
    </row>
    <row r="721" spans="1:5">
      <c r="A721" t="s">
        <v>34</v>
      </c>
      <c r="B721" s="11" t="s">
        <v>65</v>
      </c>
      <c r="C721">
        <v>4023</v>
      </c>
      <c r="D721" s="9">
        <v>114.88</v>
      </c>
      <c r="E721" t="s">
        <v>57</v>
      </c>
    </row>
    <row r="722" spans="1:5">
      <c r="A722" t="s">
        <v>34</v>
      </c>
      <c r="B722" s="11" t="s">
        <v>66</v>
      </c>
      <c r="C722">
        <v>1001</v>
      </c>
      <c r="D722" s="9">
        <v>-27206.03</v>
      </c>
      <c r="E722" t="s">
        <v>57</v>
      </c>
    </row>
    <row r="723" spans="1:5">
      <c r="A723" t="s">
        <v>34</v>
      </c>
      <c r="B723" s="11" t="s">
        <v>66</v>
      </c>
      <c r="C723">
        <v>4011</v>
      </c>
      <c r="D723" s="9">
        <v>374.06</v>
      </c>
      <c r="E723" t="s">
        <v>57</v>
      </c>
    </row>
    <row r="724" spans="1:5">
      <c r="A724" t="s">
        <v>34</v>
      </c>
      <c r="B724" s="11" t="s">
        <v>66</v>
      </c>
      <c r="C724">
        <v>4012</v>
      </c>
      <c r="D724" s="9">
        <v>74.81</v>
      </c>
      <c r="E724" t="s">
        <v>57</v>
      </c>
    </row>
    <row r="725" spans="1:5">
      <c r="A725" t="s">
        <v>34</v>
      </c>
      <c r="B725" s="11" t="s">
        <v>66</v>
      </c>
      <c r="C725">
        <v>4018</v>
      </c>
      <c r="D725" s="9">
        <v>504.4</v>
      </c>
      <c r="E725" t="s">
        <v>57</v>
      </c>
    </row>
    <row r="726" spans="1:5">
      <c r="A726" t="s">
        <v>34</v>
      </c>
      <c r="B726" s="11" t="s">
        <v>66</v>
      </c>
      <c r="C726">
        <v>4022</v>
      </c>
      <c r="D726" s="9">
        <v>112.09</v>
      </c>
      <c r="E726" t="s">
        <v>57</v>
      </c>
    </row>
    <row r="727" spans="1:5">
      <c r="A727" t="s">
        <v>34</v>
      </c>
      <c r="B727" s="11" t="s">
        <v>66</v>
      </c>
      <c r="C727">
        <v>4023</v>
      </c>
      <c r="D727" s="9">
        <v>224.18</v>
      </c>
      <c r="E727" t="s">
        <v>57</v>
      </c>
    </row>
    <row r="728" spans="1:5">
      <c r="A728" t="s">
        <v>34</v>
      </c>
      <c r="B728" s="11" t="s">
        <v>67</v>
      </c>
      <c r="C728">
        <v>1001</v>
      </c>
      <c r="D728" s="9">
        <v>-10889.37</v>
      </c>
      <c r="E728" t="s">
        <v>57</v>
      </c>
    </row>
    <row r="729" spans="1:5">
      <c r="A729" t="s">
        <v>34</v>
      </c>
      <c r="B729" s="11" t="s">
        <v>67</v>
      </c>
      <c r="C729">
        <v>4011</v>
      </c>
      <c r="D729" s="9">
        <v>165.65</v>
      </c>
      <c r="E729" t="s">
        <v>57</v>
      </c>
    </row>
    <row r="730" spans="1:5">
      <c r="A730" t="s">
        <v>34</v>
      </c>
      <c r="B730" s="11" t="s">
        <v>67</v>
      </c>
      <c r="C730">
        <v>4012</v>
      </c>
      <c r="D730" s="9">
        <v>33.130000000000003</v>
      </c>
      <c r="E730" t="s">
        <v>57</v>
      </c>
    </row>
    <row r="731" spans="1:5">
      <c r="A731" t="s">
        <v>34</v>
      </c>
      <c r="B731" s="11" t="s">
        <v>67</v>
      </c>
      <c r="C731">
        <v>4018</v>
      </c>
      <c r="D731" s="9">
        <v>201.89</v>
      </c>
      <c r="E731" t="s">
        <v>57</v>
      </c>
    </row>
    <row r="732" spans="1:5">
      <c r="A732" t="s">
        <v>34</v>
      </c>
      <c r="B732" s="11" t="s">
        <v>67</v>
      </c>
      <c r="C732">
        <v>4022</v>
      </c>
      <c r="D732" s="9">
        <v>44.86</v>
      </c>
      <c r="E732" t="s">
        <v>57</v>
      </c>
    </row>
    <row r="733" spans="1:5">
      <c r="A733" t="s">
        <v>34</v>
      </c>
      <c r="B733" s="11" t="s">
        <v>67</v>
      </c>
      <c r="C733">
        <v>4023</v>
      </c>
      <c r="D733" s="9">
        <v>89.73</v>
      </c>
      <c r="E733" t="s">
        <v>57</v>
      </c>
    </row>
    <row r="734" spans="1:5">
      <c r="A734" t="s">
        <v>34</v>
      </c>
      <c r="B734" s="11" t="s">
        <v>76</v>
      </c>
      <c r="C734">
        <v>1001</v>
      </c>
      <c r="D734" s="9">
        <v>-8546.56</v>
      </c>
      <c r="E734" t="s">
        <v>57</v>
      </c>
    </row>
    <row r="735" spans="1:5">
      <c r="A735" t="s">
        <v>34</v>
      </c>
      <c r="B735" s="11" t="s">
        <v>76</v>
      </c>
      <c r="C735">
        <v>4011</v>
      </c>
      <c r="D735" s="9">
        <v>90.06</v>
      </c>
      <c r="E735" t="s">
        <v>57</v>
      </c>
    </row>
    <row r="736" spans="1:5">
      <c r="A736" t="s">
        <v>34</v>
      </c>
      <c r="B736" s="11" t="s">
        <v>76</v>
      </c>
      <c r="C736">
        <v>4012</v>
      </c>
      <c r="D736" s="9">
        <v>16.89</v>
      </c>
      <c r="E736" t="s">
        <v>57</v>
      </c>
    </row>
    <row r="737" spans="1:5">
      <c r="A737" t="s">
        <v>34</v>
      </c>
      <c r="B737" s="11" t="s">
        <v>76</v>
      </c>
      <c r="C737">
        <v>4018</v>
      </c>
      <c r="D737" s="9">
        <v>158.44999999999999</v>
      </c>
      <c r="E737" t="s">
        <v>57</v>
      </c>
    </row>
    <row r="738" spans="1:5">
      <c r="A738" t="s">
        <v>34</v>
      </c>
      <c r="B738" s="11" t="s">
        <v>76</v>
      </c>
      <c r="C738">
        <v>4022</v>
      </c>
      <c r="D738" s="9">
        <v>35.21</v>
      </c>
      <c r="E738" t="s">
        <v>57</v>
      </c>
    </row>
    <row r="739" spans="1:5">
      <c r="A739" t="s">
        <v>34</v>
      </c>
      <c r="B739" s="11" t="s">
        <v>76</v>
      </c>
      <c r="C739">
        <v>4023</v>
      </c>
      <c r="D739" s="9">
        <v>70.42</v>
      </c>
      <c r="E739" t="s">
        <v>57</v>
      </c>
    </row>
    <row r="740" spans="1:5">
      <c r="A740" t="s">
        <v>34</v>
      </c>
      <c r="B740" s="11" t="s">
        <v>68</v>
      </c>
      <c r="C740">
        <v>1001</v>
      </c>
      <c r="D740" s="9">
        <v>-14306.8</v>
      </c>
      <c r="E740" t="s">
        <v>58</v>
      </c>
    </row>
    <row r="741" spans="1:5">
      <c r="A741" t="s">
        <v>34</v>
      </c>
      <c r="B741" s="11" t="s">
        <v>68</v>
      </c>
      <c r="C741">
        <v>4011</v>
      </c>
      <c r="D741" s="9">
        <v>229.79</v>
      </c>
      <c r="E741" t="s">
        <v>58</v>
      </c>
    </row>
    <row r="742" spans="1:5">
      <c r="A742" t="s">
        <v>34</v>
      </c>
      <c r="B742" s="11" t="s">
        <v>68</v>
      </c>
      <c r="C742">
        <v>4012</v>
      </c>
      <c r="D742" s="9">
        <v>40.21</v>
      </c>
      <c r="E742" t="s">
        <v>58</v>
      </c>
    </row>
    <row r="743" spans="1:5">
      <c r="A743" t="s">
        <v>34</v>
      </c>
      <c r="B743" s="11" t="s">
        <v>68</v>
      </c>
      <c r="C743">
        <v>4018</v>
      </c>
      <c r="D743" s="9">
        <v>270.39999999999998</v>
      </c>
      <c r="E743" t="s">
        <v>58</v>
      </c>
    </row>
    <row r="744" spans="1:5">
      <c r="A744" t="s">
        <v>34</v>
      </c>
      <c r="B744" s="11" t="s">
        <v>68</v>
      </c>
      <c r="C744">
        <v>4022</v>
      </c>
      <c r="D744" s="9">
        <v>60.09</v>
      </c>
      <c r="E744" t="s">
        <v>58</v>
      </c>
    </row>
    <row r="745" spans="1:5">
      <c r="A745" t="s">
        <v>34</v>
      </c>
      <c r="B745" s="11" t="s">
        <v>68</v>
      </c>
      <c r="C745">
        <v>4023</v>
      </c>
      <c r="D745" s="9">
        <v>120.18</v>
      </c>
      <c r="E745" t="s">
        <v>58</v>
      </c>
    </row>
    <row r="746" spans="1:5">
      <c r="A746" t="s">
        <v>34</v>
      </c>
      <c r="B746" s="11" t="s">
        <v>69</v>
      </c>
      <c r="C746">
        <v>1001</v>
      </c>
      <c r="D746" s="9">
        <v>-13148.28</v>
      </c>
      <c r="E746" t="s">
        <v>58</v>
      </c>
    </row>
    <row r="747" spans="1:5">
      <c r="A747" t="s">
        <v>34</v>
      </c>
      <c r="B747" s="11" t="s">
        <v>69</v>
      </c>
      <c r="C747">
        <v>4011</v>
      </c>
      <c r="D747" s="9">
        <v>173.32</v>
      </c>
      <c r="E747" t="s">
        <v>58</v>
      </c>
    </row>
    <row r="748" spans="1:5">
      <c r="A748" t="s">
        <v>34</v>
      </c>
      <c r="B748" s="11" t="s">
        <v>69</v>
      </c>
      <c r="C748">
        <v>4012</v>
      </c>
      <c r="D748" s="9">
        <v>30.33</v>
      </c>
      <c r="E748" t="s">
        <v>58</v>
      </c>
    </row>
    <row r="749" spans="1:5">
      <c r="A749" t="s">
        <v>34</v>
      </c>
      <c r="B749" s="11" t="s">
        <v>69</v>
      </c>
      <c r="C749">
        <v>4018</v>
      </c>
      <c r="D749" s="9">
        <v>243.77</v>
      </c>
      <c r="E749" t="s">
        <v>58</v>
      </c>
    </row>
    <row r="750" spans="1:5">
      <c r="A750" t="s">
        <v>34</v>
      </c>
      <c r="B750" s="11" t="s">
        <v>69</v>
      </c>
      <c r="C750">
        <v>4022</v>
      </c>
      <c r="D750" s="9">
        <v>54.17</v>
      </c>
      <c r="E750" t="s">
        <v>58</v>
      </c>
    </row>
    <row r="751" spans="1:5">
      <c r="A751" t="s">
        <v>34</v>
      </c>
      <c r="B751" s="11" t="s">
        <v>69</v>
      </c>
      <c r="C751">
        <v>4023</v>
      </c>
      <c r="D751" s="9">
        <v>108.34</v>
      </c>
      <c r="E751" t="s">
        <v>58</v>
      </c>
    </row>
    <row r="752" spans="1:5">
      <c r="A752" t="s">
        <v>34</v>
      </c>
      <c r="B752" s="11" t="s">
        <v>77</v>
      </c>
      <c r="C752">
        <v>1001</v>
      </c>
      <c r="D752" s="9">
        <v>-16964.759999999998</v>
      </c>
      <c r="E752" t="s">
        <v>58</v>
      </c>
    </row>
    <row r="753" spans="1:5">
      <c r="A753" t="s">
        <v>34</v>
      </c>
      <c r="B753" s="11" t="s">
        <v>77</v>
      </c>
      <c r="C753">
        <v>4011</v>
      </c>
      <c r="D753" s="9">
        <v>362.22</v>
      </c>
      <c r="E753" t="s">
        <v>58</v>
      </c>
    </row>
    <row r="754" spans="1:5">
      <c r="A754" t="s">
        <v>34</v>
      </c>
      <c r="B754" s="11" t="s">
        <v>77</v>
      </c>
      <c r="C754">
        <v>4012</v>
      </c>
      <c r="D754" s="9">
        <v>72.44</v>
      </c>
      <c r="E754" t="s">
        <v>58</v>
      </c>
    </row>
    <row r="755" spans="1:5">
      <c r="A755" t="s">
        <v>34</v>
      </c>
      <c r="B755" s="11" t="s">
        <v>77</v>
      </c>
      <c r="C755">
        <v>4018</v>
      </c>
      <c r="D755" s="9">
        <v>314.52999999999997</v>
      </c>
      <c r="E755" t="s">
        <v>58</v>
      </c>
    </row>
    <row r="756" spans="1:5">
      <c r="A756" t="s">
        <v>34</v>
      </c>
      <c r="B756" s="11" t="s">
        <v>77</v>
      </c>
      <c r="C756">
        <v>4022</v>
      </c>
      <c r="D756" s="9">
        <v>69.89</v>
      </c>
      <c r="E756" t="s">
        <v>58</v>
      </c>
    </row>
    <row r="757" spans="1:5">
      <c r="A757" t="s">
        <v>34</v>
      </c>
      <c r="B757" s="11" t="s">
        <v>77</v>
      </c>
      <c r="C757">
        <v>4023</v>
      </c>
      <c r="D757" s="9">
        <v>139.79</v>
      </c>
      <c r="E757" t="s">
        <v>58</v>
      </c>
    </row>
    <row r="758" spans="1:5">
      <c r="A758" t="s">
        <v>34</v>
      </c>
      <c r="B758" s="11" t="s">
        <v>70</v>
      </c>
      <c r="C758">
        <v>1001</v>
      </c>
      <c r="D758" s="9">
        <v>-16232.89</v>
      </c>
      <c r="E758" t="s">
        <v>59</v>
      </c>
    </row>
    <row r="759" spans="1:5">
      <c r="A759" t="s">
        <v>34</v>
      </c>
      <c r="B759" s="11" t="s">
        <v>70</v>
      </c>
      <c r="C759">
        <v>4011</v>
      </c>
      <c r="D759" s="9">
        <v>288.10000000000002</v>
      </c>
      <c r="E759" t="s">
        <v>59</v>
      </c>
    </row>
    <row r="760" spans="1:5">
      <c r="A760" t="s">
        <v>34</v>
      </c>
      <c r="B760" s="11" t="s">
        <v>70</v>
      </c>
      <c r="C760">
        <v>4012</v>
      </c>
      <c r="D760" s="9">
        <v>57.62</v>
      </c>
      <c r="E760" t="s">
        <v>59</v>
      </c>
    </row>
    <row r="761" spans="1:5">
      <c r="A761" t="s">
        <v>34</v>
      </c>
      <c r="B761" s="11" t="s">
        <v>70</v>
      </c>
      <c r="C761">
        <v>4018</v>
      </c>
      <c r="D761" s="9">
        <v>334.4</v>
      </c>
      <c r="E761" t="s">
        <v>59</v>
      </c>
    </row>
    <row r="762" spans="1:5">
      <c r="A762" t="s">
        <v>34</v>
      </c>
      <c r="B762" s="11" t="s">
        <v>70</v>
      </c>
      <c r="C762">
        <v>4022</v>
      </c>
      <c r="D762" s="9">
        <v>66.88</v>
      </c>
      <c r="E762" t="s">
        <v>59</v>
      </c>
    </row>
    <row r="763" spans="1:5">
      <c r="A763" t="s">
        <v>34</v>
      </c>
      <c r="B763" s="11" t="s">
        <v>70</v>
      </c>
      <c r="C763">
        <v>4023</v>
      </c>
      <c r="D763" s="9">
        <v>133.76</v>
      </c>
      <c r="E763" t="s">
        <v>59</v>
      </c>
    </row>
    <row r="764" spans="1:5">
      <c r="A764" t="s">
        <v>34</v>
      </c>
      <c r="B764" s="11" t="s">
        <v>71</v>
      </c>
      <c r="C764">
        <v>1001</v>
      </c>
      <c r="D764" s="9">
        <v>-20389.900000000001</v>
      </c>
      <c r="E764" t="s">
        <v>59</v>
      </c>
    </row>
    <row r="765" spans="1:5">
      <c r="A765" t="s">
        <v>34</v>
      </c>
      <c r="B765" s="11" t="s">
        <v>71</v>
      </c>
      <c r="C765">
        <v>4011</v>
      </c>
      <c r="D765" s="9">
        <v>413.05</v>
      </c>
      <c r="E765" t="s">
        <v>59</v>
      </c>
    </row>
    <row r="766" spans="1:5">
      <c r="A766" t="s">
        <v>34</v>
      </c>
      <c r="B766" s="11" t="s">
        <v>71</v>
      </c>
      <c r="C766">
        <v>4012</v>
      </c>
      <c r="D766" s="9">
        <v>82.61</v>
      </c>
      <c r="E766" t="s">
        <v>59</v>
      </c>
    </row>
    <row r="767" spans="1:5">
      <c r="A767" t="s">
        <v>34</v>
      </c>
      <c r="B767" s="11" t="s">
        <v>71</v>
      </c>
      <c r="C767">
        <v>4018</v>
      </c>
      <c r="D767" s="9">
        <v>378.03</v>
      </c>
      <c r="E767" t="s">
        <v>59</v>
      </c>
    </row>
    <row r="768" spans="1:5">
      <c r="A768" t="s">
        <v>34</v>
      </c>
      <c r="B768" s="11" t="s">
        <v>71</v>
      </c>
      <c r="C768">
        <v>4022</v>
      </c>
      <c r="D768" s="9">
        <v>84.01</v>
      </c>
      <c r="E768" t="s">
        <v>59</v>
      </c>
    </row>
    <row r="769" spans="1:5">
      <c r="A769" t="s">
        <v>34</v>
      </c>
      <c r="B769" s="11" t="s">
        <v>71</v>
      </c>
      <c r="C769">
        <v>4023</v>
      </c>
      <c r="D769" s="9">
        <v>168.01</v>
      </c>
      <c r="E769" t="s">
        <v>59</v>
      </c>
    </row>
    <row r="770" spans="1:5">
      <c r="A770" t="s">
        <v>34</v>
      </c>
      <c r="B770" s="11" t="s">
        <v>72</v>
      </c>
      <c r="C770">
        <v>1001</v>
      </c>
      <c r="D770" s="9">
        <v>-20392</v>
      </c>
      <c r="E770" t="s">
        <v>59</v>
      </c>
    </row>
    <row r="771" spans="1:5">
      <c r="A771" t="s">
        <v>34</v>
      </c>
      <c r="B771" s="11" t="s">
        <v>72</v>
      </c>
      <c r="C771">
        <v>4011</v>
      </c>
      <c r="D771" s="9">
        <v>421.06</v>
      </c>
      <c r="E771" t="s">
        <v>59</v>
      </c>
    </row>
    <row r="772" spans="1:5">
      <c r="A772" t="s">
        <v>34</v>
      </c>
      <c r="B772" s="11" t="s">
        <v>72</v>
      </c>
      <c r="C772">
        <v>4012</v>
      </c>
      <c r="D772" s="9">
        <v>84.21</v>
      </c>
      <c r="E772" t="s">
        <v>59</v>
      </c>
    </row>
    <row r="773" spans="1:5">
      <c r="A773" t="s">
        <v>34</v>
      </c>
      <c r="B773" s="11" t="s">
        <v>72</v>
      </c>
      <c r="C773">
        <v>4018</v>
      </c>
      <c r="D773" s="9">
        <v>840.15</v>
      </c>
      <c r="E773" t="s">
        <v>59</v>
      </c>
    </row>
    <row r="774" spans="1:5">
      <c r="A774" t="s">
        <v>34</v>
      </c>
      <c r="B774" s="11" t="s">
        <v>72</v>
      </c>
      <c r="C774">
        <v>4022</v>
      </c>
      <c r="D774" s="9">
        <v>84.02</v>
      </c>
      <c r="E774" t="s">
        <v>59</v>
      </c>
    </row>
    <row r="775" spans="1:5">
      <c r="A775" t="s">
        <v>34</v>
      </c>
      <c r="B775" s="11" t="s">
        <v>72</v>
      </c>
      <c r="C775">
        <v>4023</v>
      </c>
      <c r="D775" s="9">
        <v>168.03</v>
      </c>
      <c r="E775" t="s">
        <v>59</v>
      </c>
    </row>
    <row r="776" spans="1:5">
      <c r="A776" t="s">
        <v>34</v>
      </c>
      <c r="B776" s="11" t="s">
        <v>78</v>
      </c>
      <c r="C776">
        <v>1001</v>
      </c>
      <c r="D776" s="9">
        <v>-15618.13</v>
      </c>
      <c r="E776" t="s">
        <v>59</v>
      </c>
    </row>
    <row r="777" spans="1:5">
      <c r="A777" t="s">
        <v>34</v>
      </c>
      <c r="B777" s="11" t="s">
        <v>78</v>
      </c>
      <c r="C777">
        <v>4011</v>
      </c>
      <c r="D777" s="9">
        <v>213.72</v>
      </c>
      <c r="E777" t="s">
        <v>59</v>
      </c>
    </row>
    <row r="778" spans="1:5">
      <c r="A778" t="s">
        <v>34</v>
      </c>
      <c r="B778" s="11" t="s">
        <v>78</v>
      </c>
      <c r="C778">
        <v>4012</v>
      </c>
      <c r="D778" s="9">
        <v>42.74</v>
      </c>
      <c r="E778" t="s">
        <v>59</v>
      </c>
    </row>
    <row r="779" spans="1:5">
      <c r="A779" t="s">
        <v>34</v>
      </c>
      <c r="B779" s="11" t="s">
        <v>78</v>
      </c>
      <c r="C779">
        <v>4018</v>
      </c>
      <c r="D779" s="9">
        <v>819.95</v>
      </c>
      <c r="E779" t="s">
        <v>59</v>
      </c>
    </row>
    <row r="780" spans="1:5">
      <c r="A780" t="s">
        <v>34</v>
      </c>
      <c r="B780" s="11" t="s">
        <v>78</v>
      </c>
      <c r="C780">
        <v>4022</v>
      </c>
      <c r="D780" s="9">
        <v>58.12</v>
      </c>
      <c r="E780" t="s">
        <v>59</v>
      </c>
    </row>
    <row r="781" spans="1:5">
      <c r="A781" t="s">
        <v>34</v>
      </c>
      <c r="B781" s="11" t="s">
        <v>78</v>
      </c>
      <c r="C781">
        <v>4023</v>
      </c>
      <c r="D781" s="9">
        <v>131.19</v>
      </c>
      <c r="E781" t="s">
        <v>59</v>
      </c>
    </row>
    <row r="782" spans="1:5">
      <c r="A782" t="s">
        <v>34</v>
      </c>
      <c r="B782" s="11" t="s">
        <v>73</v>
      </c>
      <c r="C782">
        <v>1001</v>
      </c>
      <c r="D782" s="9">
        <v>-17762.330000000002</v>
      </c>
      <c r="E782" t="s">
        <v>60</v>
      </c>
    </row>
    <row r="783" spans="1:5">
      <c r="A783" t="s">
        <v>34</v>
      </c>
      <c r="B783" s="11" t="s">
        <v>73</v>
      </c>
      <c r="C783">
        <v>4011</v>
      </c>
      <c r="D783" s="9">
        <v>377.3</v>
      </c>
      <c r="E783" t="s">
        <v>60</v>
      </c>
    </row>
    <row r="784" spans="1:5">
      <c r="A784" t="s">
        <v>34</v>
      </c>
      <c r="B784" s="11" t="s">
        <v>73</v>
      </c>
      <c r="C784">
        <v>4012</v>
      </c>
      <c r="D784" s="9">
        <v>75.459999999999994</v>
      </c>
      <c r="E784" t="s">
        <v>60</v>
      </c>
    </row>
    <row r="785" spans="1:5">
      <c r="A785" t="s">
        <v>34</v>
      </c>
      <c r="B785" s="11" t="s">
        <v>73</v>
      </c>
      <c r="C785">
        <v>4018</v>
      </c>
      <c r="D785" s="9">
        <v>335.71</v>
      </c>
      <c r="E785" t="s">
        <v>60</v>
      </c>
    </row>
    <row r="786" spans="1:5">
      <c r="A786" t="s">
        <v>34</v>
      </c>
      <c r="B786" s="11" t="s">
        <v>73</v>
      </c>
      <c r="C786">
        <v>4022</v>
      </c>
      <c r="D786" s="9">
        <v>74.599999999999994</v>
      </c>
      <c r="E786" t="s">
        <v>60</v>
      </c>
    </row>
    <row r="787" spans="1:5">
      <c r="A787" t="s">
        <v>34</v>
      </c>
      <c r="B787" s="11" t="s">
        <v>73</v>
      </c>
      <c r="C787">
        <v>4023</v>
      </c>
      <c r="D787" s="9">
        <v>149.19999999999999</v>
      </c>
      <c r="E787" t="s">
        <v>60</v>
      </c>
    </row>
    <row r="788" spans="1:5">
      <c r="A788" t="s">
        <v>34</v>
      </c>
      <c r="B788" s="11" t="s">
        <v>74</v>
      </c>
      <c r="C788">
        <v>1001</v>
      </c>
      <c r="D788" s="9">
        <v>-17848.560000000001</v>
      </c>
      <c r="E788" t="s">
        <v>60</v>
      </c>
    </row>
    <row r="789" spans="1:5">
      <c r="A789" t="s">
        <v>34</v>
      </c>
      <c r="B789" s="11" t="s">
        <v>74</v>
      </c>
      <c r="C789">
        <v>4011</v>
      </c>
      <c r="D789" s="9">
        <v>456.34</v>
      </c>
      <c r="E789" t="s">
        <v>60</v>
      </c>
    </row>
    <row r="790" spans="1:5">
      <c r="A790" t="s">
        <v>34</v>
      </c>
      <c r="B790" s="11" t="s">
        <v>74</v>
      </c>
      <c r="C790">
        <v>4012</v>
      </c>
      <c r="D790" s="9">
        <v>91.27</v>
      </c>
      <c r="E790" t="s">
        <v>60</v>
      </c>
    </row>
    <row r="791" spans="1:5">
      <c r="A791" t="s">
        <v>34</v>
      </c>
      <c r="B791" s="11" t="s">
        <v>74</v>
      </c>
      <c r="C791">
        <v>4018</v>
      </c>
      <c r="D791" s="9">
        <v>353.4</v>
      </c>
      <c r="E791" t="s">
        <v>60</v>
      </c>
    </row>
    <row r="792" spans="1:5">
      <c r="A792" t="s">
        <v>34</v>
      </c>
      <c r="B792" s="11" t="s">
        <v>74</v>
      </c>
      <c r="C792">
        <v>4022</v>
      </c>
      <c r="D792" s="9">
        <v>78.53</v>
      </c>
      <c r="E792" t="s">
        <v>60</v>
      </c>
    </row>
    <row r="793" spans="1:5">
      <c r="A793" t="s">
        <v>34</v>
      </c>
      <c r="B793" s="11" t="s">
        <v>74</v>
      </c>
      <c r="C793">
        <v>4023</v>
      </c>
      <c r="D793" s="9">
        <v>157.07</v>
      </c>
      <c r="E793" t="s">
        <v>60</v>
      </c>
    </row>
    <row r="794" spans="1:5">
      <c r="A794" t="s">
        <v>35</v>
      </c>
      <c r="B794" s="11" t="s">
        <v>61</v>
      </c>
      <c r="C794">
        <v>1001</v>
      </c>
      <c r="D794" s="9">
        <v>-15327.57</v>
      </c>
      <c r="E794" t="s">
        <v>56</v>
      </c>
    </row>
    <row r="795" spans="1:5">
      <c r="A795" t="s">
        <v>35</v>
      </c>
      <c r="B795" s="11" t="s">
        <v>61</v>
      </c>
      <c r="C795">
        <v>4011</v>
      </c>
      <c r="D795" s="9">
        <v>215.19</v>
      </c>
      <c r="E795" t="s">
        <v>56</v>
      </c>
    </row>
    <row r="796" spans="1:5">
      <c r="A796" t="s">
        <v>35</v>
      </c>
      <c r="B796" s="11" t="s">
        <v>61</v>
      </c>
      <c r="C796">
        <v>4012</v>
      </c>
      <c r="D796" s="9">
        <v>37.659999999999997</v>
      </c>
      <c r="E796" t="s">
        <v>56</v>
      </c>
    </row>
    <row r="797" spans="1:5">
      <c r="A797" t="s">
        <v>35</v>
      </c>
      <c r="B797" s="11" t="s">
        <v>61</v>
      </c>
      <c r="C797">
        <v>4018</v>
      </c>
      <c r="D797" s="9">
        <v>284.17</v>
      </c>
      <c r="E797" t="s">
        <v>56</v>
      </c>
    </row>
    <row r="798" spans="1:5">
      <c r="A798" t="s">
        <v>35</v>
      </c>
      <c r="B798" s="11" t="s">
        <v>61</v>
      </c>
      <c r="C798">
        <v>4022</v>
      </c>
      <c r="D798" s="9">
        <v>63.15</v>
      </c>
      <c r="E798" t="s">
        <v>56</v>
      </c>
    </row>
    <row r="799" spans="1:5">
      <c r="A799" t="s">
        <v>35</v>
      </c>
      <c r="B799" s="11" t="s">
        <v>61</v>
      </c>
      <c r="C799">
        <v>4023</v>
      </c>
      <c r="D799" s="9">
        <v>126.3</v>
      </c>
      <c r="E799" t="s">
        <v>56</v>
      </c>
    </row>
    <row r="800" spans="1:5">
      <c r="A800" t="s">
        <v>35</v>
      </c>
      <c r="B800" s="11" t="s">
        <v>62</v>
      </c>
      <c r="C800">
        <v>1001</v>
      </c>
      <c r="D800" s="9">
        <v>-13131.92</v>
      </c>
      <c r="E800" t="s">
        <v>56</v>
      </c>
    </row>
    <row r="801" spans="1:5">
      <c r="A801" t="s">
        <v>35</v>
      </c>
      <c r="B801" s="11" t="s">
        <v>62</v>
      </c>
      <c r="C801">
        <v>4011</v>
      </c>
      <c r="D801" s="9">
        <v>177.86</v>
      </c>
      <c r="E801" t="s">
        <v>56</v>
      </c>
    </row>
    <row r="802" spans="1:5">
      <c r="A802" t="s">
        <v>35</v>
      </c>
      <c r="B802" s="11" t="s">
        <v>62</v>
      </c>
      <c r="C802">
        <v>4012</v>
      </c>
      <c r="D802" s="9">
        <v>31.13</v>
      </c>
      <c r="E802" t="s">
        <v>56</v>
      </c>
    </row>
    <row r="803" spans="1:5">
      <c r="A803" t="s">
        <v>35</v>
      </c>
      <c r="B803" s="11" t="s">
        <v>62</v>
      </c>
      <c r="C803">
        <v>4018</v>
      </c>
      <c r="D803" s="9">
        <v>190.32</v>
      </c>
      <c r="E803" t="s">
        <v>56</v>
      </c>
    </row>
    <row r="804" spans="1:5">
      <c r="A804" t="s">
        <v>35</v>
      </c>
      <c r="B804" s="11" t="s">
        <v>62</v>
      </c>
      <c r="C804">
        <v>4022</v>
      </c>
      <c r="D804" s="9">
        <v>42.29</v>
      </c>
      <c r="E804" t="s">
        <v>56</v>
      </c>
    </row>
    <row r="805" spans="1:5">
      <c r="A805" t="s">
        <v>35</v>
      </c>
      <c r="B805" s="11" t="s">
        <v>62</v>
      </c>
      <c r="C805">
        <v>4023</v>
      </c>
      <c r="D805" s="9">
        <v>84.58</v>
      </c>
      <c r="E805" t="s">
        <v>56</v>
      </c>
    </row>
    <row r="806" spans="1:5">
      <c r="A806" t="s">
        <v>35</v>
      </c>
      <c r="B806" s="11" t="s">
        <v>63</v>
      </c>
      <c r="C806">
        <v>1001</v>
      </c>
      <c r="D806" s="9">
        <v>-17480.75</v>
      </c>
      <c r="E806" t="s">
        <v>56</v>
      </c>
    </row>
    <row r="807" spans="1:5">
      <c r="A807" t="s">
        <v>35</v>
      </c>
      <c r="B807" s="11" t="s">
        <v>63</v>
      </c>
      <c r="C807">
        <v>4011</v>
      </c>
      <c r="D807" s="9">
        <v>308.14</v>
      </c>
      <c r="E807" t="s">
        <v>56</v>
      </c>
    </row>
    <row r="808" spans="1:5">
      <c r="A808" t="s">
        <v>35</v>
      </c>
      <c r="B808" s="11" t="s">
        <v>63</v>
      </c>
      <c r="C808">
        <v>4012</v>
      </c>
      <c r="D808" s="9">
        <v>61.63</v>
      </c>
      <c r="E808" t="s">
        <v>56</v>
      </c>
    </row>
    <row r="809" spans="1:5">
      <c r="A809" t="s">
        <v>35</v>
      </c>
      <c r="B809" s="11" t="s">
        <v>63</v>
      </c>
      <c r="C809">
        <v>4018</v>
      </c>
      <c r="D809" s="9">
        <v>324.08999999999997</v>
      </c>
      <c r="E809" t="s">
        <v>56</v>
      </c>
    </row>
    <row r="810" spans="1:5">
      <c r="A810" t="s">
        <v>35</v>
      </c>
      <c r="B810" s="11" t="s">
        <v>63</v>
      </c>
      <c r="C810">
        <v>4022</v>
      </c>
      <c r="D810" s="9">
        <v>72.02</v>
      </c>
      <c r="E810" t="s">
        <v>56</v>
      </c>
    </row>
    <row r="811" spans="1:5">
      <c r="A811" t="s">
        <v>35</v>
      </c>
      <c r="B811" s="11" t="s">
        <v>63</v>
      </c>
      <c r="C811">
        <v>4023</v>
      </c>
      <c r="D811" s="9">
        <v>144.04</v>
      </c>
      <c r="E811" t="s">
        <v>56</v>
      </c>
    </row>
    <row r="812" spans="1:5">
      <c r="A812" t="s">
        <v>35</v>
      </c>
      <c r="B812" s="11" t="s">
        <v>75</v>
      </c>
      <c r="C812">
        <v>1001</v>
      </c>
      <c r="D812" s="9">
        <v>-12612.95</v>
      </c>
      <c r="E812" t="s">
        <v>56</v>
      </c>
    </row>
    <row r="813" spans="1:5">
      <c r="A813" t="s">
        <v>35</v>
      </c>
      <c r="B813" s="11" t="s">
        <v>75</v>
      </c>
      <c r="C813">
        <v>4011</v>
      </c>
      <c r="D813" s="9">
        <v>285.35000000000002</v>
      </c>
      <c r="E813" t="s">
        <v>56</v>
      </c>
    </row>
    <row r="814" spans="1:5">
      <c r="A814" t="s">
        <v>35</v>
      </c>
      <c r="B814" s="11" t="s">
        <v>75</v>
      </c>
      <c r="C814">
        <v>4012</v>
      </c>
      <c r="D814" s="9">
        <v>57.07</v>
      </c>
      <c r="E814" t="s">
        <v>56</v>
      </c>
    </row>
    <row r="815" spans="1:5">
      <c r="A815" t="s">
        <v>35</v>
      </c>
      <c r="B815" s="11" t="s">
        <v>75</v>
      </c>
      <c r="C815">
        <v>4018</v>
      </c>
      <c r="D815" s="9">
        <v>342.57</v>
      </c>
      <c r="E815" t="s">
        <v>56</v>
      </c>
    </row>
    <row r="816" spans="1:5">
      <c r="A816" t="s">
        <v>35</v>
      </c>
      <c r="B816" s="11" t="s">
        <v>75</v>
      </c>
      <c r="C816">
        <v>4022</v>
      </c>
      <c r="D816" s="9">
        <v>76.13</v>
      </c>
      <c r="E816" t="s">
        <v>56</v>
      </c>
    </row>
    <row r="817" spans="1:5">
      <c r="A817" t="s">
        <v>35</v>
      </c>
      <c r="B817" s="11" t="s">
        <v>75</v>
      </c>
      <c r="C817">
        <v>4023</v>
      </c>
      <c r="D817" s="9">
        <v>152.25</v>
      </c>
      <c r="E817" t="s">
        <v>56</v>
      </c>
    </row>
    <row r="818" spans="1:5">
      <c r="A818" t="s">
        <v>35</v>
      </c>
      <c r="B818" s="11" t="s">
        <v>64</v>
      </c>
      <c r="C818">
        <v>1001</v>
      </c>
      <c r="D818" s="9">
        <v>-16810.830000000002</v>
      </c>
      <c r="E818" t="s">
        <v>57</v>
      </c>
    </row>
    <row r="819" spans="1:5">
      <c r="A819" t="s">
        <v>35</v>
      </c>
      <c r="B819" s="11" t="s">
        <v>64</v>
      </c>
      <c r="C819">
        <v>4011</v>
      </c>
      <c r="D819" s="9">
        <v>311.72000000000003</v>
      </c>
      <c r="E819" t="s">
        <v>57</v>
      </c>
    </row>
    <row r="820" spans="1:5">
      <c r="A820" t="s">
        <v>35</v>
      </c>
      <c r="B820" s="11" t="s">
        <v>64</v>
      </c>
      <c r="C820">
        <v>4012</v>
      </c>
      <c r="D820" s="9">
        <v>62.34</v>
      </c>
      <c r="E820" t="s">
        <v>57</v>
      </c>
    </row>
    <row r="821" spans="1:5">
      <c r="A821" t="s">
        <v>35</v>
      </c>
      <c r="B821" s="11" t="s">
        <v>64</v>
      </c>
      <c r="C821">
        <v>4018</v>
      </c>
      <c r="D821" s="9">
        <v>311.67</v>
      </c>
      <c r="E821" t="s">
        <v>57</v>
      </c>
    </row>
    <row r="822" spans="1:5">
      <c r="A822" t="s">
        <v>35</v>
      </c>
      <c r="B822" s="11" t="s">
        <v>64</v>
      </c>
      <c r="C822">
        <v>4022</v>
      </c>
      <c r="D822" s="9">
        <v>69.260000000000005</v>
      </c>
      <c r="E822" t="s">
        <v>57</v>
      </c>
    </row>
    <row r="823" spans="1:5">
      <c r="A823" t="s">
        <v>35</v>
      </c>
      <c r="B823" s="11" t="s">
        <v>64</v>
      </c>
      <c r="C823">
        <v>4023</v>
      </c>
      <c r="D823" s="9">
        <v>138.52000000000001</v>
      </c>
      <c r="E823" t="s">
        <v>57</v>
      </c>
    </row>
    <row r="824" spans="1:5">
      <c r="A824" t="s">
        <v>35</v>
      </c>
      <c r="B824" s="11" t="s">
        <v>65</v>
      </c>
      <c r="C824">
        <v>1001</v>
      </c>
      <c r="D824" s="9">
        <v>-13312.89</v>
      </c>
      <c r="E824" t="s">
        <v>57</v>
      </c>
    </row>
    <row r="825" spans="1:5">
      <c r="A825" t="s">
        <v>35</v>
      </c>
      <c r="B825" s="11" t="s">
        <v>65</v>
      </c>
      <c r="C825">
        <v>4011</v>
      </c>
      <c r="D825" s="9">
        <v>270.35000000000002</v>
      </c>
      <c r="E825" t="s">
        <v>57</v>
      </c>
    </row>
    <row r="826" spans="1:5">
      <c r="A826" t="s">
        <v>35</v>
      </c>
      <c r="B826" s="11" t="s">
        <v>65</v>
      </c>
      <c r="C826">
        <v>4012</v>
      </c>
      <c r="D826" s="9">
        <v>54.07</v>
      </c>
      <c r="E826" t="s">
        <v>57</v>
      </c>
    </row>
    <row r="827" spans="1:5">
      <c r="A827" t="s">
        <v>35</v>
      </c>
      <c r="B827" s="11" t="s">
        <v>65</v>
      </c>
      <c r="C827">
        <v>4018</v>
      </c>
      <c r="D827" s="9">
        <v>263.60000000000002</v>
      </c>
      <c r="E827" t="s">
        <v>57</v>
      </c>
    </row>
    <row r="828" spans="1:5">
      <c r="A828" t="s">
        <v>35</v>
      </c>
      <c r="B828" s="11" t="s">
        <v>65</v>
      </c>
      <c r="C828">
        <v>4022</v>
      </c>
      <c r="D828" s="9">
        <v>58.58</v>
      </c>
      <c r="E828" t="s">
        <v>57</v>
      </c>
    </row>
    <row r="829" spans="1:5">
      <c r="A829" t="s">
        <v>35</v>
      </c>
      <c r="B829" s="11" t="s">
        <v>65</v>
      </c>
      <c r="C829">
        <v>4023</v>
      </c>
      <c r="D829" s="9">
        <v>117.15</v>
      </c>
      <c r="E829" t="s">
        <v>57</v>
      </c>
    </row>
    <row r="830" spans="1:5">
      <c r="A830" t="s">
        <v>35</v>
      </c>
      <c r="B830" s="11" t="s">
        <v>66</v>
      </c>
      <c r="C830">
        <v>1001</v>
      </c>
      <c r="D830" s="9">
        <v>-27415.66</v>
      </c>
      <c r="E830" t="s">
        <v>57</v>
      </c>
    </row>
    <row r="831" spans="1:5">
      <c r="A831" t="s">
        <v>35</v>
      </c>
      <c r="B831" s="11" t="s">
        <v>66</v>
      </c>
      <c r="C831">
        <v>4011</v>
      </c>
      <c r="D831" s="9">
        <v>372.57</v>
      </c>
      <c r="E831" t="s">
        <v>57</v>
      </c>
    </row>
    <row r="832" spans="1:5">
      <c r="A832" t="s">
        <v>35</v>
      </c>
      <c r="B832" s="11" t="s">
        <v>66</v>
      </c>
      <c r="C832">
        <v>4012</v>
      </c>
      <c r="D832" s="9">
        <v>74.510000000000005</v>
      </c>
      <c r="E832" t="s">
        <v>57</v>
      </c>
    </row>
    <row r="833" spans="1:5">
      <c r="A833" t="s">
        <v>35</v>
      </c>
      <c r="B833" s="11" t="s">
        <v>66</v>
      </c>
      <c r="C833">
        <v>4018</v>
      </c>
      <c r="D833" s="9">
        <v>508.29</v>
      </c>
      <c r="E833" t="s">
        <v>57</v>
      </c>
    </row>
    <row r="834" spans="1:5">
      <c r="A834" t="s">
        <v>35</v>
      </c>
      <c r="B834" s="11" t="s">
        <v>66</v>
      </c>
      <c r="C834">
        <v>4022</v>
      </c>
      <c r="D834" s="9">
        <v>112.95</v>
      </c>
      <c r="E834" t="s">
        <v>57</v>
      </c>
    </row>
    <row r="835" spans="1:5">
      <c r="A835" t="s">
        <v>35</v>
      </c>
      <c r="B835" s="11" t="s">
        <v>66</v>
      </c>
      <c r="C835">
        <v>4023</v>
      </c>
      <c r="D835" s="9">
        <v>225.91</v>
      </c>
      <c r="E835" t="s">
        <v>57</v>
      </c>
    </row>
    <row r="836" spans="1:5">
      <c r="A836" t="s">
        <v>35</v>
      </c>
      <c r="B836" s="11" t="s">
        <v>67</v>
      </c>
      <c r="C836">
        <v>1001</v>
      </c>
      <c r="D836" s="9">
        <v>-11155.14</v>
      </c>
      <c r="E836" t="s">
        <v>57</v>
      </c>
    </row>
    <row r="837" spans="1:5">
      <c r="A837" t="s">
        <v>35</v>
      </c>
      <c r="B837" s="11" t="s">
        <v>67</v>
      </c>
      <c r="C837">
        <v>4011</v>
      </c>
      <c r="D837" s="9">
        <v>176.88</v>
      </c>
      <c r="E837" t="s">
        <v>57</v>
      </c>
    </row>
    <row r="838" spans="1:5">
      <c r="A838" t="s">
        <v>35</v>
      </c>
      <c r="B838" s="11" t="s">
        <v>67</v>
      </c>
      <c r="C838">
        <v>4012</v>
      </c>
      <c r="D838" s="9">
        <v>35.380000000000003</v>
      </c>
      <c r="E838" t="s">
        <v>57</v>
      </c>
    </row>
    <row r="839" spans="1:5">
      <c r="A839" t="s">
        <v>35</v>
      </c>
      <c r="B839" s="11" t="s">
        <v>67</v>
      </c>
      <c r="C839">
        <v>4018</v>
      </c>
      <c r="D839" s="9">
        <v>206.82</v>
      </c>
      <c r="E839" t="s">
        <v>57</v>
      </c>
    </row>
    <row r="840" spans="1:5">
      <c r="A840" t="s">
        <v>35</v>
      </c>
      <c r="B840" s="11" t="s">
        <v>67</v>
      </c>
      <c r="C840">
        <v>4022</v>
      </c>
      <c r="D840" s="9">
        <v>45.96</v>
      </c>
      <c r="E840" t="s">
        <v>57</v>
      </c>
    </row>
    <row r="841" spans="1:5">
      <c r="A841" t="s">
        <v>35</v>
      </c>
      <c r="B841" s="11" t="s">
        <v>67</v>
      </c>
      <c r="C841">
        <v>4023</v>
      </c>
      <c r="D841" s="9">
        <v>91.92</v>
      </c>
      <c r="E841" t="s">
        <v>57</v>
      </c>
    </row>
    <row r="842" spans="1:5">
      <c r="A842" t="s">
        <v>35</v>
      </c>
      <c r="B842" s="11" t="s">
        <v>76</v>
      </c>
      <c r="C842">
        <v>1001</v>
      </c>
      <c r="D842" s="9">
        <v>-8611.3700000000008</v>
      </c>
      <c r="E842" t="s">
        <v>57</v>
      </c>
    </row>
    <row r="843" spans="1:5">
      <c r="A843" t="s">
        <v>35</v>
      </c>
      <c r="B843" s="11" t="s">
        <v>76</v>
      </c>
      <c r="C843">
        <v>4011</v>
      </c>
      <c r="D843" s="9">
        <v>89.01</v>
      </c>
      <c r="E843" t="s">
        <v>57</v>
      </c>
    </row>
    <row r="844" spans="1:5">
      <c r="A844" t="s">
        <v>35</v>
      </c>
      <c r="B844" s="11" t="s">
        <v>76</v>
      </c>
      <c r="C844">
        <v>4012</v>
      </c>
      <c r="D844" s="9">
        <v>16.690000000000001</v>
      </c>
      <c r="E844" t="s">
        <v>57</v>
      </c>
    </row>
    <row r="845" spans="1:5">
      <c r="A845" t="s">
        <v>35</v>
      </c>
      <c r="B845" s="11" t="s">
        <v>76</v>
      </c>
      <c r="C845">
        <v>4018</v>
      </c>
      <c r="D845" s="9">
        <v>159.65</v>
      </c>
      <c r="E845" t="s">
        <v>57</v>
      </c>
    </row>
    <row r="846" spans="1:5">
      <c r="A846" t="s">
        <v>35</v>
      </c>
      <c r="B846" s="11" t="s">
        <v>76</v>
      </c>
      <c r="C846">
        <v>4022</v>
      </c>
      <c r="D846" s="9">
        <v>35.479999999999997</v>
      </c>
      <c r="E846" t="s">
        <v>57</v>
      </c>
    </row>
    <row r="847" spans="1:5">
      <c r="A847" t="s">
        <v>35</v>
      </c>
      <c r="B847" s="11" t="s">
        <v>76</v>
      </c>
      <c r="C847">
        <v>4023</v>
      </c>
      <c r="D847" s="9">
        <v>70.959999999999994</v>
      </c>
      <c r="E847" t="s">
        <v>57</v>
      </c>
    </row>
    <row r="848" spans="1:5">
      <c r="A848" t="s">
        <v>35</v>
      </c>
      <c r="B848" s="11" t="s">
        <v>68</v>
      </c>
      <c r="C848">
        <v>1001</v>
      </c>
      <c r="D848" s="9">
        <v>-14791.17</v>
      </c>
      <c r="E848" t="s">
        <v>58</v>
      </c>
    </row>
    <row r="849" spans="1:5">
      <c r="A849" t="s">
        <v>35</v>
      </c>
      <c r="B849" s="11" t="s">
        <v>68</v>
      </c>
      <c r="C849">
        <v>4011</v>
      </c>
      <c r="D849" s="9">
        <v>232.67</v>
      </c>
      <c r="E849" t="s">
        <v>58</v>
      </c>
    </row>
    <row r="850" spans="1:5">
      <c r="A850" t="s">
        <v>35</v>
      </c>
      <c r="B850" s="11" t="s">
        <v>68</v>
      </c>
      <c r="C850">
        <v>4012</v>
      </c>
      <c r="D850" s="9">
        <v>40.72</v>
      </c>
      <c r="E850" t="s">
        <v>58</v>
      </c>
    </row>
    <row r="851" spans="1:5">
      <c r="A851" t="s">
        <v>35</v>
      </c>
      <c r="B851" s="11" t="s">
        <v>68</v>
      </c>
      <c r="C851">
        <v>4018</v>
      </c>
      <c r="D851" s="9">
        <v>264.95</v>
      </c>
      <c r="E851" t="s">
        <v>58</v>
      </c>
    </row>
    <row r="852" spans="1:5">
      <c r="A852" t="s">
        <v>35</v>
      </c>
      <c r="B852" s="11" t="s">
        <v>68</v>
      </c>
      <c r="C852">
        <v>4022</v>
      </c>
      <c r="D852" s="9">
        <v>58.88</v>
      </c>
      <c r="E852" t="s">
        <v>58</v>
      </c>
    </row>
    <row r="853" spans="1:5">
      <c r="A853" t="s">
        <v>35</v>
      </c>
      <c r="B853" s="11" t="s">
        <v>68</v>
      </c>
      <c r="C853">
        <v>4023</v>
      </c>
      <c r="D853" s="9">
        <v>117.76</v>
      </c>
      <c r="E853" t="s">
        <v>58</v>
      </c>
    </row>
    <row r="854" spans="1:5">
      <c r="A854" t="s">
        <v>35</v>
      </c>
      <c r="B854" s="11" t="s">
        <v>69</v>
      </c>
      <c r="C854">
        <v>1001</v>
      </c>
      <c r="D854" s="9">
        <v>-12287.22</v>
      </c>
      <c r="E854" t="s">
        <v>58</v>
      </c>
    </row>
    <row r="855" spans="1:5">
      <c r="A855" t="s">
        <v>35</v>
      </c>
      <c r="B855" s="11" t="s">
        <v>69</v>
      </c>
      <c r="C855">
        <v>4011</v>
      </c>
      <c r="D855" s="9">
        <v>171.15</v>
      </c>
      <c r="E855" t="s">
        <v>58</v>
      </c>
    </row>
    <row r="856" spans="1:5">
      <c r="A856" t="s">
        <v>35</v>
      </c>
      <c r="B856" s="11" t="s">
        <v>69</v>
      </c>
      <c r="C856">
        <v>4012</v>
      </c>
      <c r="D856" s="9">
        <v>29.95</v>
      </c>
      <c r="E856" t="s">
        <v>58</v>
      </c>
    </row>
    <row r="857" spans="1:5">
      <c r="A857" t="s">
        <v>35</v>
      </c>
      <c r="B857" s="11" t="s">
        <v>69</v>
      </c>
      <c r="C857">
        <v>4018</v>
      </c>
      <c r="D857" s="9">
        <v>227.81</v>
      </c>
      <c r="E857" t="s">
        <v>58</v>
      </c>
    </row>
    <row r="858" spans="1:5">
      <c r="A858" t="s">
        <v>35</v>
      </c>
      <c r="B858" s="11" t="s">
        <v>69</v>
      </c>
      <c r="C858">
        <v>4022</v>
      </c>
      <c r="D858" s="9">
        <v>50.62</v>
      </c>
      <c r="E858" t="s">
        <v>58</v>
      </c>
    </row>
    <row r="859" spans="1:5">
      <c r="A859" t="s">
        <v>35</v>
      </c>
      <c r="B859" s="11" t="s">
        <v>69</v>
      </c>
      <c r="C859">
        <v>4023</v>
      </c>
      <c r="D859" s="9">
        <v>101.25</v>
      </c>
      <c r="E859" t="s">
        <v>58</v>
      </c>
    </row>
    <row r="860" spans="1:5">
      <c r="A860" t="s">
        <v>35</v>
      </c>
      <c r="B860" s="11" t="s">
        <v>77</v>
      </c>
      <c r="C860">
        <v>1001</v>
      </c>
      <c r="D860" s="9">
        <v>-17155.259999999998</v>
      </c>
      <c r="E860" t="s">
        <v>58</v>
      </c>
    </row>
    <row r="861" spans="1:5">
      <c r="A861" t="s">
        <v>35</v>
      </c>
      <c r="B861" s="11" t="s">
        <v>77</v>
      </c>
      <c r="C861">
        <v>4011</v>
      </c>
      <c r="D861" s="9">
        <v>370.79</v>
      </c>
      <c r="E861" t="s">
        <v>58</v>
      </c>
    </row>
    <row r="862" spans="1:5">
      <c r="A862" t="s">
        <v>35</v>
      </c>
      <c r="B862" s="11" t="s">
        <v>77</v>
      </c>
      <c r="C862">
        <v>4012</v>
      </c>
      <c r="D862" s="9">
        <v>74.16</v>
      </c>
      <c r="E862" t="s">
        <v>58</v>
      </c>
    </row>
    <row r="863" spans="1:5">
      <c r="A863" t="s">
        <v>35</v>
      </c>
      <c r="B863" s="11" t="s">
        <v>77</v>
      </c>
      <c r="C863">
        <v>4018</v>
      </c>
      <c r="D863" s="9">
        <v>318.06</v>
      </c>
      <c r="E863" t="s">
        <v>58</v>
      </c>
    </row>
    <row r="864" spans="1:5">
      <c r="A864" t="s">
        <v>35</v>
      </c>
      <c r="B864" s="11" t="s">
        <v>77</v>
      </c>
      <c r="C864">
        <v>4022</v>
      </c>
      <c r="D864" s="9">
        <v>70.680000000000007</v>
      </c>
      <c r="E864" t="s">
        <v>58</v>
      </c>
    </row>
    <row r="865" spans="1:5">
      <c r="A865" t="s">
        <v>35</v>
      </c>
      <c r="B865" s="11" t="s">
        <v>77</v>
      </c>
      <c r="C865">
        <v>4023</v>
      </c>
      <c r="D865" s="9">
        <v>141.36000000000001</v>
      </c>
      <c r="E865" t="s">
        <v>58</v>
      </c>
    </row>
    <row r="866" spans="1:5">
      <c r="A866" t="s">
        <v>35</v>
      </c>
      <c r="B866" s="11" t="s">
        <v>70</v>
      </c>
      <c r="C866">
        <v>1001</v>
      </c>
      <c r="D866" s="9">
        <v>-17312.310000000001</v>
      </c>
      <c r="E866" t="s">
        <v>59</v>
      </c>
    </row>
    <row r="867" spans="1:5">
      <c r="A867" t="s">
        <v>35</v>
      </c>
      <c r="B867" s="11" t="s">
        <v>70</v>
      </c>
      <c r="C867">
        <v>4011</v>
      </c>
      <c r="D867" s="9">
        <v>278</v>
      </c>
      <c r="E867" t="s">
        <v>59</v>
      </c>
    </row>
    <row r="868" spans="1:5">
      <c r="A868" t="s">
        <v>35</v>
      </c>
      <c r="B868" s="11" t="s">
        <v>70</v>
      </c>
      <c r="C868">
        <v>4012</v>
      </c>
      <c r="D868" s="9">
        <v>55.6</v>
      </c>
      <c r="E868" t="s">
        <v>59</v>
      </c>
    </row>
    <row r="869" spans="1:5">
      <c r="A869" t="s">
        <v>35</v>
      </c>
      <c r="B869" s="11" t="s">
        <v>70</v>
      </c>
      <c r="C869">
        <v>4018</v>
      </c>
      <c r="D869" s="9">
        <v>356.63</v>
      </c>
      <c r="E869" t="s">
        <v>59</v>
      </c>
    </row>
    <row r="870" spans="1:5">
      <c r="A870" t="s">
        <v>35</v>
      </c>
      <c r="B870" s="11" t="s">
        <v>70</v>
      </c>
      <c r="C870">
        <v>4022</v>
      </c>
      <c r="D870" s="9">
        <v>71.33</v>
      </c>
      <c r="E870" t="s">
        <v>59</v>
      </c>
    </row>
    <row r="871" spans="1:5">
      <c r="A871" t="s">
        <v>35</v>
      </c>
      <c r="B871" s="11" t="s">
        <v>70</v>
      </c>
      <c r="C871">
        <v>4023</v>
      </c>
      <c r="D871" s="9">
        <v>142.65</v>
      </c>
      <c r="E871" t="s">
        <v>59</v>
      </c>
    </row>
    <row r="872" spans="1:5">
      <c r="A872" t="s">
        <v>35</v>
      </c>
      <c r="B872" s="11" t="s">
        <v>71</v>
      </c>
      <c r="C872">
        <v>1001</v>
      </c>
      <c r="D872" s="9">
        <v>-20593.45</v>
      </c>
      <c r="E872" t="s">
        <v>59</v>
      </c>
    </row>
    <row r="873" spans="1:5">
      <c r="A873" t="s">
        <v>35</v>
      </c>
      <c r="B873" s="11" t="s">
        <v>71</v>
      </c>
      <c r="C873">
        <v>4011</v>
      </c>
      <c r="D873" s="9">
        <v>420.1</v>
      </c>
      <c r="E873" t="s">
        <v>59</v>
      </c>
    </row>
    <row r="874" spans="1:5">
      <c r="A874" t="s">
        <v>35</v>
      </c>
      <c r="B874" s="11" t="s">
        <v>71</v>
      </c>
      <c r="C874">
        <v>4012</v>
      </c>
      <c r="D874" s="9">
        <v>84.02</v>
      </c>
      <c r="E874" t="s">
        <v>59</v>
      </c>
    </row>
    <row r="875" spans="1:5">
      <c r="A875" t="s">
        <v>35</v>
      </c>
      <c r="B875" s="11" t="s">
        <v>71</v>
      </c>
      <c r="C875">
        <v>4018</v>
      </c>
      <c r="D875" s="9">
        <v>381.8</v>
      </c>
      <c r="E875" t="s">
        <v>59</v>
      </c>
    </row>
    <row r="876" spans="1:5">
      <c r="A876" t="s">
        <v>35</v>
      </c>
      <c r="B876" s="11" t="s">
        <v>71</v>
      </c>
      <c r="C876">
        <v>4022</v>
      </c>
      <c r="D876" s="9">
        <v>84.84</v>
      </c>
      <c r="E876" t="s">
        <v>59</v>
      </c>
    </row>
    <row r="877" spans="1:5">
      <c r="A877" t="s">
        <v>35</v>
      </c>
      <c r="B877" s="11" t="s">
        <v>71</v>
      </c>
      <c r="C877">
        <v>4023</v>
      </c>
      <c r="D877" s="9">
        <v>169.69</v>
      </c>
      <c r="E877" t="s">
        <v>59</v>
      </c>
    </row>
    <row r="878" spans="1:5">
      <c r="A878" t="s">
        <v>35</v>
      </c>
      <c r="B878" s="11" t="s">
        <v>72</v>
      </c>
      <c r="C878">
        <v>1001</v>
      </c>
      <c r="D878" s="9">
        <v>-20759.099999999999</v>
      </c>
      <c r="E878" t="s">
        <v>59</v>
      </c>
    </row>
    <row r="879" spans="1:5">
      <c r="A879" t="s">
        <v>35</v>
      </c>
      <c r="B879" s="11" t="s">
        <v>72</v>
      </c>
      <c r="C879">
        <v>4011</v>
      </c>
      <c r="D879" s="9">
        <v>426.35</v>
      </c>
      <c r="E879" t="s">
        <v>59</v>
      </c>
    </row>
    <row r="880" spans="1:5">
      <c r="A880" t="s">
        <v>35</v>
      </c>
      <c r="B880" s="11" t="s">
        <v>72</v>
      </c>
      <c r="C880">
        <v>4012</v>
      </c>
      <c r="D880" s="9">
        <v>85.27</v>
      </c>
      <c r="E880" t="s">
        <v>59</v>
      </c>
    </row>
    <row r="881" spans="1:5">
      <c r="A881" t="s">
        <v>35</v>
      </c>
      <c r="B881" s="11" t="s">
        <v>72</v>
      </c>
      <c r="C881">
        <v>4018</v>
      </c>
      <c r="D881" s="9">
        <v>855.27</v>
      </c>
      <c r="E881" t="s">
        <v>59</v>
      </c>
    </row>
    <row r="882" spans="1:5">
      <c r="A882" t="s">
        <v>35</v>
      </c>
      <c r="B882" s="11" t="s">
        <v>72</v>
      </c>
      <c r="C882">
        <v>4022</v>
      </c>
      <c r="D882" s="9">
        <v>85.53</v>
      </c>
      <c r="E882" t="s">
        <v>59</v>
      </c>
    </row>
    <row r="883" spans="1:5">
      <c r="A883" t="s">
        <v>35</v>
      </c>
      <c r="B883" s="11" t="s">
        <v>72</v>
      </c>
      <c r="C883">
        <v>4023</v>
      </c>
      <c r="D883" s="9">
        <v>171.05</v>
      </c>
      <c r="E883" t="s">
        <v>59</v>
      </c>
    </row>
    <row r="884" spans="1:5">
      <c r="A884" t="s">
        <v>35</v>
      </c>
      <c r="B884" s="11" t="s">
        <v>78</v>
      </c>
      <c r="C884">
        <v>1001</v>
      </c>
      <c r="D884" s="9">
        <v>-16100.82</v>
      </c>
      <c r="E884" t="s">
        <v>59</v>
      </c>
    </row>
    <row r="885" spans="1:5">
      <c r="A885" t="s">
        <v>35</v>
      </c>
      <c r="B885" s="11" t="s">
        <v>78</v>
      </c>
      <c r="C885">
        <v>4011</v>
      </c>
      <c r="D885" s="9">
        <v>224.6</v>
      </c>
      <c r="E885" t="s">
        <v>59</v>
      </c>
    </row>
    <row r="886" spans="1:5">
      <c r="A886" t="s">
        <v>35</v>
      </c>
      <c r="B886" s="11" t="s">
        <v>78</v>
      </c>
      <c r="C886">
        <v>4012</v>
      </c>
      <c r="D886" s="9">
        <v>44.92</v>
      </c>
      <c r="E886" t="s">
        <v>59</v>
      </c>
    </row>
    <row r="887" spans="1:5">
      <c r="A887" t="s">
        <v>35</v>
      </c>
      <c r="B887" s="11" t="s">
        <v>78</v>
      </c>
      <c r="C887">
        <v>4018</v>
      </c>
      <c r="D887" s="9">
        <v>845.29</v>
      </c>
      <c r="E887" t="s">
        <v>59</v>
      </c>
    </row>
    <row r="888" spans="1:5">
      <c r="A888" t="s">
        <v>35</v>
      </c>
      <c r="B888" s="11" t="s">
        <v>78</v>
      </c>
      <c r="C888">
        <v>4022</v>
      </c>
      <c r="D888" s="9">
        <v>59.16</v>
      </c>
      <c r="E888" t="s">
        <v>59</v>
      </c>
    </row>
    <row r="889" spans="1:5">
      <c r="A889" t="s">
        <v>35</v>
      </c>
      <c r="B889" s="11" t="s">
        <v>78</v>
      </c>
      <c r="C889">
        <v>4023</v>
      </c>
      <c r="D889" s="9">
        <v>135.25</v>
      </c>
      <c r="E889" t="s">
        <v>59</v>
      </c>
    </row>
    <row r="890" spans="1:5">
      <c r="A890" t="s">
        <v>35</v>
      </c>
      <c r="B890" s="11" t="s">
        <v>73</v>
      </c>
      <c r="C890">
        <v>1001</v>
      </c>
      <c r="D890" s="9">
        <v>-18434.88</v>
      </c>
      <c r="E890" t="s">
        <v>60</v>
      </c>
    </row>
    <row r="891" spans="1:5">
      <c r="A891" t="s">
        <v>35</v>
      </c>
      <c r="B891" s="11" t="s">
        <v>73</v>
      </c>
      <c r="C891">
        <v>4011</v>
      </c>
      <c r="D891" s="9">
        <v>387.86</v>
      </c>
      <c r="E891" t="s">
        <v>60</v>
      </c>
    </row>
    <row r="892" spans="1:5">
      <c r="A892" t="s">
        <v>35</v>
      </c>
      <c r="B892" s="11" t="s">
        <v>73</v>
      </c>
      <c r="C892">
        <v>4012</v>
      </c>
      <c r="D892" s="9">
        <v>77.569999999999993</v>
      </c>
      <c r="E892" t="s">
        <v>60</v>
      </c>
    </row>
    <row r="893" spans="1:5">
      <c r="A893" t="s">
        <v>35</v>
      </c>
      <c r="B893" s="11" t="s">
        <v>73</v>
      </c>
      <c r="C893">
        <v>4018</v>
      </c>
      <c r="D893" s="9">
        <v>348.42</v>
      </c>
      <c r="E893" t="s">
        <v>60</v>
      </c>
    </row>
    <row r="894" spans="1:5">
      <c r="A894" t="s">
        <v>35</v>
      </c>
      <c r="B894" s="11" t="s">
        <v>73</v>
      </c>
      <c r="C894">
        <v>4022</v>
      </c>
      <c r="D894" s="9">
        <v>77.430000000000007</v>
      </c>
      <c r="E894" t="s">
        <v>60</v>
      </c>
    </row>
    <row r="895" spans="1:5">
      <c r="A895" t="s">
        <v>35</v>
      </c>
      <c r="B895" s="11" t="s">
        <v>73</v>
      </c>
      <c r="C895">
        <v>4023</v>
      </c>
      <c r="D895" s="9">
        <v>154.85</v>
      </c>
      <c r="E895" t="s">
        <v>60</v>
      </c>
    </row>
    <row r="896" spans="1:5">
      <c r="A896" t="s">
        <v>35</v>
      </c>
      <c r="B896" s="11" t="s">
        <v>74</v>
      </c>
      <c r="C896">
        <v>1001</v>
      </c>
      <c r="D896" s="9">
        <v>-18705.419999999998</v>
      </c>
      <c r="E896" t="s">
        <v>60</v>
      </c>
    </row>
    <row r="897" spans="1:5">
      <c r="A897" t="s">
        <v>35</v>
      </c>
      <c r="B897" s="11" t="s">
        <v>74</v>
      </c>
      <c r="C897">
        <v>4011</v>
      </c>
      <c r="D897" s="9">
        <v>456.58</v>
      </c>
      <c r="E897" t="s">
        <v>60</v>
      </c>
    </row>
    <row r="898" spans="1:5">
      <c r="A898" t="s">
        <v>35</v>
      </c>
      <c r="B898" s="11" t="s">
        <v>74</v>
      </c>
      <c r="C898">
        <v>4012</v>
      </c>
      <c r="D898" s="9">
        <v>91.32</v>
      </c>
      <c r="E898" t="s">
        <v>60</v>
      </c>
    </row>
    <row r="899" spans="1:5">
      <c r="A899" t="s">
        <v>35</v>
      </c>
      <c r="B899" s="11" t="s">
        <v>74</v>
      </c>
      <c r="C899">
        <v>4018</v>
      </c>
      <c r="D899" s="9">
        <v>370.37</v>
      </c>
      <c r="E899" t="s">
        <v>60</v>
      </c>
    </row>
    <row r="900" spans="1:5">
      <c r="A900" t="s">
        <v>35</v>
      </c>
      <c r="B900" s="11" t="s">
        <v>74</v>
      </c>
      <c r="C900">
        <v>4022</v>
      </c>
      <c r="D900" s="9">
        <v>82.3</v>
      </c>
      <c r="E900" t="s">
        <v>60</v>
      </c>
    </row>
    <row r="901" spans="1:5">
      <c r="A901" t="s">
        <v>35</v>
      </c>
      <c r="B901" s="11" t="s">
        <v>74</v>
      </c>
      <c r="C901">
        <v>4023</v>
      </c>
      <c r="D901" s="9">
        <v>164.61</v>
      </c>
      <c r="E901" t="s">
        <v>60</v>
      </c>
    </row>
    <row r="902" spans="1:5">
      <c r="A902" t="s">
        <v>36</v>
      </c>
      <c r="B902" s="11" t="s">
        <v>61</v>
      </c>
      <c r="C902">
        <v>1001</v>
      </c>
      <c r="D902" s="9">
        <v>-13848.37</v>
      </c>
      <c r="E902" t="s">
        <v>56</v>
      </c>
    </row>
    <row r="903" spans="1:5">
      <c r="A903" t="s">
        <v>36</v>
      </c>
      <c r="B903" s="11" t="s">
        <v>61</v>
      </c>
      <c r="C903">
        <v>4011</v>
      </c>
      <c r="D903" s="9">
        <v>203.93</v>
      </c>
      <c r="E903" t="s">
        <v>56</v>
      </c>
    </row>
    <row r="904" spans="1:5">
      <c r="A904" t="s">
        <v>36</v>
      </c>
      <c r="B904" s="11" t="s">
        <v>61</v>
      </c>
      <c r="C904">
        <v>4012</v>
      </c>
      <c r="D904" s="9">
        <v>35.69</v>
      </c>
      <c r="E904" t="s">
        <v>56</v>
      </c>
    </row>
    <row r="905" spans="1:5">
      <c r="A905" t="s">
        <v>36</v>
      </c>
      <c r="B905" s="11" t="s">
        <v>61</v>
      </c>
      <c r="C905">
        <v>4018</v>
      </c>
      <c r="D905" s="9">
        <v>256.75</v>
      </c>
      <c r="E905" t="s">
        <v>56</v>
      </c>
    </row>
    <row r="906" spans="1:5">
      <c r="A906" t="s">
        <v>36</v>
      </c>
      <c r="B906" s="11" t="s">
        <v>61</v>
      </c>
      <c r="C906">
        <v>4021</v>
      </c>
      <c r="D906" s="9">
        <v>250</v>
      </c>
      <c r="E906" t="s">
        <v>56</v>
      </c>
    </row>
    <row r="907" spans="1:5">
      <c r="A907" t="s">
        <v>36</v>
      </c>
      <c r="B907" s="11" t="s">
        <v>61</v>
      </c>
      <c r="C907">
        <v>4022</v>
      </c>
      <c r="D907" s="9">
        <v>57.06</v>
      </c>
      <c r="E907" t="s">
        <v>56</v>
      </c>
    </row>
    <row r="908" spans="1:5">
      <c r="A908" t="s">
        <v>36</v>
      </c>
      <c r="B908" s="11" t="s">
        <v>61</v>
      </c>
      <c r="C908">
        <v>4023</v>
      </c>
      <c r="D908" s="9">
        <v>114.11</v>
      </c>
      <c r="E908" t="s">
        <v>56</v>
      </c>
    </row>
    <row r="909" spans="1:5">
      <c r="A909" t="s">
        <v>36</v>
      </c>
      <c r="B909" s="11" t="s">
        <v>62</v>
      </c>
      <c r="C909">
        <v>1001</v>
      </c>
      <c r="D909" s="9">
        <v>-9936.34</v>
      </c>
      <c r="E909" t="s">
        <v>56</v>
      </c>
    </row>
    <row r="910" spans="1:5">
      <c r="A910" t="s">
        <v>36</v>
      </c>
      <c r="B910" s="11" t="s">
        <v>62</v>
      </c>
      <c r="C910">
        <v>4011</v>
      </c>
      <c r="D910" s="9">
        <v>157.19</v>
      </c>
      <c r="E910" t="s">
        <v>56</v>
      </c>
    </row>
    <row r="911" spans="1:5">
      <c r="A911" t="s">
        <v>36</v>
      </c>
      <c r="B911" s="11" t="s">
        <v>62</v>
      </c>
      <c r="C911">
        <v>4012</v>
      </c>
      <c r="D911" s="9">
        <v>27.51</v>
      </c>
      <c r="E911" t="s">
        <v>56</v>
      </c>
    </row>
    <row r="912" spans="1:5">
      <c r="A912" t="s">
        <v>36</v>
      </c>
      <c r="B912" s="11" t="s">
        <v>62</v>
      </c>
      <c r="C912">
        <v>4018</v>
      </c>
      <c r="D912" s="9">
        <v>184.22</v>
      </c>
      <c r="E912" t="s">
        <v>56</v>
      </c>
    </row>
    <row r="913" spans="1:5">
      <c r="A913" t="s">
        <v>36</v>
      </c>
      <c r="B913" s="11" t="s">
        <v>62</v>
      </c>
      <c r="C913">
        <v>4022</v>
      </c>
      <c r="D913" s="9">
        <v>40.94</v>
      </c>
      <c r="E913" t="s">
        <v>56</v>
      </c>
    </row>
    <row r="914" spans="1:5">
      <c r="A914" t="s">
        <v>36</v>
      </c>
      <c r="B914" s="11" t="s">
        <v>62</v>
      </c>
      <c r="C914">
        <v>4023</v>
      </c>
      <c r="D914" s="9">
        <v>81.88</v>
      </c>
      <c r="E914" t="s">
        <v>56</v>
      </c>
    </row>
    <row r="915" spans="1:5">
      <c r="A915" t="s">
        <v>36</v>
      </c>
      <c r="B915" s="11" t="s">
        <v>63</v>
      </c>
      <c r="C915">
        <v>1001</v>
      </c>
      <c r="D915" s="9">
        <v>-17489.97</v>
      </c>
      <c r="E915" t="s">
        <v>56</v>
      </c>
    </row>
    <row r="916" spans="1:5">
      <c r="A916" t="s">
        <v>36</v>
      </c>
      <c r="B916" s="11" t="s">
        <v>63</v>
      </c>
      <c r="C916">
        <v>4011</v>
      </c>
      <c r="D916" s="9">
        <v>307.18</v>
      </c>
      <c r="E916" t="s">
        <v>56</v>
      </c>
    </row>
    <row r="917" spans="1:5">
      <c r="A917" t="s">
        <v>36</v>
      </c>
      <c r="B917" s="11" t="s">
        <v>63</v>
      </c>
      <c r="C917">
        <v>4012</v>
      </c>
      <c r="D917" s="9">
        <v>61.44</v>
      </c>
      <c r="E917" t="s">
        <v>56</v>
      </c>
    </row>
    <row r="918" spans="1:5">
      <c r="A918" t="s">
        <v>36</v>
      </c>
      <c r="B918" s="11" t="s">
        <v>63</v>
      </c>
      <c r="C918">
        <v>4018</v>
      </c>
      <c r="D918" s="9">
        <v>324.26</v>
      </c>
      <c r="E918" t="s">
        <v>56</v>
      </c>
    </row>
    <row r="919" spans="1:5">
      <c r="A919" t="s">
        <v>36</v>
      </c>
      <c r="B919" s="11" t="s">
        <v>63</v>
      </c>
      <c r="C919">
        <v>4022</v>
      </c>
      <c r="D919" s="9">
        <v>72.06</v>
      </c>
      <c r="E919" t="s">
        <v>56</v>
      </c>
    </row>
    <row r="920" spans="1:5">
      <c r="A920" t="s">
        <v>36</v>
      </c>
      <c r="B920" s="11" t="s">
        <v>63</v>
      </c>
      <c r="C920">
        <v>4023</v>
      </c>
      <c r="D920" s="9">
        <v>144.12</v>
      </c>
      <c r="E920" t="s">
        <v>56</v>
      </c>
    </row>
    <row r="921" spans="1:5">
      <c r="A921" t="s">
        <v>36</v>
      </c>
      <c r="B921" s="11" t="s">
        <v>75</v>
      </c>
      <c r="C921">
        <v>1001</v>
      </c>
      <c r="D921" s="9">
        <v>-14380.87</v>
      </c>
      <c r="E921" t="s">
        <v>56</v>
      </c>
    </row>
    <row r="922" spans="1:5">
      <c r="A922" t="s">
        <v>36</v>
      </c>
      <c r="B922" s="11" t="s">
        <v>75</v>
      </c>
      <c r="C922">
        <v>4011</v>
      </c>
      <c r="D922" s="9">
        <v>275.7</v>
      </c>
      <c r="E922" t="s">
        <v>56</v>
      </c>
    </row>
    <row r="923" spans="1:5">
      <c r="A923" t="s">
        <v>36</v>
      </c>
      <c r="B923" s="11" t="s">
        <v>75</v>
      </c>
      <c r="C923">
        <v>4012</v>
      </c>
      <c r="D923" s="9">
        <v>55.14</v>
      </c>
      <c r="E923" t="s">
        <v>56</v>
      </c>
    </row>
    <row r="924" spans="1:5">
      <c r="A924" t="s">
        <v>36</v>
      </c>
      <c r="B924" s="11" t="s">
        <v>75</v>
      </c>
      <c r="C924">
        <v>4018</v>
      </c>
      <c r="D924" s="9">
        <v>332.18</v>
      </c>
      <c r="E924" t="s">
        <v>56</v>
      </c>
    </row>
    <row r="925" spans="1:5">
      <c r="A925" t="s">
        <v>36</v>
      </c>
      <c r="B925" s="11" t="s">
        <v>75</v>
      </c>
      <c r="C925">
        <v>4022</v>
      </c>
      <c r="D925" s="9">
        <v>73.819999999999993</v>
      </c>
      <c r="E925" t="s">
        <v>56</v>
      </c>
    </row>
    <row r="926" spans="1:5">
      <c r="A926" t="s">
        <v>36</v>
      </c>
      <c r="B926" s="11" t="s">
        <v>75</v>
      </c>
      <c r="C926">
        <v>4023</v>
      </c>
      <c r="D926" s="9">
        <v>147.63999999999999</v>
      </c>
      <c r="E926" t="s">
        <v>56</v>
      </c>
    </row>
    <row r="927" spans="1:5">
      <c r="A927" t="s">
        <v>36</v>
      </c>
      <c r="B927" s="11" t="s">
        <v>64</v>
      </c>
      <c r="C927">
        <v>1001</v>
      </c>
      <c r="D927" s="9">
        <v>-15515.98</v>
      </c>
      <c r="E927" t="s">
        <v>57</v>
      </c>
    </row>
    <row r="928" spans="1:5">
      <c r="A928" t="s">
        <v>36</v>
      </c>
      <c r="B928" s="11" t="s">
        <v>64</v>
      </c>
      <c r="C928">
        <v>4011</v>
      </c>
      <c r="D928" s="9">
        <v>280.99</v>
      </c>
      <c r="E928" t="s">
        <v>57</v>
      </c>
    </row>
    <row r="929" spans="1:5">
      <c r="A929" t="s">
        <v>36</v>
      </c>
      <c r="B929" s="11" t="s">
        <v>64</v>
      </c>
      <c r="C929">
        <v>4012</v>
      </c>
      <c r="D929" s="9">
        <v>56.2</v>
      </c>
      <c r="E929" t="s">
        <v>57</v>
      </c>
    </row>
    <row r="930" spans="1:5">
      <c r="A930" t="s">
        <v>36</v>
      </c>
      <c r="B930" s="11" t="s">
        <v>64</v>
      </c>
      <c r="C930">
        <v>4018</v>
      </c>
      <c r="D930" s="9">
        <v>287.67</v>
      </c>
      <c r="E930" t="s">
        <v>57</v>
      </c>
    </row>
    <row r="931" spans="1:5">
      <c r="A931" t="s">
        <v>36</v>
      </c>
      <c r="B931" s="11" t="s">
        <v>64</v>
      </c>
      <c r="C931">
        <v>4022</v>
      </c>
      <c r="D931" s="9">
        <v>63.93</v>
      </c>
      <c r="E931" t="s">
        <v>57</v>
      </c>
    </row>
    <row r="932" spans="1:5">
      <c r="A932" t="s">
        <v>36</v>
      </c>
      <c r="B932" s="11" t="s">
        <v>64</v>
      </c>
      <c r="C932">
        <v>4023</v>
      </c>
      <c r="D932" s="9">
        <v>127.85</v>
      </c>
      <c r="E932" t="s">
        <v>57</v>
      </c>
    </row>
    <row r="933" spans="1:5">
      <c r="A933" t="s">
        <v>36</v>
      </c>
      <c r="B933" s="11" t="s">
        <v>65</v>
      </c>
      <c r="C933">
        <v>1001</v>
      </c>
      <c r="D933" s="9">
        <v>-10275.48</v>
      </c>
      <c r="E933" t="s">
        <v>57</v>
      </c>
    </row>
    <row r="934" spans="1:5">
      <c r="A934" t="s">
        <v>36</v>
      </c>
      <c r="B934" s="11" t="s">
        <v>65</v>
      </c>
      <c r="C934">
        <v>4011</v>
      </c>
      <c r="D934" s="9">
        <v>255.9</v>
      </c>
      <c r="E934" t="s">
        <v>57</v>
      </c>
    </row>
    <row r="935" spans="1:5">
      <c r="A935" t="s">
        <v>36</v>
      </c>
      <c r="B935" s="11" t="s">
        <v>65</v>
      </c>
      <c r="C935">
        <v>4012</v>
      </c>
      <c r="D935" s="9">
        <v>51.18</v>
      </c>
      <c r="E935" t="s">
        <v>57</v>
      </c>
    </row>
    <row r="936" spans="1:5">
      <c r="A936" t="s">
        <v>36</v>
      </c>
      <c r="B936" s="11" t="s">
        <v>65</v>
      </c>
      <c r="C936">
        <v>4018</v>
      </c>
      <c r="D936" s="9">
        <v>203.45</v>
      </c>
      <c r="E936" t="s">
        <v>57</v>
      </c>
    </row>
    <row r="937" spans="1:5">
      <c r="A937" t="s">
        <v>36</v>
      </c>
      <c r="B937" s="11" t="s">
        <v>65</v>
      </c>
      <c r="C937">
        <v>4022</v>
      </c>
      <c r="D937" s="9">
        <v>45.21</v>
      </c>
      <c r="E937" t="s">
        <v>57</v>
      </c>
    </row>
    <row r="938" spans="1:5">
      <c r="A938" t="s">
        <v>36</v>
      </c>
      <c r="B938" s="11" t="s">
        <v>65</v>
      </c>
      <c r="C938">
        <v>4023</v>
      </c>
      <c r="D938" s="9">
        <v>90.42</v>
      </c>
      <c r="E938" t="s">
        <v>57</v>
      </c>
    </row>
    <row r="939" spans="1:5">
      <c r="A939" t="s">
        <v>36</v>
      </c>
      <c r="B939" s="11" t="s">
        <v>66</v>
      </c>
      <c r="C939">
        <v>1001</v>
      </c>
      <c r="D939" s="9">
        <v>-23588.03</v>
      </c>
      <c r="E939" t="s">
        <v>57</v>
      </c>
    </row>
    <row r="940" spans="1:5">
      <c r="A940" t="s">
        <v>36</v>
      </c>
      <c r="B940" s="11" t="s">
        <v>66</v>
      </c>
      <c r="C940">
        <v>4011</v>
      </c>
      <c r="D940" s="9">
        <v>324.99</v>
      </c>
      <c r="E940" t="s">
        <v>57</v>
      </c>
    </row>
    <row r="941" spans="1:5">
      <c r="A941" t="s">
        <v>36</v>
      </c>
      <c r="B941" s="11" t="s">
        <v>66</v>
      </c>
      <c r="C941">
        <v>4012</v>
      </c>
      <c r="D941" s="9">
        <v>65</v>
      </c>
      <c r="E941" t="s">
        <v>57</v>
      </c>
    </row>
    <row r="942" spans="1:5">
      <c r="A942" t="s">
        <v>36</v>
      </c>
      <c r="B942" s="11" t="s">
        <v>66</v>
      </c>
      <c r="C942">
        <v>4018</v>
      </c>
      <c r="D942" s="9">
        <v>437.32</v>
      </c>
      <c r="E942" t="s">
        <v>57</v>
      </c>
    </row>
    <row r="943" spans="1:5">
      <c r="A943" t="s">
        <v>36</v>
      </c>
      <c r="B943" s="11" t="s">
        <v>66</v>
      </c>
      <c r="C943">
        <v>4022</v>
      </c>
      <c r="D943" s="9">
        <v>97.18</v>
      </c>
      <c r="E943" t="s">
        <v>57</v>
      </c>
    </row>
    <row r="944" spans="1:5">
      <c r="A944" t="s">
        <v>36</v>
      </c>
      <c r="B944" s="11" t="s">
        <v>66</v>
      </c>
      <c r="C944">
        <v>4023</v>
      </c>
      <c r="D944" s="9">
        <v>194.37</v>
      </c>
      <c r="E944" t="s">
        <v>57</v>
      </c>
    </row>
    <row r="945" spans="1:5">
      <c r="A945" t="s">
        <v>36</v>
      </c>
      <c r="B945" s="11" t="s">
        <v>67</v>
      </c>
      <c r="C945">
        <v>1001</v>
      </c>
      <c r="D945" s="9">
        <v>-10293.950000000001</v>
      </c>
      <c r="E945" t="s">
        <v>57</v>
      </c>
    </row>
    <row r="946" spans="1:5">
      <c r="A946" t="s">
        <v>36</v>
      </c>
      <c r="B946" s="11" t="s">
        <v>67</v>
      </c>
      <c r="C946">
        <v>4011</v>
      </c>
      <c r="D946" s="9">
        <v>163.18</v>
      </c>
      <c r="E946" t="s">
        <v>57</v>
      </c>
    </row>
    <row r="947" spans="1:5">
      <c r="A947" t="s">
        <v>36</v>
      </c>
      <c r="B947" s="11" t="s">
        <v>67</v>
      </c>
      <c r="C947">
        <v>4012</v>
      </c>
      <c r="D947" s="9">
        <v>32.64</v>
      </c>
      <c r="E947" t="s">
        <v>57</v>
      </c>
    </row>
    <row r="948" spans="1:5">
      <c r="A948" t="s">
        <v>36</v>
      </c>
      <c r="B948" s="11" t="s">
        <v>67</v>
      </c>
      <c r="C948">
        <v>4018</v>
      </c>
      <c r="D948" s="9">
        <v>190.85</v>
      </c>
      <c r="E948" t="s">
        <v>57</v>
      </c>
    </row>
    <row r="949" spans="1:5">
      <c r="A949" t="s">
        <v>36</v>
      </c>
      <c r="B949" s="11" t="s">
        <v>67</v>
      </c>
      <c r="C949">
        <v>4022</v>
      </c>
      <c r="D949" s="9">
        <v>42.41</v>
      </c>
      <c r="E949" t="s">
        <v>57</v>
      </c>
    </row>
    <row r="950" spans="1:5">
      <c r="A950" t="s">
        <v>36</v>
      </c>
      <c r="B950" s="11" t="s">
        <v>67</v>
      </c>
      <c r="C950">
        <v>4023</v>
      </c>
      <c r="D950" s="9">
        <v>84.82</v>
      </c>
      <c r="E950" t="s">
        <v>57</v>
      </c>
    </row>
    <row r="951" spans="1:5">
      <c r="A951" t="s">
        <v>36</v>
      </c>
      <c r="B951" s="11" t="s">
        <v>76</v>
      </c>
      <c r="C951">
        <v>1001</v>
      </c>
      <c r="D951" s="9">
        <v>-7364.17</v>
      </c>
      <c r="E951" t="s">
        <v>57</v>
      </c>
    </row>
    <row r="952" spans="1:5">
      <c r="A952" t="s">
        <v>36</v>
      </c>
      <c r="B952" s="11" t="s">
        <v>76</v>
      </c>
      <c r="C952">
        <v>4011</v>
      </c>
      <c r="D952" s="9">
        <v>84.28</v>
      </c>
      <c r="E952" t="s">
        <v>57</v>
      </c>
    </row>
    <row r="953" spans="1:5">
      <c r="A953" t="s">
        <v>36</v>
      </c>
      <c r="B953" s="11" t="s">
        <v>76</v>
      </c>
      <c r="C953">
        <v>4012</v>
      </c>
      <c r="D953" s="9">
        <v>15.8</v>
      </c>
      <c r="E953" t="s">
        <v>57</v>
      </c>
    </row>
    <row r="954" spans="1:5">
      <c r="A954" t="s">
        <v>36</v>
      </c>
      <c r="B954" s="11" t="s">
        <v>76</v>
      </c>
      <c r="C954">
        <v>4018</v>
      </c>
      <c r="D954" s="9">
        <v>136.53</v>
      </c>
      <c r="E954" t="s">
        <v>57</v>
      </c>
    </row>
    <row r="955" spans="1:5">
      <c r="A955" t="s">
        <v>36</v>
      </c>
      <c r="B955" s="11" t="s">
        <v>76</v>
      </c>
      <c r="C955">
        <v>4022</v>
      </c>
      <c r="D955" s="9">
        <v>30.34</v>
      </c>
      <c r="E955" t="s">
        <v>57</v>
      </c>
    </row>
    <row r="956" spans="1:5">
      <c r="A956" t="s">
        <v>36</v>
      </c>
      <c r="B956" s="11" t="s">
        <v>76</v>
      </c>
      <c r="C956">
        <v>4023</v>
      </c>
      <c r="D956" s="9">
        <v>60.68</v>
      </c>
      <c r="E956" t="s">
        <v>57</v>
      </c>
    </row>
    <row r="957" spans="1:5">
      <c r="A957" t="s">
        <v>36</v>
      </c>
      <c r="B957" s="11" t="s">
        <v>68</v>
      </c>
      <c r="C957">
        <v>1001</v>
      </c>
      <c r="D957" s="9">
        <v>-12837.51</v>
      </c>
      <c r="E957" t="s">
        <v>58</v>
      </c>
    </row>
    <row r="958" spans="1:5">
      <c r="A958" t="s">
        <v>36</v>
      </c>
      <c r="B958" s="11" t="s">
        <v>68</v>
      </c>
      <c r="C958">
        <v>4011</v>
      </c>
      <c r="D958" s="9">
        <v>236.61</v>
      </c>
      <c r="E958" t="s">
        <v>58</v>
      </c>
    </row>
    <row r="959" spans="1:5">
      <c r="A959" t="s">
        <v>36</v>
      </c>
      <c r="B959" s="11" t="s">
        <v>68</v>
      </c>
      <c r="C959">
        <v>4012</v>
      </c>
      <c r="D959" s="9">
        <v>41.41</v>
      </c>
      <c r="E959" t="s">
        <v>58</v>
      </c>
    </row>
    <row r="960" spans="1:5">
      <c r="A960" t="s">
        <v>36</v>
      </c>
      <c r="B960" s="11" t="s">
        <v>68</v>
      </c>
      <c r="C960">
        <v>4018</v>
      </c>
      <c r="D960" s="9">
        <v>242.63</v>
      </c>
      <c r="E960" t="s">
        <v>58</v>
      </c>
    </row>
    <row r="961" spans="1:5">
      <c r="A961" t="s">
        <v>36</v>
      </c>
      <c r="B961" s="11" t="s">
        <v>68</v>
      </c>
      <c r="C961">
        <v>4022</v>
      </c>
      <c r="D961" s="9">
        <v>53.92</v>
      </c>
      <c r="E961" t="s">
        <v>58</v>
      </c>
    </row>
    <row r="962" spans="1:5">
      <c r="A962" t="s">
        <v>36</v>
      </c>
      <c r="B962" s="11" t="s">
        <v>68</v>
      </c>
      <c r="C962">
        <v>4023</v>
      </c>
      <c r="D962" s="9">
        <v>107.84</v>
      </c>
      <c r="E962" t="s">
        <v>58</v>
      </c>
    </row>
    <row r="963" spans="1:5">
      <c r="A963" t="s">
        <v>36</v>
      </c>
      <c r="B963" s="11" t="s">
        <v>69</v>
      </c>
      <c r="C963">
        <v>1001</v>
      </c>
      <c r="D963" s="9">
        <v>-11257.36</v>
      </c>
      <c r="E963" t="s">
        <v>58</v>
      </c>
    </row>
    <row r="964" spans="1:5">
      <c r="A964" t="s">
        <v>36</v>
      </c>
      <c r="B964" s="11" t="s">
        <v>69</v>
      </c>
      <c r="C964">
        <v>4011</v>
      </c>
      <c r="D964" s="9">
        <v>106.12</v>
      </c>
      <c r="E964" t="s">
        <v>58</v>
      </c>
    </row>
    <row r="965" spans="1:5">
      <c r="A965" t="s">
        <v>36</v>
      </c>
      <c r="B965" s="11" t="s">
        <v>69</v>
      </c>
      <c r="C965">
        <v>4012</v>
      </c>
      <c r="D965" s="9">
        <v>18.57</v>
      </c>
      <c r="E965" t="s">
        <v>58</v>
      </c>
    </row>
    <row r="966" spans="1:5">
      <c r="A966" t="s">
        <v>36</v>
      </c>
      <c r="B966" s="11" t="s">
        <v>69</v>
      </c>
      <c r="C966">
        <v>4018</v>
      </c>
      <c r="D966" s="9">
        <v>208.71</v>
      </c>
      <c r="E966" t="s">
        <v>58</v>
      </c>
    </row>
    <row r="967" spans="1:5">
      <c r="A967" t="s">
        <v>36</v>
      </c>
      <c r="B967" s="11" t="s">
        <v>69</v>
      </c>
      <c r="C967">
        <v>4022</v>
      </c>
      <c r="D967" s="9">
        <v>46.38</v>
      </c>
      <c r="E967" t="s">
        <v>58</v>
      </c>
    </row>
    <row r="968" spans="1:5">
      <c r="A968" t="s">
        <v>36</v>
      </c>
      <c r="B968" s="11" t="s">
        <v>69</v>
      </c>
      <c r="C968">
        <v>4023</v>
      </c>
      <c r="D968" s="9">
        <v>92.76</v>
      </c>
      <c r="E968" t="s">
        <v>58</v>
      </c>
    </row>
    <row r="969" spans="1:5">
      <c r="A969" t="s">
        <v>36</v>
      </c>
      <c r="B969" s="11" t="s">
        <v>77</v>
      </c>
      <c r="C969">
        <v>1001</v>
      </c>
      <c r="D969" s="9">
        <v>-15157.69</v>
      </c>
      <c r="E969" t="s">
        <v>58</v>
      </c>
    </row>
    <row r="970" spans="1:5">
      <c r="A970" t="s">
        <v>36</v>
      </c>
      <c r="B970" s="11" t="s">
        <v>77</v>
      </c>
      <c r="C970">
        <v>4011</v>
      </c>
      <c r="D970" s="9">
        <v>326.20999999999998</v>
      </c>
      <c r="E970" t="s">
        <v>58</v>
      </c>
    </row>
    <row r="971" spans="1:5">
      <c r="A971" t="s">
        <v>36</v>
      </c>
      <c r="B971" s="11" t="s">
        <v>77</v>
      </c>
      <c r="C971">
        <v>4012</v>
      </c>
      <c r="D971" s="9">
        <v>65.239999999999995</v>
      </c>
      <c r="E971" t="s">
        <v>58</v>
      </c>
    </row>
    <row r="972" spans="1:5">
      <c r="A972" t="s">
        <v>36</v>
      </c>
      <c r="B972" s="11" t="s">
        <v>77</v>
      </c>
      <c r="C972">
        <v>4018</v>
      </c>
      <c r="D972" s="9">
        <v>281.02</v>
      </c>
      <c r="E972" t="s">
        <v>58</v>
      </c>
    </row>
    <row r="973" spans="1:5">
      <c r="A973" t="s">
        <v>36</v>
      </c>
      <c r="B973" s="11" t="s">
        <v>77</v>
      </c>
      <c r="C973">
        <v>4022</v>
      </c>
      <c r="D973" s="9">
        <v>62.45</v>
      </c>
      <c r="E973" t="s">
        <v>58</v>
      </c>
    </row>
    <row r="974" spans="1:5">
      <c r="A974" t="s">
        <v>36</v>
      </c>
      <c r="B974" s="11" t="s">
        <v>77</v>
      </c>
      <c r="C974">
        <v>4023</v>
      </c>
      <c r="D974" s="9">
        <v>124.9</v>
      </c>
      <c r="E974" t="s">
        <v>58</v>
      </c>
    </row>
    <row r="975" spans="1:5">
      <c r="A975" t="s">
        <v>36</v>
      </c>
      <c r="B975" s="11" t="s">
        <v>70</v>
      </c>
      <c r="C975">
        <v>1001</v>
      </c>
      <c r="D975" s="9">
        <v>-14798.36</v>
      </c>
      <c r="E975" t="s">
        <v>59</v>
      </c>
    </row>
    <row r="976" spans="1:5">
      <c r="A976" t="s">
        <v>36</v>
      </c>
      <c r="B976" s="11" t="s">
        <v>70</v>
      </c>
      <c r="C976">
        <v>4011</v>
      </c>
      <c r="D976" s="9">
        <v>247.49</v>
      </c>
      <c r="E976" t="s">
        <v>59</v>
      </c>
    </row>
    <row r="977" spans="1:5">
      <c r="A977" t="s">
        <v>36</v>
      </c>
      <c r="B977" s="11" t="s">
        <v>70</v>
      </c>
      <c r="C977">
        <v>4012</v>
      </c>
      <c r="D977" s="9">
        <v>49.5</v>
      </c>
      <c r="E977" t="s">
        <v>59</v>
      </c>
    </row>
    <row r="978" spans="1:5">
      <c r="A978" t="s">
        <v>36</v>
      </c>
      <c r="B978" s="11" t="s">
        <v>70</v>
      </c>
      <c r="C978">
        <v>4018</v>
      </c>
      <c r="D978" s="9">
        <v>304.85000000000002</v>
      </c>
      <c r="E978" t="s">
        <v>59</v>
      </c>
    </row>
    <row r="979" spans="1:5">
      <c r="A979" t="s">
        <v>36</v>
      </c>
      <c r="B979" s="11" t="s">
        <v>70</v>
      </c>
      <c r="C979">
        <v>4022</v>
      </c>
      <c r="D979" s="9">
        <v>60.97</v>
      </c>
      <c r="E979" t="s">
        <v>59</v>
      </c>
    </row>
    <row r="980" spans="1:5">
      <c r="A980" t="s">
        <v>36</v>
      </c>
      <c r="B980" s="11" t="s">
        <v>70</v>
      </c>
      <c r="C980">
        <v>4023</v>
      </c>
      <c r="D980" s="9">
        <v>121.94</v>
      </c>
      <c r="E980" t="s">
        <v>59</v>
      </c>
    </row>
    <row r="981" spans="1:5">
      <c r="A981" t="s">
        <v>36</v>
      </c>
      <c r="B981" s="11" t="s">
        <v>71</v>
      </c>
      <c r="C981">
        <v>1001</v>
      </c>
      <c r="D981" s="9">
        <v>-19145.169999999998</v>
      </c>
      <c r="E981" t="s">
        <v>59</v>
      </c>
    </row>
    <row r="982" spans="1:5">
      <c r="A982" t="s">
        <v>36</v>
      </c>
      <c r="B982" s="11" t="s">
        <v>71</v>
      </c>
      <c r="C982">
        <v>4011</v>
      </c>
      <c r="D982" s="9">
        <v>370.74</v>
      </c>
      <c r="E982" t="s">
        <v>59</v>
      </c>
    </row>
    <row r="983" spans="1:5">
      <c r="A983" t="s">
        <v>36</v>
      </c>
      <c r="B983" s="11" t="s">
        <v>71</v>
      </c>
      <c r="C983">
        <v>4012</v>
      </c>
      <c r="D983" s="9">
        <v>74.150000000000006</v>
      </c>
      <c r="E983" t="s">
        <v>59</v>
      </c>
    </row>
    <row r="984" spans="1:5">
      <c r="A984" t="s">
        <v>36</v>
      </c>
      <c r="B984" s="11" t="s">
        <v>71</v>
      </c>
      <c r="C984">
        <v>4018</v>
      </c>
      <c r="D984" s="9">
        <v>354.95</v>
      </c>
      <c r="E984" t="s">
        <v>59</v>
      </c>
    </row>
    <row r="985" spans="1:5">
      <c r="A985" t="s">
        <v>36</v>
      </c>
      <c r="B985" s="11" t="s">
        <v>71</v>
      </c>
      <c r="C985">
        <v>4022</v>
      </c>
      <c r="D985" s="9">
        <v>78.88</v>
      </c>
      <c r="E985" t="s">
        <v>59</v>
      </c>
    </row>
    <row r="986" spans="1:5">
      <c r="A986" t="s">
        <v>36</v>
      </c>
      <c r="B986" s="11" t="s">
        <v>71</v>
      </c>
      <c r="C986">
        <v>4023</v>
      </c>
      <c r="D986" s="9">
        <v>157.76</v>
      </c>
      <c r="E986" t="s">
        <v>59</v>
      </c>
    </row>
    <row r="987" spans="1:5">
      <c r="A987" t="s">
        <v>36</v>
      </c>
      <c r="B987" s="11" t="s">
        <v>72</v>
      </c>
      <c r="C987">
        <v>1001</v>
      </c>
      <c r="D987" s="9">
        <v>-18714.669999999998</v>
      </c>
      <c r="E987" t="s">
        <v>59</v>
      </c>
    </row>
    <row r="988" spans="1:5">
      <c r="A988" t="s">
        <v>36</v>
      </c>
      <c r="B988" s="11" t="s">
        <v>72</v>
      </c>
      <c r="C988">
        <v>4011</v>
      </c>
      <c r="D988" s="9">
        <v>386.93</v>
      </c>
      <c r="E988" t="s">
        <v>59</v>
      </c>
    </row>
    <row r="989" spans="1:5">
      <c r="A989" t="s">
        <v>36</v>
      </c>
      <c r="B989" s="11" t="s">
        <v>72</v>
      </c>
      <c r="C989">
        <v>4012</v>
      </c>
      <c r="D989" s="9">
        <v>77.39</v>
      </c>
      <c r="E989" t="s">
        <v>59</v>
      </c>
    </row>
    <row r="990" spans="1:5">
      <c r="A990" t="s">
        <v>36</v>
      </c>
      <c r="B990" s="11" t="s">
        <v>72</v>
      </c>
      <c r="C990">
        <v>4018</v>
      </c>
      <c r="D990" s="9">
        <v>771.04</v>
      </c>
      <c r="E990" t="s">
        <v>59</v>
      </c>
    </row>
    <row r="991" spans="1:5">
      <c r="A991" t="s">
        <v>36</v>
      </c>
      <c r="B991" s="11" t="s">
        <v>72</v>
      </c>
      <c r="C991">
        <v>4022</v>
      </c>
      <c r="D991" s="9">
        <v>77.099999999999994</v>
      </c>
      <c r="E991" t="s">
        <v>59</v>
      </c>
    </row>
    <row r="992" spans="1:5">
      <c r="A992" t="s">
        <v>36</v>
      </c>
      <c r="B992" s="11" t="s">
        <v>72</v>
      </c>
      <c r="C992">
        <v>4023</v>
      </c>
      <c r="D992" s="9">
        <v>154.21</v>
      </c>
      <c r="E992" t="s">
        <v>59</v>
      </c>
    </row>
    <row r="993" spans="1:5">
      <c r="A993" t="s">
        <v>36</v>
      </c>
      <c r="B993" s="11" t="s">
        <v>78</v>
      </c>
      <c r="C993">
        <v>1001</v>
      </c>
      <c r="D993" s="9">
        <v>-14259.4</v>
      </c>
      <c r="E993" t="s">
        <v>59</v>
      </c>
    </row>
    <row r="994" spans="1:5">
      <c r="A994" t="s">
        <v>36</v>
      </c>
      <c r="B994" s="11" t="s">
        <v>78</v>
      </c>
      <c r="C994">
        <v>4011</v>
      </c>
      <c r="D994" s="9">
        <v>192</v>
      </c>
      <c r="E994" t="s">
        <v>59</v>
      </c>
    </row>
    <row r="995" spans="1:5">
      <c r="A995" t="s">
        <v>36</v>
      </c>
      <c r="B995" s="11" t="s">
        <v>78</v>
      </c>
      <c r="C995">
        <v>4012</v>
      </c>
      <c r="D995" s="9">
        <v>38.4</v>
      </c>
      <c r="E995" t="s">
        <v>59</v>
      </c>
    </row>
    <row r="996" spans="1:5">
      <c r="A996" t="s">
        <v>36</v>
      </c>
      <c r="B996" s="11" t="s">
        <v>78</v>
      </c>
      <c r="C996">
        <v>4018</v>
      </c>
      <c r="D996" s="9">
        <v>748.62</v>
      </c>
      <c r="E996" t="s">
        <v>59</v>
      </c>
    </row>
    <row r="997" spans="1:5">
      <c r="A997" t="s">
        <v>36</v>
      </c>
      <c r="B997" s="11" t="s">
        <v>78</v>
      </c>
      <c r="C997">
        <v>4022</v>
      </c>
      <c r="D997" s="9">
        <v>57.25</v>
      </c>
      <c r="E997" t="s">
        <v>59</v>
      </c>
    </row>
    <row r="998" spans="1:5">
      <c r="A998" t="s">
        <v>36</v>
      </c>
      <c r="B998" s="11" t="s">
        <v>78</v>
      </c>
      <c r="C998">
        <v>4023</v>
      </c>
      <c r="D998" s="9">
        <v>119.78</v>
      </c>
      <c r="E998" t="s">
        <v>59</v>
      </c>
    </row>
    <row r="999" spans="1:5">
      <c r="A999" t="s">
        <v>36</v>
      </c>
      <c r="B999" s="11" t="s">
        <v>73</v>
      </c>
      <c r="C999">
        <v>1001</v>
      </c>
      <c r="D999" s="9">
        <v>-15939.62</v>
      </c>
      <c r="E999" t="s">
        <v>60</v>
      </c>
    </row>
    <row r="1000" spans="1:5">
      <c r="A1000" t="s">
        <v>36</v>
      </c>
      <c r="B1000" s="11" t="s">
        <v>73</v>
      </c>
      <c r="C1000">
        <v>4011</v>
      </c>
      <c r="D1000" s="9">
        <v>361.13</v>
      </c>
      <c r="E1000" t="s">
        <v>60</v>
      </c>
    </row>
    <row r="1001" spans="1:5">
      <c r="A1001" t="s">
        <v>36</v>
      </c>
      <c r="B1001" s="11" t="s">
        <v>73</v>
      </c>
      <c r="C1001">
        <v>4012</v>
      </c>
      <c r="D1001" s="9">
        <v>72.23</v>
      </c>
      <c r="E1001" t="s">
        <v>60</v>
      </c>
    </row>
    <row r="1002" spans="1:5">
      <c r="A1002" t="s">
        <v>36</v>
      </c>
      <c r="B1002" s="11" t="s">
        <v>73</v>
      </c>
      <c r="C1002">
        <v>4018</v>
      </c>
      <c r="D1002" s="9">
        <v>301.26</v>
      </c>
      <c r="E1002" t="s">
        <v>60</v>
      </c>
    </row>
    <row r="1003" spans="1:5">
      <c r="A1003" t="s">
        <v>36</v>
      </c>
      <c r="B1003" s="11" t="s">
        <v>73</v>
      </c>
      <c r="C1003">
        <v>4022</v>
      </c>
      <c r="D1003" s="9">
        <v>66.95</v>
      </c>
      <c r="E1003" t="s">
        <v>60</v>
      </c>
    </row>
    <row r="1004" spans="1:5">
      <c r="A1004" t="s">
        <v>36</v>
      </c>
      <c r="B1004" s="11" t="s">
        <v>73</v>
      </c>
      <c r="C1004">
        <v>4023</v>
      </c>
      <c r="D1004" s="9">
        <v>133.88999999999999</v>
      </c>
      <c r="E1004" t="s">
        <v>60</v>
      </c>
    </row>
    <row r="1005" spans="1:5">
      <c r="A1005" t="s">
        <v>36</v>
      </c>
      <c r="B1005" s="11" t="s">
        <v>74</v>
      </c>
      <c r="C1005">
        <v>1001</v>
      </c>
      <c r="D1005" s="9">
        <v>-16520.439999999999</v>
      </c>
      <c r="E1005" t="s">
        <v>60</v>
      </c>
    </row>
    <row r="1006" spans="1:5">
      <c r="A1006" t="s">
        <v>36</v>
      </c>
      <c r="B1006" s="11" t="s">
        <v>74</v>
      </c>
      <c r="C1006">
        <v>4011</v>
      </c>
      <c r="D1006" s="9">
        <v>422.6</v>
      </c>
      <c r="E1006" t="s">
        <v>60</v>
      </c>
    </row>
    <row r="1007" spans="1:5">
      <c r="A1007" t="s">
        <v>36</v>
      </c>
      <c r="B1007" s="11" t="s">
        <v>74</v>
      </c>
      <c r="C1007">
        <v>4012</v>
      </c>
      <c r="D1007" s="9">
        <v>84.52</v>
      </c>
      <c r="E1007" t="s">
        <v>60</v>
      </c>
    </row>
    <row r="1008" spans="1:5">
      <c r="A1008" t="s">
        <v>36</v>
      </c>
      <c r="B1008" s="11" t="s">
        <v>74</v>
      </c>
      <c r="C1008">
        <v>4018</v>
      </c>
      <c r="D1008" s="9">
        <v>327.10000000000002</v>
      </c>
      <c r="E1008" t="s">
        <v>60</v>
      </c>
    </row>
    <row r="1009" spans="1:5">
      <c r="A1009" t="s">
        <v>36</v>
      </c>
      <c r="B1009" s="11" t="s">
        <v>74</v>
      </c>
      <c r="C1009">
        <v>4022</v>
      </c>
      <c r="D1009" s="9">
        <v>72.69</v>
      </c>
      <c r="E1009" t="s">
        <v>60</v>
      </c>
    </row>
    <row r="1010" spans="1:5">
      <c r="A1010" t="s">
        <v>36</v>
      </c>
      <c r="B1010" s="11" t="s">
        <v>74</v>
      </c>
      <c r="C1010">
        <v>4023</v>
      </c>
      <c r="D1010" s="9">
        <v>145.38</v>
      </c>
      <c r="E1010" t="s">
        <v>60</v>
      </c>
    </row>
    <row r="1011" spans="1:5">
      <c r="A1011" t="s">
        <v>37</v>
      </c>
      <c r="B1011" s="11" t="s">
        <v>61</v>
      </c>
      <c r="C1011">
        <v>1001</v>
      </c>
      <c r="D1011" s="9">
        <v>-14908.11</v>
      </c>
      <c r="E1011" t="s">
        <v>56</v>
      </c>
    </row>
    <row r="1012" spans="1:5">
      <c r="A1012" t="s">
        <v>37</v>
      </c>
      <c r="B1012" s="11" t="s">
        <v>61</v>
      </c>
      <c r="C1012">
        <v>4011</v>
      </c>
      <c r="D1012" s="9">
        <v>203.84</v>
      </c>
      <c r="E1012" t="s">
        <v>56</v>
      </c>
    </row>
    <row r="1013" spans="1:5">
      <c r="A1013" t="s">
        <v>37</v>
      </c>
      <c r="B1013" s="11" t="s">
        <v>61</v>
      </c>
      <c r="C1013">
        <v>4012</v>
      </c>
      <c r="D1013" s="9">
        <v>35.67</v>
      </c>
      <c r="E1013" t="s">
        <v>56</v>
      </c>
    </row>
    <row r="1014" spans="1:5">
      <c r="A1014" t="s">
        <v>37</v>
      </c>
      <c r="B1014" s="11" t="s">
        <v>61</v>
      </c>
      <c r="C1014">
        <v>4018</v>
      </c>
      <c r="D1014" s="9">
        <v>276.39999999999998</v>
      </c>
      <c r="E1014" t="s">
        <v>56</v>
      </c>
    </row>
    <row r="1015" spans="1:5">
      <c r="A1015" t="s">
        <v>37</v>
      </c>
      <c r="B1015" s="11" t="s">
        <v>61</v>
      </c>
      <c r="C1015">
        <v>4021</v>
      </c>
      <c r="D1015" s="9">
        <v>222.91</v>
      </c>
      <c r="E1015" t="s">
        <v>56</v>
      </c>
    </row>
    <row r="1016" spans="1:5">
      <c r="A1016" t="s">
        <v>37</v>
      </c>
      <c r="B1016" s="11" t="s">
        <v>61</v>
      </c>
      <c r="C1016">
        <v>4022</v>
      </c>
      <c r="D1016" s="9">
        <v>67.56</v>
      </c>
      <c r="E1016" t="s">
        <v>56</v>
      </c>
    </row>
    <row r="1017" spans="1:5">
      <c r="A1017" t="s">
        <v>37</v>
      </c>
      <c r="B1017" s="11" t="s">
        <v>61</v>
      </c>
      <c r="C1017">
        <v>4023</v>
      </c>
      <c r="D1017" s="9">
        <v>122.84</v>
      </c>
      <c r="E1017" t="s">
        <v>56</v>
      </c>
    </row>
    <row r="1018" spans="1:5">
      <c r="A1018" t="s">
        <v>37</v>
      </c>
      <c r="B1018" s="11" t="s">
        <v>62</v>
      </c>
      <c r="C1018">
        <v>1001</v>
      </c>
      <c r="D1018" s="9">
        <v>-9816.83</v>
      </c>
      <c r="E1018" t="s">
        <v>56</v>
      </c>
    </row>
    <row r="1019" spans="1:5">
      <c r="A1019" t="s">
        <v>37</v>
      </c>
      <c r="B1019" s="11" t="s">
        <v>62</v>
      </c>
      <c r="C1019">
        <v>4011</v>
      </c>
      <c r="D1019" s="9">
        <v>151.58000000000001</v>
      </c>
      <c r="E1019" t="s">
        <v>56</v>
      </c>
    </row>
    <row r="1020" spans="1:5">
      <c r="A1020" t="s">
        <v>37</v>
      </c>
      <c r="B1020" s="11" t="s">
        <v>62</v>
      </c>
      <c r="C1020">
        <v>4012</v>
      </c>
      <c r="D1020" s="9">
        <v>26.53</v>
      </c>
      <c r="E1020" t="s">
        <v>56</v>
      </c>
    </row>
    <row r="1021" spans="1:5">
      <c r="A1021" t="s">
        <v>37</v>
      </c>
      <c r="B1021" s="11" t="s">
        <v>62</v>
      </c>
      <c r="C1021">
        <v>4018</v>
      </c>
      <c r="D1021" s="9">
        <v>182</v>
      </c>
      <c r="E1021" t="s">
        <v>56</v>
      </c>
    </row>
    <row r="1022" spans="1:5">
      <c r="A1022" t="s">
        <v>37</v>
      </c>
      <c r="B1022" s="11" t="s">
        <v>62</v>
      </c>
      <c r="C1022">
        <v>4021</v>
      </c>
      <c r="D1022" s="9">
        <v>222.91</v>
      </c>
      <c r="E1022" t="s">
        <v>56</v>
      </c>
    </row>
    <row r="1023" spans="1:5">
      <c r="A1023" t="s">
        <v>37</v>
      </c>
      <c r="B1023" s="11" t="s">
        <v>62</v>
      </c>
      <c r="C1023">
        <v>4022</v>
      </c>
      <c r="D1023" s="9">
        <v>44.49</v>
      </c>
      <c r="E1023" t="s">
        <v>56</v>
      </c>
    </row>
    <row r="1024" spans="1:5">
      <c r="A1024" t="s">
        <v>37</v>
      </c>
      <c r="B1024" s="11" t="s">
        <v>62</v>
      </c>
      <c r="C1024">
        <v>4023</v>
      </c>
      <c r="D1024" s="9">
        <v>80.89</v>
      </c>
      <c r="E1024" t="s">
        <v>56</v>
      </c>
    </row>
    <row r="1025" spans="1:5">
      <c r="A1025" t="s">
        <v>37</v>
      </c>
      <c r="B1025" s="11" t="s">
        <v>63</v>
      </c>
      <c r="C1025">
        <v>1001</v>
      </c>
      <c r="D1025" s="9">
        <v>-17128.27</v>
      </c>
      <c r="E1025" t="s">
        <v>56</v>
      </c>
    </row>
    <row r="1026" spans="1:5">
      <c r="A1026" t="s">
        <v>37</v>
      </c>
      <c r="B1026" s="11" t="s">
        <v>63</v>
      </c>
      <c r="C1026">
        <v>4011</v>
      </c>
      <c r="D1026" s="9">
        <v>293.61</v>
      </c>
      <c r="E1026" t="s">
        <v>56</v>
      </c>
    </row>
    <row r="1027" spans="1:5">
      <c r="A1027" t="s">
        <v>37</v>
      </c>
      <c r="B1027" s="11" t="s">
        <v>63</v>
      </c>
      <c r="C1027">
        <v>4012</v>
      </c>
      <c r="D1027" s="9">
        <v>58.72</v>
      </c>
      <c r="E1027" t="s">
        <v>56</v>
      </c>
    </row>
    <row r="1028" spans="1:5">
      <c r="A1028" t="s">
        <v>37</v>
      </c>
      <c r="B1028" s="11" t="s">
        <v>63</v>
      </c>
      <c r="C1028">
        <v>4018</v>
      </c>
      <c r="D1028" s="9">
        <v>317.56</v>
      </c>
      <c r="E1028" t="s">
        <v>56</v>
      </c>
    </row>
    <row r="1029" spans="1:5">
      <c r="A1029" t="s">
        <v>37</v>
      </c>
      <c r="B1029" s="11" t="s">
        <v>63</v>
      </c>
      <c r="C1029">
        <v>4021</v>
      </c>
      <c r="D1029" s="9">
        <v>222.91</v>
      </c>
      <c r="E1029" t="s">
        <v>56</v>
      </c>
    </row>
    <row r="1030" spans="1:5">
      <c r="A1030" t="s">
        <v>37</v>
      </c>
      <c r="B1030" s="11" t="s">
        <v>63</v>
      </c>
      <c r="C1030">
        <v>4022</v>
      </c>
      <c r="D1030" s="9">
        <v>77.63</v>
      </c>
      <c r="E1030" t="s">
        <v>56</v>
      </c>
    </row>
    <row r="1031" spans="1:5">
      <c r="A1031" t="s">
        <v>37</v>
      </c>
      <c r="B1031" s="11" t="s">
        <v>63</v>
      </c>
      <c r="C1031">
        <v>4023</v>
      </c>
      <c r="D1031" s="9">
        <v>141.13999999999999</v>
      </c>
      <c r="E1031" t="s">
        <v>56</v>
      </c>
    </row>
    <row r="1032" spans="1:5">
      <c r="A1032" t="s">
        <v>37</v>
      </c>
      <c r="B1032" s="11" t="s">
        <v>75</v>
      </c>
      <c r="C1032">
        <v>1001</v>
      </c>
      <c r="D1032" s="9">
        <v>-16470.900000000001</v>
      </c>
      <c r="E1032" t="s">
        <v>56</v>
      </c>
    </row>
    <row r="1033" spans="1:5">
      <c r="A1033" t="s">
        <v>37</v>
      </c>
      <c r="B1033" s="11" t="s">
        <v>75</v>
      </c>
      <c r="C1033">
        <v>4011</v>
      </c>
      <c r="D1033" s="9">
        <v>282.22000000000003</v>
      </c>
      <c r="E1033" t="s">
        <v>56</v>
      </c>
    </row>
    <row r="1034" spans="1:5">
      <c r="A1034" t="s">
        <v>37</v>
      </c>
      <c r="B1034" s="11" t="s">
        <v>75</v>
      </c>
      <c r="C1034">
        <v>4012</v>
      </c>
      <c r="D1034" s="9">
        <v>56.44</v>
      </c>
      <c r="E1034" t="s">
        <v>56</v>
      </c>
    </row>
    <row r="1035" spans="1:5">
      <c r="A1035" t="s">
        <v>37</v>
      </c>
      <c r="B1035" s="11" t="s">
        <v>75</v>
      </c>
      <c r="C1035">
        <v>4018</v>
      </c>
      <c r="D1035" s="9">
        <v>330.96</v>
      </c>
      <c r="E1035" t="s">
        <v>56</v>
      </c>
    </row>
    <row r="1036" spans="1:5">
      <c r="A1036" t="s">
        <v>37</v>
      </c>
      <c r="B1036" s="11" t="s">
        <v>75</v>
      </c>
      <c r="C1036">
        <v>4021</v>
      </c>
      <c r="D1036" s="9">
        <v>225</v>
      </c>
      <c r="E1036" t="s">
        <v>56</v>
      </c>
    </row>
    <row r="1037" spans="1:5">
      <c r="A1037" t="s">
        <v>37</v>
      </c>
      <c r="B1037" s="11" t="s">
        <v>75</v>
      </c>
      <c r="C1037">
        <v>4022</v>
      </c>
      <c r="D1037" s="9">
        <v>80.900000000000006</v>
      </c>
      <c r="E1037" t="s">
        <v>56</v>
      </c>
    </row>
    <row r="1038" spans="1:5">
      <c r="A1038" t="s">
        <v>37</v>
      </c>
      <c r="B1038" s="11" t="s">
        <v>75</v>
      </c>
      <c r="C1038">
        <v>4023</v>
      </c>
      <c r="D1038" s="9">
        <v>147.09</v>
      </c>
      <c r="E1038" t="s">
        <v>56</v>
      </c>
    </row>
    <row r="1039" spans="1:5">
      <c r="A1039" t="s">
        <v>37</v>
      </c>
      <c r="B1039" s="11" t="s">
        <v>64</v>
      </c>
      <c r="C1039">
        <v>1001</v>
      </c>
      <c r="D1039" s="9">
        <v>-15257.76</v>
      </c>
      <c r="E1039" t="s">
        <v>57</v>
      </c>
    </row>
    <row r="1040" spans="1:5">
      <c r="A1040" t="s">
        <v>37</v>
      </c>
      <c r="B1040" s="11" t="s">
        <v>64</v>
      </c>
      <c r="C1040">
        <v>4011</v>
      </c>
      <c r="D1040" s="9">
        <v>277.87</v>
      </c>
      <c r="E1040" t="s">
        <v>57</v>
      </c>
    </row>
    <row r="1041" spans="1:5">
      <c r="A1041" t="s">
        <v>37</v>
      </c>
      <c r="B1041" s="11" t="s">
        <v>64</v>
      </c>
      <c r="C1041">
        <v>4012</v>
      </c>
      <c r="D1041" s="9">
        <v>55.57</v>
      </c>
      <c r="E1041" t="s">
        <v>57</v>
      </c>
    </row>
    <row r="1042" spans="1:5">
      <c r="A1042" t="s">
        <v>37</v>
      </c>
      <c r="B1042" s="11" t="s">
        <v>64</v>
      </c>
      <c r="C1042">
        <v>4018</v>
      </c>
      <c r="D1042" s="9">
        <v>282.88</v>
      </c>
      <c r="E1042" t="s">
        <v>57</v>
      </c>
    </row>
    <row r="1043" spans="1:5">
      <c r="A1043" t="s">
        <v>37</v>
      </c>
      <c r="B1043" s="11" t="s">
        <v>64</v>
      </c>
      <c r="C1043">
        <v>4021</v>
      </c>
      <c r="D1043" s="9">
        <v>231.82</v>
      </c>
      <c r="E1043" t="s">
        <v>57</v>
      </c>
    </row>
    <row r="1044" spans="1:5">
      <c r="A1044" t="s">
        <v>37</v>
      </c>
      <c r="B1044" s="11" t="s">
        <v>64</v>
      </c>
      <c r="C1044">
        <v>4022</v>
      </c>
      <c r="D1044" s="9">
        <v>69.150000000000006</v>
      </c>
      <c r="E1044" t="s">
        <v>57</v>
      </c>
    </row>
    <row r="1045" spans="1:5">
      <c r="A1045" t="s">
        <v>37</v>
      </c>
      <c r="B1045" s="11" t="s">
        <v>64</v>
      </c>
      <c r="C1045">
        <v>4023</v>
      </c>
      <c r="D1045" s="9">
        <v>125.72</v>
      </c>
      <c r="E1045" t="s">
        <v>57</v>
      </c>
    </row>
    <row r="1046" spans="1:5">
      <c r="A1046" t="s">
        <v>37</v>
      </c>
      <c r="B1046" s="11" t="s">
        <v>65</v>
      </c>
      <c r="C1046">
        <v>1001</v>
      </c>
      <c r="D1046" s="9">
        <v>-11557.41</v>
      </c>
      <c r="E1046" t="s">
        <v>57</v>
      </c>
    </row>
    <row r="1047" spans="1:5">
      <c r="A1047" t="s">
        <v>37</v>
      </c>
      <c r="B1047" s="11" t="s">
        <v>65</v>
      </c>
      <c r="C1047">
        <v>4011</v>
      </c>
      <c r="D1047" s="9">
        <v>242.35</v>
      </c>
      <c r="E1047" t="s">
        <v>57</v>
      </c>
    </row>
    <row r="1048" spans="1:5">
      <c r="A1048" t="s">
        <v>37</v>
      </c>
      <c r="B1048" s="11" t="s">
        <v>65</v>
      </c>
      <c r="C1048">
        <v>4012</v>
      </c>
      <c r="D1048" s="9">
        <v>48.47</v>
      </c>
      <c r="E1048" t="s">
        <v>57</v>
      </c>
    </row>
    <row r="1049" spans="1:5">
      <c r="A1049" t="s">
        <v>37</v>
      </c>
      <c r="B1049" s="11" t="s">
        <v>65</v>
      </c>
      <c r="C1049">
        <v>4018</v>
      </c>
      <c r="D1049" s="9">
        <v>228.84</v>
      </c>
      <c r="E1049" t="s">
        <v>57</v>
      </c>
    </row>
    <row r="1050" spans="1:5">
      <c r="A1050" t="s">
        <v>37</v>
      </c>
      <c r="B1050" s="11" t="s">
        <v>65</v>
      </c>
      <c r="C1050">
        <v>4021</v>
      </c>
      <c r="D1050" s="9">
        <v>222.91</v>
      </c>
      <c r="E1050" t="s">
        <v>57</v>
      </c>
    </row>
    <row r="1051" spans="1:5">
      <c r="A1051" t="s">
        <v>37</v>
      </c>
      <c r="B1051" s="11" t="s">
        <v>65</v>
      </c>
      <c r="C1051">
        <v>4022</v>
      </c>
      <c r="D1051" s="9">
        <v>55.94</v>
      </c>
      <c r="E1051" t="s">
        <v>57</v>
      </c>
    </row>
    <row r="1052" spans="1:5">
      <c r="A1052" t="s">
        <v>37</v>
      </c>
      <c r="B1052" s="11" t="s">
        <v>65</v>
      </c>
      <c r="C1052">
        <v>4023</v>
      </c>
      <c r="D1052" s="9">
        <v>101.71</v>
      </c>
      <c r="E1052" t="s">
        <v>57</v>
      </c>
    </row>
    <row r="1053" spans="1:5">
      <c r="A1053" t="s">
        <v>37</v>
      </c>
      <c r="B1053" s="11" t="s">
        <v>66</v>
      </c>
      <c r="C1053">
        <v>1001</v>
      </c>
      <c r="D1053" s="9">
        <v>-22197.84</v>
      </c>
      <c r="E1053" t="s">
        <v>57</v>
      </c>
    </row>
    <row r="1054" spans="1:5">
      <c r="A1054" t="s">
        <v>37</v>
      </c>
      <c r="B1054" s="11" t="s">
        <v>66</v>
      </c>
      <c r="C1054">
        <v>4011</v>
      </c>
      <c r="D1054" s="9">
        <v>336.77</v>
      </c>
      <c r="E1054" t="s">
        <v>57</v>
      </c>
    </row>
    <row r="1055" spans="1:5">
      <c r="A1055" t="s">
        <v>37</v>
      </c>
      <c r="B1055" s="11" t="s">
        <v>66</v>
      </c>
      <c r="C1055">
        <v>4012</v>
      </c>
      <c r="D1055" s="9">
        <v>67.349999999999994</v>
      </c>
      <c r="E1055" t="s">
        <v>57</v>
      </c>
    </row>
    <row r="1056" spans="1:5">
      <c r="A1056" t="s">
        <v>37</v>
      </c>
      <c r="B1056" s="11" t="s">
        <v>66</v>
      </c>
      <c r="C1056">
        <v>4018</v>
      </c>
      <c r="D1056" s="9">
        <v>411.55</v>
      </c>
      <c r="E1056" t="s">
        <v>57</v>
      </c>
    </row>
    <row r="1057" spans="1:5">
      <c r="A1057" t="s">
        <v>37</v>
      </c>
      <c r="B1057" s="11" t="s">
        <v>66</v>
      </c>
      <c r="C1057">
        <v>4021</v>
      </c>
      <c r="D1057" s="9">
        <v>231.82</v>
      </c>
      <c r="E1057" t="s">
        <v>57</v>
      </c>
    </row>
    <row r="1058" spans="1:5">
      <c r="A1058" t="s">
        <v>37</v>
      </c>
      <c r="B1058" s="11" t="s">
        <v>66</v>
      </c>
      <c r="C1058">
        <v>4022</v>
      </c>
      <c r="D1058" s="9">
        <v>100.6</v>
      </c>
      <c r="E1058" t="s">
        <v>57</v>
      </c>
    </row>
    <row r="1059" spans="1:5">
      <c r="A1059" t="s">
        <v>37</v>
      </c>
      <c r="B1059" s="11" t="s">
        <v>66</v>
      </c>
      <c r="C1059">
        <v>4023</v>
      </c>
      <c r="D1059" s="9">
        <v>182.91</v>
      </c>
      <c r="E1059" t="s">
        <v>57</v>
      </c>
    </row>
    <row r="1060" spans="1:5">
      <c r="A1060" t="s">
        <v>37</v>
      </c>
      <c r="B1060" s="11" t="s">
        <v>67</v>
      </c>
      <c r="C1060">
        <v>1001</v>
      </c>
      <c r="D1060" s="9">
        <v>-10512.66</v>
      </c>
      <c r="E1060" t="s">
        <v>57</v>
      </c>
    </row>
    <row r="1061" spans="1:5">
      <c r="A1061" t="s">
        <v>37</v>
      </c>
      <c r="B1061" s="11" t="s">
        <v>67</v>
      </c>
      <c r="C1061">
        <v>4011</v>
      </c>
      <c r="D1061" s="9">
        <v>170.7</v>
      </c>
      <c r="E1061" t="s">
        <v>57</v>
      </c>
    </row>
    <row r="1062" spans="1:5">
      <c r="A1062" t="s">
        <v>37</v>
      </c>
      <c r="B1062" s="11" t="s">
        <v>67</v>
      </c>
      <c r="C1062">
        <v>4012</v>
      </c>
      <c r="D1062" s="9">
        <v>34.14</v>
      </c>
      <c r="E1062" t="s">
        <v>57</v>
      </c>
    </row>
    <row r="1063" spans="1:5">
      <c r="A1063" t="s">
        <v>37</v>
      </c>
      <c r="B1063" s="11" t="s">
        <v>67</v>
      </c>
      <c r="C1063">
        <v>4018</v>
      </c>
      <c r="D1063" s="9">
        <v>194.9</v>
      </c>
      <c r="E1063" t="s">
        <v>57</v>
      </c>
    </row>
    <row r="1064" spans="1:5">
      <c r="A1064" t="s">
        <v>37</v>
      </c>
      <c r="B1064" s="11" t="s">
        <v>67</v>
      </c>
      <c r="C1064">
        <v>4021</v>
      </c>
      <c r="D1064" s="9">
        <v>222.91</v>
      </c>
      <c r="E1064" t="s">
        <v>57</v>
      </c>
    </row>
    <row r="1065" spans="1:5">
      <c r="A1065" t="s">
        <v>37</v>
      </c>
      <c r="B1065" s="11" t="s">
        <v>67</v>
      </c>
      <c r="C1065">
        <v>4022</v>
      </c>
      <c r="D1065" s="9">
        <v>47.64</v>
      </c>
      <c r="E1065" t="s">
        <v>57</v>
      </c>
    </row>
    <row r="1066" spans="1:5">
      <c r="A1066" t="s">
        <v>37</v>
      </c>
      <c r="B1066" s="11" t="s">
        <v>67</v>
      </c>
      <c r="C1066">
        <v>4023</v>
      </c>
      <c r="D1066" s="9">
        <v>86.62</v>
      </c>
      <c r="E1066" t="s">
        <v>57</v>
      </c>
    </row>
    <row r="1067" spans="1:5">
      <c r="A1067" t="s">
        <v>37</v>
      </c>
      <c r="B1067" s="11" t="s">
        <v>76</v>
      </c>
      <c r="C1067">
        <v>1001</v>
      </c>
      <c r="D1067" s="9">
        <v>-7306.04</v>
      </c>
      <c r="E1067" t="s">
        <v>57</v>
      </c>
    </row>
    <row r="1068" spans="1:5">
      <c r="A1068" t="s">
        <v>37</v>
      </c>
      <c r="B1068" s="11" t="s">
        <v>76</v>
      </c>
      <c r="C1068">
        <v>4011</v>
      </c>
      <c r="D1068" s="9">
        <v>86.38</v>
      </c>
      <c r="E1068" t="s">
        <v>57</v>
      </c>
    </row>
    <row r="1069" spans="1:5">
      <c r="A1069" t="s">
        <v>37</v>
      </c>
      <c r="B1069" s="11" t="s">
        <v>76</v>
      </c>
      <c r="C1069">
        <v>4012</v>
      </c>
      <c r="D1069" s="9">
        <v>16.2</v>
      </c>
      <c r="E1069" t="s">
        <v>57</v>
      </c>
    </row>
    <row r="1070" spans="1:5">
      <c r="A1070" t="s">
        <v>37</v>
      </c>
      <c r="B1070" s="11" t="s">
        <v>76</v>
      </c>
      <c r="C1070">
        <v>4018</v>
      </c>
      <c r="D1070" s="9">
        <v>135.44999999999999</v>
      </c>
      <c r="E1070" t="s">
        <v>57</v>
      </c>
    </row>
    <row r="1071" spans="1:5">
      <c r="A1071" t="s">
        <v>37</v>
      </c>
      <c r="B1071" s="11" t="s">
        <v>76</v>
      </c>
      <c r="C1071">
        <v>4021</v>
      </c>
      <c r="D1071" s="9">
        <v>222.91</v>
      </c>
      <c r="E1071" t="s">
        <v>57</v>
      </c>
    </row>
    <row r="1072" spans="1:5">
      <c r="A1072" t="s">
        <v>37</v>
      </c>
      <c r="B1072" s="11" t="s">
        <v>76</v>
      </c>
      <c r="C1072">
        <v>4022</v>
      </c>
      <c r="D1072" s="9">
        <v>33.11</v>
      </c>
      <c r="E1072" t="s">
        <v>57</v>
      </c>
    </row>
    <row r="1073" spans="1:5">
      <c r="A1073" t="s">
        <v>37</v>
      </c>
      <c r="B1073" s="11" t="s">
        <v>76</v>
      </c>
      <c r="C1073">
        <v>4023</v>
      </c>
      <c r="D1073" s="9">
        <v>60.2</v>
      </c>
      <c r="E1073" t="s">
        <v>57</v>
      </c>
    </row>
    <row r="1074" spans="1:5">
      <c r="A1074" t="s">
        <v>37</v>
      </c>
      <c r="B1074" s="11" t="s">
        <v>68</v>
      </c>
      <c r="C1074">
        <v>1001</v>
      </c>
      <c r="D1074" s="9">
        <v>-12856.05</v>
      </c>
      <c r="E1074" t="s">
        <v>58</v>
      </c>
    </row>
    <row r="1075" spans="1:5">
      <c r="A1075" t="s">
        <v>37</v>
      </c>
      <c r="B1075" s="11" t="s">
        <v>68</v>
      </c>
      <c r="C1075">
        <v>4011</v>
      </c>
      <c r="D1075" s="9">
        <v>208.42</v>
      </c>
      <c r="E1075" t="s">
        <v>58</v>
      </c>
    </row>
    <row r="1076" spans="1:5">
      <c r="A1076" t="s">
        <v>37</v>
      </c>
      <c r="B1076" s="11" t="s">
        <v>68</v>
      </c>
      <c r="C1076">
        <v>4012</v>
      </c>
      <c r="D1076" s="9">
        <v>36.47</v>
      </c>
      <c r="E1076" t="s">
        <v>58</v>
      </c>
    </row>
    <row r="1077" spans="1:5">
      <c r="A1077" t="s">
        <v>37</v>
      </c>
      <c r="B1077" s="11" t="s">
        <v>68</v>
      </c>
      <c r="C1077">
        <v>4018</v>
      </c>
      <c r="D1077" s="9">
        <v>242.98</v>
      </c>
      <c r="E1077" t="s">
        <v>58</v>
      </c>
    </row>
    <row r="1078" spans="1:5">
      <c r="A1078" t="s">
        <v>37</v>
      </c>
      <c r="B1078" s="11" t="s">
        <v>68</v>
      </c>
      <c r="C1078">
        <v>4021</v>
      </c>
      <c r="D1078" s="9">
        <v>222.91</v>
      </c>
      <c r="E1078" t="s">
        <v>58</v>
      </c>
    </row>
    <row r="1079" spans="1:5">
      <c r="A1079" t="s">
        <v>37</v>
      </c>
      <c r="B1079" s="11" t="s">
        <v>68</v>
      </c>
      <c r="C1079">
        <v>4022</v>
      </c>
      <c r="D1079" s="9">
        <v>59.39</v>
      </c>
      <c r="E1079" t="s">
        <v>58</v>
      </c>
    </row>
    <row r="1080" spans="1:5">
      <c r="A1080" t="s">
        <v>37</v>
      </c>
      <c r="B1080" s="11" t="s">
        <v>68</v>
      </c>
      <c r="C1080">
        <v>4023</v>
      </c>
      <c r="D1080" s="9">
        <v>107.99</v>
      </c>
      <c r="E1080" t="s">
        <v>58</v>
      </c>
    </row>
    <row r="1081" spans="1:5">
      <c r="A1081" t="s">
        <v>37</v>
      </c>
      <c r="B1081" s="11" t="s">
        <v>69</v>
      </c>
      <c r="C1081">
        <v>1001</v>
      </c>
      <c r="D1081" s="9">
        <v>-11370.61</v>
      </c>
      <c r="E1081" t="s">
        <v>58</v>
      </c>
    </row>
    <row r="1082" spans="1:5">
      <c r="A1082" t="s">
        <v>37</v>
      </c>
      <c r="B1082" s="11" t="s">
        <v>69</v>
      </c>
      <c r="C1082">
        <v>4011</v>
      </c>
      <c r="D1082" s="9">
        <v>109.36</v>
      </c>
      <c r="E1082" t="s">
        <v>58</v>
      </c>
    </row>
    <row r="1083" spans="1:5">
      <c r="A1083" t="s">
        <v>37</v>
      </c>
      <c r="B1083" s="11" t="s">
        <v>69</v>
      </c>
      <c r="C1083">
        <v>4012</v>
      </c>
      <c r="D1083" s="9">
        <v>19.14</v>
      </c>
      <c r="E1083" t="s">
        <v>58</v>
      </c>
    </row>
    <row r="1084" spans="1:5">
      <c r="A1084" t="s">
        <v>37</v>
      </c>
      <c r="B1084" s="11" t="s">
        <v>69</v>
      </c>
      <c r="C1084">
        <v>4018</v>
      </c>
      <c r="D1084" s="9">
        <v>210.81</v>
      </c>
      <c r="E1084" t="s">
        <v>58</v>
      </c>
    </row>
    <row r="1085" spans="1:5">
      <c r="A1085" t="s">
        <v>37</v>
      </c>
      <c r="B1085" s="11" t="s">
        <v>69</v>
      </c>
      <c r="C1085">
        <v>4021</v>
      </c>
      <c r="D1085" s="9">
        <v>222.91</v>
      </c>
      <c r="E1085" t="s">
        <v>58</v>
      </c>
    </row>
    <row r="1086" spans="1:5">
      <c r="A1086" t="s">
        <v>37</v>
      </c>
      <c r="B1086" s="11" t="s">
        <v>69</v>
      </c>
      <c r="C1086">
        <v>4022</v>
      </c>
      <c r="D1086" s="9">
        <v>51.53</v>
      </c>
      <c r="E1086" t="s">
        <v>58</v>
      </c>
    </row>
    <row r="1087" spans="1:5">
      <c r="A1087" t="s">
        <v>37</v>
      </c>
      <c r="B1087" s="11" t="s">
        <v>69</v>
      </c>
      <c r="C1087">
        <v>4023</v>
      </c>
      <c r="D1087" s="9">
        <v>93.69</v>
      </c>
      <c r="E1087" t="s">
        <v>58</v>
      </c>
    </row>
    <row r="1088" spans="1:5">
      <c r="A1088" t="s">
        <v>37</v>
      </c>
      <c r="B1088" s="11" t="s">
        <v>77</v>
      </c>
      <c r="C1088">
        <v>1001</v>
      </c>
      <c r="D1088" s="9">
        <v>-15104.29</v>
      </c>
      <c r="E1088" t="s">
        <v>58</v>
      </c>
    </row>
    <row r="1089" spans="1:5">
      <c r="A1089" t="s">
        <v>37</v>
      </c>
      <c r="B1089" s="11" t="s">
        <v>77</v>
      </c>
      <c r="C1089">
        <v>4011</v>
      </c>
      <c r="D1089" s="9">
        <v>325.56</v>
      </c>
      <c r="E1089" t="s">
        <v>58</v>
      </c>
    </row>
    <row r="1090" spans="1:5">
      <c r="A1090" t="s">
        <v>37</v>
      </c>
      <c r="B1090" s="11" t="s">
        <v>77</v>
      </c>
      <c r="C1090">
        <v>4012</v>
      </c>
      <c r="D1090" s="9">
        <v>65.11</v>
      </c>
      <c r="E1090" t="s">
        <v>58</v>
      </c>
    </row>
    <row r="1091" spans="1:5">
      <c r="A1091" t="s">
        <v>37</v>
      </c>
      <c r="B1091" s="11" t="s">
        <v>77</v>
      </c>
      <c r="C1091">
        <v>4018</v>
      </c>
      <c r="D1091" s="9">
        <v>280.02999999999997</v>
      </c>
      <c r="E1091" t="s">
        <v>58</v>
      </c>
    </row>
    <row r="1092" spans="1:5">
      <c r="A1092" t="s">
        <v>37</v>
      </c>
      <c r="B1092" s="11" t="s">
        <v>77</v>
      </c>
      <c r="C1092">
        <v>4021</v>
      </c>
      <c r="D1092" s="9">
        <v>231.82</v>
      </c>
      <c r="E1092" t="s">
        <v>58</v>
      </c>
    </row>
    <row r="1093" spans="1:5">
      <c r="A1093" t="s">
        <v>37</v>
      </c>
      <c r="B1093" s="11" t="s">
        <v>77</v>
      </c>
      <c r="C1093">
        <v>4022</v>
      </c>
      <c r="D1093" s="9">
        <v>68.45</v>
      </c>
      <c r="E1093" t="s">
        <v>58</v>
      </c>
    </row>
    <row r="1094" spans="1:5">
      <c r="A1094" t="s">
        <v>37</v>
      </c>
      <c r="B1094" s="11" t="s">
        <v>77</v>
      </c>
      <c r="C1094">
        <v>4023</v>
      </c>
      <c r="D1094" s="9">
        <v>124.46</v>
      </c>
      <c r="E1094" t="s">
        <v>58</v>
      </c>
    </row>
    <row r="1095" spans="1:5">
      <c r="A1095" t="s">
        <v>37</v>
      </c>
      <c r="B1095" s="11" t="s">
        <v>70</v>
      </c>
      <c r="C1095">
        <v>1001</v>
      </c>
      <c r="D1095" s="9">
        <v>-15310.84</v>
      </c>
      <c r="E1095" t="s">
        <v>59</v>
      </c>
    </row>
    <row r="1096" spans="1:5">
      <c r="A1096" t="s">
        <v>37</v>
      </c>
      <c r="B1096" s="11" t="s">
        <v>70</v>
      </c>
      <c r="C1096">
        <v>4011</v>
      </c>
      <c r="D1096" s="9">
        <v>251.76</v>
      </c>
      <c r="E1096" t="s">
        <v>59</v>
      </c>
    </row>
    <row r="1097" spans="1:5">
      <c r="A1097" t="s">
        <v>37</v>
      </c>
      <c r="B1097" s="11" t="s">
        <v>70</v>
      </c>
      <c r="C1097">
        <v>4012</v>
      </c>
      <c r="D1097" s="9">
        <v>50.35</v>
      </c>
      <c r="E1097" t="s">
        <v>59</v>
      </c>
    </row>
    <row r="1098" spans="1:5">
      <c r="A1098" t="s">
        <v>37</v>
      </c>
      <c r="B1098" s="11" t="s">
        <v>70</v>
      </c>
      <c r="C1098">
        <v>4018</v>
      </c>
      <c r="D1098" s="9">
        <v>315.39999999999998</v>
      </c>
      <c r="E1098" t="s">
        <v>59</v>
      </c>
    </row>
    <row r="1099" spans="1:5">
      <c r="A1099" t="s">
        <v>37</v>
      </c>
      <c r="B1099" s="11" t="s">
        <v>70</v>
      </c>
      <c r="C1099">
        <v>4021</v>
      </c>
      <c r="D1099" s="9">
        <v>231.82</v>
      </c>
      <c r="E1099" t="s">
        <v>59</v>
      </c>
    </row>
    <row r="1100" spans="1:5">
      <c r="A1100" t="s">
        <v>37</v>
      </c>
      <c r="B1100" s="11" t="s">
        <v>70</v>
      </c>
      <c r="C1100">
        <v>4022</v>
      </c>
      <c r="D1100" s="9">
        <v>69.39</v>
      </c>
      <c r="E1100" t="s">
        <v>59</v>
      </c>
    </row>
    <row r="1101" spans="1:5">
      <c r="A1101" t="s">
        <v>37</v>
      </c>
      <c r="B1101" s="11" t="s">
        <v>70</v>
      </c>
      <c r="C1101">
        <v>4023</v>
      </c>
      <c r="D1101" s="9">
        <v>126.16</v>
      </c>
      <c r="E1101" t="s">
        <v>59</v>
      </c>
    </row>
    <row r="1102" spans="1:5">
      <c r="A1102" t="s">
        <v>37</v>
      </c>
      <c r="B1102" s="11" t="s">
        <v>71</v>
      </c>
      <c r="C1102">
        <v>1001</v>
      </c>
      <c r="D1102" s="9">
        <v>-20122.43</v>
      </c>
      <c r="E1102" t="s">
        <v>59</v>
      </c>
    </row>
    <row r="1103" spans="1:5">
      <c r="A1103" t="s">
        <v>37</v>
      </c>
      <c r="B1103" s="11" t="s">
        <v>71</v>
      </c>
      <c r="C1103">
        <v>4011</v>
      </c>
      <c r="D1103" s="9">
        <v>392.16</v>
      </c>
      <c r="E1103" t="s">
        <v>59</v>
      </c>
    </row>
    <row r="1104" spans="1:5">
      <c r="A1104" t="s">
        <v>37</v>
      </c>
      <c r="B1104" s="11" t="s">
        <v>71</v>
      </c>
      <c r="C1104">
        <v>4012</v>
      </c>
      <c r="D1104" s="9">
        <v>78.430000000000007</v>
      </c>
      <c r="E1104" t="s">
        <v>59</v>
      </c>
    </row>
    <row r="1105" spans="1:5">
      <c r="A1105" t="s">
        <v>37</v>
      </c>
      <c r="B1105" s="11" t="s">
        <v>71</v>
      </c>
      <c r="C1105">
        <v>4018</v>
      </c>
      <c r="D1105" s="9">
        <v>373.07</v>
      </c>
      <c r="E1105" t="s">
        <v>59</v>
      </c>
    </row>
    <row r="1106" spans="1:5">
      <c r="A1106" t="s">
        <v>37</v>
      </c>
      <c r="B1106" s="11" t="s">
        <v>71</v>
      </c>
      <c r="C1106">
        <v>4021</v>
      </c>
      <c r="D1106" s="9">
        <v>231.82</v>
      </c>
      <c r="E1106" t="s">
        <v>59</v>
      </c>
    </row>
    <row r="1107" spans="1:5">
      <c r="A1107" t="s">
        <v>37</v>
      </c>
      <c r="B1107" s="11" t="s">
        <v>71</v>
      </c>
      <c r="C1107">
        <v>4022</v>
      </c>
      <c r="D1107" s="9">
        <v>91.19</v>
      </c>
      <c r="E1107" t="s">
        <v>59</v>
      </c>
    </row>
    <row r="1108" spans="1:5">
      <c r="A1108" t="s">
        <v>37</v>
      </c>
      <c r="B1108" s="11" t="s">
        <v>71</v>
      </c>
      <c r="C1108">
        <v>4023</v>
      </c>
      <c r="D1108" s="9">
        <v>165.81</v>
      </c>
      <c r="E1108" t="s">
        <v>59</v>
      </c>
    </row>
    <row r="1109" spans="1:5">
      <c r="A1109" t="s">
        <v>37</v>
      </c>
      <c r="B1109" s="11" t="s">
        <v>72</v>
      </c>
      <c r="C1109">
        <v>1001</v>
      </c>
      <c r="D1109" s="9">
        <v>-18935.150000000001</v>
      </c>
      <c r="E1109" t="s">
        <v>59</v>
      </c>
    </row>
    <row r="1110" spans="1:5">
      <c r="A1110" t="s">
        <v>37</v>
      </c>
      <c r="B1110" s="11" t="s">
        <v>72</v>
      </c>
      <c r="C1110">
        <v>4011</v>
      </c>
      <c r="D1110" s="9">
        <v>400.11</v>
      </c>
      <c r="E1110" t="s">
        <v>59</v>
      </c>
    </row>
    <row r="1111" spans="1:5">
      <c r="A1111" t="s">
        <v>37</v>
      </c>
      <c r="B1111" s="11" t="s">
        <v>72</v>
      </c>
      <c r="C1111">
        <v>4012</v>
      </c>
      <c r="D1111" s="9">
        <v>80.02</v>
      </c>
      <c r="E1111" t="s">
        <v>59</v>
      </c>
    </row>
    <row r="1112" spans="1:5">
      <c r="A1112" t="s">
        <v>37</v>
      </c>
      <c r="B1112" s="11" t="s">
        <v>72</v>
      </c>
      <c r="C1112">
        <v>4018</v>
      </c>
      <c r="D1112" s="9">
        <v>780.13</v>
      </c>
      <c r="E1112" t="s">
        <v>59</v>
      </c>
    </row>
    <row r="1113" spans="1:5">
      <c r="A1113" t="s">
        <v>37</v>
      </c>
      <c r="B1113" s="11" t="s">
        <v>72</v>
      </c>
      <c r="C1113">
        <v>4021</v>
      </c>
      <c r="D1113" s="9">
        <v>234</v>
      </c>
      <c r="E1113" t="s">
        <v>59</v>
      </c>
    </row>
    <row r="1114" spans="1:5">
      <c r="A1114" t="s">
        <v>37</v>
      </c>
      <c r="B1114" s="11" t="s">
        <v>72</v>
      </c>
      <c r="C1114">
        <v>4022</v>
      </c>
      <c r="D1114" s="9">
        <v>85.81</v>
      </c>
      <c r="E1114" t="s">
        <v>59</v>
      </c>
    </row>
    <row r="1115" spans="1:5">
      <c r="A1115" t="s">
        <v>37</v>
      </c>
      <c r="B1115" s="11" t="s">
        <v>72</v>
      </c>
      <c r="C1115">
        <v>4023</v>
      </c>
      <c r="D1115" s="9">
        <v>156.03</v>
      </c>
      <c r="E1115" t="s">
        <v>59</v>
      </c>
    </row>
    <row r="1116" spans="1:5">
      <c r="A1116" t="s">
        <v>37</v>
      </c>
      <c r="B1116" s="11" t="s">
        <v>78</v>
      </c>
      <c r="C1116">
        <v>1001</v>
      </c>
      <c r="D1116" s="9">
        <v>-13245.19</v>
      </c>
      <c r="E1116" t="s">
        <v>59</v>
      </c>
    </row>
    <row r="1117" spans="1:5">
      <c r="A1117" t="s">
        <v>37</v>
      </c>
      <c r="B1117" s="11" t="s">
        <v>78</v>
      </c>
      <c r="C1117">
        <v>4011</v>
      </c>
      <c r="D1117" s="9">
        <v>213.82</v>
      </c>
      <c r="E1117" t="s">
        <v>59</v>
      </c>
    </row>
    <row r="1118" spans="1:5">
      <c r="A1118" t="s">
        <v>37</v>
      </c>
      <c r="B1118" s="11" t="s">
        <v>78</v>
      </c>
      <c r="C1118">
        <v>4012</v>
      </c>
      <c r="D1118" s="9">
        <v>42.76</v>
      </c>
      <c r="E1118" t="s">
        <v>59</v>
      </c>
    </row>
    <row r="1119" spans="1:5">
      <c r="A1119" t="s">
        <v>37</v>
      </c>
      <c r="B1119" s="11" t="s">
        <v>78</v>
      </c>
      <c r="C1119">
        <v>4018</v>
      </c>
      <c r="D1119" s="9">
        <v>695.37</v>
      </c>
      <c r="E1119" t="s">
        <v>59</v>
      </c>
    </row>
    <row r="1120" spans="1:5">
      <c r="A1120" t="s">
        <v>37</v>
      </c>
      <c r="B1120" s="11" t="s">
        <v>78</v>
      </c>
      <c r="C1120">
        <v>4021</v>
      </c>
      <c r="D1120" s="9">
        <v>225</v>
      </c>
      <c r="E1120" t="s">
        <v>59</v>
      </c>
    </row>
    <row r="1121" spans="1:5">
      <c r="A1121" t="s">
        <v>37</v>
      </c>
      <c r="B1121" s="11" t="s">
        <v>78</v>
      </c>
      <c r="C1121">
        <v>4022</v>
      </c>
      <c r="D1121" s="9">
        <v>62.72</v>
      </c>
      <c r="E1121" t="s">
        <v>59</v>
      </c>
    </row>
    <row r="1122" spans="1:5">
      <c r="A1122" t="s">
        <v>37</v>
      </c>
      <c r="B1122" s="11" t="s">
        <v>78</v>
      </c>
      <c r="C1122">
        <v>4023</v>
      </c>
      <c r="D1122" s="9">
        <v>111.26</v>
      </c>
      <c r="E1122" t="s">
        <v>59</v>
      </c>
    </row>
    <row r="1123" spans="1:5">
      <c r="A1123" t="s">
        <v>37</v>
      </c>
      <c r="B1123" s="11" t="s">
        <v>73</v>
      </c>
      <c r="C1123">
        <v>1001</v>
      </c>
      <c r="D1123" s="9">
        <v>-16585.45</v>
      </c>
      <c r="E1123" t="s">
        <v>60</v>
      </c>
    </row>
    <row r="1124" spans="1:5">
      <c r="A1124" t="s">
        <v>37</v>
      </c>
      <c r="B1124" s="11" t="s">
        <v>73</v>
      </c>
      <c r="C1124">
        <v>4011</v>
      </c>
      <c r="D1124" s="9">
        <v>357.95</v>
      </c>
      <c r="E1124" t="s">
        <v>60</v>
      </c>
    </row>
    <row r="1125" spans="1:5">
      <c r="A1125" t="s">
        <v>37</v>
      </c>
      <c r="B1125" s="11" t="s">
        <v>73</v>
      </c>
      <c r="C1125">
        <v>4012</v>
      </c>
      <c r="D1125" s="9">
        <v>71.59</v>
      </c>
      <c r="E1125" t="s">
        <v>60</v>
      </c>
    </row>
    <row r="1126" spans="1:5">
      <c r="A1126" t="s">
        <v>37</v>
      </c>
      <c r="B1126" s="11" t="s">
        <v>73</v>
      </c>
      <c r="C1126">
        <v>4018</v>
      </c>
      <c r="D1126" s="9">
        <v>313.45999999999998</v>
      </c>
      <c r="E1126" t="s">
        <v>60</v>
      </c>
    </row>
    <row r="1127" spans="1:5">
      <c r="A1127" t="s">
        <v>37</v>
      </c>
      <c r="B1127" s="11" t="s">
        <v>73</v>
      </c>
      <c r="C1127">
        <v>4021</v>
      </c>
      <c r="D1127" s="9">
        <v>231.82</v>
      </c>
      <c r="E1127" t="s">
        <v>60</v>
      </c>
    </row>
    <row r="1128" spans="1:5">
      <c r="A1128" t="s">
        <v>37</v>
      </c>
      <c r="B1128" s="11" t="s">
        <v>73</v>
      </c>
      <c r="C1128">
        <v>4022</v>
      </c>
      <c r="D1128" s="9">
        <v>76.62</v>
      </c>
      <c r="E1128" t="s">
        <v>60</v>
      </c>
    </row>
    <row r="1129" spans="1:5">
      <c r="A1129" t="s">
        <v>37</v>
      </c>
      <c r="B1129" s="11" t="s">
        <v>73</v>
      </c>
      <c r="C1129">
        <v>4023</v>
      </c>
      <c r="D1129" s="9">
        <v>139.32</v>
      </c>
      <c r="E1129" t="s">
        <v>60</v>
      </c>
    </row>
    <row r="1130" spans="1:5">
      <c r="A1130" t="s">
        <v>37</v>
      </c>
      <c r="B1130" s="11" t="s">
        <v>74</v>
      </c>
      <c r="C1130">
        <v>1001</v>
      </c>
      <c r="D1130" s="9">
        <v>-16067.57</v>
      </c>
      <c r="E1130" t="s">
        <v>60</v>
      </c>
    </row>
    <row r="1131" spans="1:5">
      <c r="A1131" t="s">
        <v>37</v>
      </c>
      <c r="B1131" s="11" t="s">
        <v>74</v>
      </c>
      <c r="C1131">
        <v>4011</v>
      </c>
      <c r="D1131" s="9">
        <v>412.43</v>
      </c>
      <c r="E1131" t="s">
        <v>60</v>
      </c>
    </row>
    <row r="1132" spans="1:5">
      <c r="A1132" t="s">
        <v>37</v>
      </c>
      <c r="B1132" s="11" t="s">
        <v>74</v>
      </c>
      <c r="C1132">
        <v>4012</v>
      </c>
      <c r="D1132" s="9">
        <v>82.49</v>
      </c>
      <c r="E1132" t="s">
        <v>60</v>
      </c>
    </row>
    <row r="1133" spans="1:5">
      <c r="A1133" t="s">
        <v>37</v>
      </c>
      <c r="B1133" s="11" t="s">
        <v>74</v>
      </c>
      <c r="C1133">
        <v>4018</v>
      </c>
      <c r="D1133" s="9">
        <v>318.14</v>
      </c>
      <c r="E1133" t="s">
        <v>60</v>
      </c>
    </row>
    <row r="1134" spans="1:5">
      <c r="A1134" t="s">
        <v>37</v>
      </c>
      <c r="B1134" s="11" t="s">
        <v>74</v>
      </c>
      <c r="C1134">
        <v>4021</v>
      </c>
      <c r="D1134" s="9">
        <v>222.91</v>
      </c>
      <c r="E1134" t="s">
        <v>60</v>
      </c>
    </row>
    <row r="1135" spans="1:5">
      <c r="A1135" t="s">
        <v>37</v>
      </c>
      <c r="B1135" s="11" t="s">
        <v>74</v>
      </c>
      <c r="C1135">
        <v>4022</v>
      </c>
      <c r="D1135" s="9">
        <v>77.77</v>
      </c>
      <c r="E1135" t="s">
        <v>60</v>
      </c>
    </row>
    <row r="1136" spans="1:5">
      <c r="A1136" t="s">
        <v>37</v>
      </c>
      <c r="B1136" s="11" t="s">
        <v>74</v>
      </c>
      <c r="C1136">
        <v>4023</v>
      </c>
      <c r="D1136" s="9">
        <v>141.38999999999999</v>
      </c>
      <c r="E1136" t="s">
        <v>60</v>
      </c>
    </row>
    <row r="1137" spans="1:5">
      <c r="A1137" t="s">
        <v>38</v>
      </c>
      <c r="B1137" s="11" t="s">
        <v>61</v>
      </c>
      <c r="C1137">
        <v>1001</v>
      </c>
      <c r="D1137" s="9">
        <v>-13786.47</v>
      </c>
      <c r="E1137" t="s">
        <v>56</v>
      </c>
    </row>
    <row r="1138" spans="1:5">
      <c r="A1138" t="s">
        <v>38</v>
      </c>
      <c r="B1138" s="11" t="s">
        <v>61</v>
      </c>
      <c r="C1138">
        <v>4011</v>
      </c>
      <c r="D1138" s="9">
        <v>210.09</v>
      </c>
      <c r="E1138" t="s">
        <v>56</v>
      </c>
    </row>
    <row r="1139" spans="1:5">
      <c r="A1139" t="s">
        <v>38</v>
      </c>
      <c r="B1139" s="11" t="s">
        <v>61</v>
      </c>
      <c r="C1139">
        <v>4012</v>
      </c>
      <c r="D1139" s="9">
        <v>36.770000000000003</v>
      </c>
      <c r="E1139" t="s">
        <v>56</v>
      </c>
    </row>
    <row r="1140" spans="1:5">
      <c r="A1140" t="s">
        <v>38</v>
      </c>
      <c r="B1140" s="11" t="s">
        <v>61</v>
      </c>
      <c r="C1140">
        <v>4018</v>
      </c>
      <c r="D1140" s="9">
        <v>255.6</v>
      </c>
      <c r="E1140" t="s">
        <v>56</v>
      </c>
    </row>
    <row r="1141" spans="1:5">
      <c r="A1141" t="s">
        <v>38</v>
      </c>
      <c r="B1141" s="11" t="s">
        <v>61</v>
      </c>
      <c r="C1141">
        <v>4021</v>
      </c>
      <c r="D1141" s="9">
        <v>222.91</v>
      </c>
      <c r="E1141" t="s">
        <v>56</v>
      </c>
    </row>
    <row r="1142" spans="1:5">
      <c r="A1142" t="s">
        <v>38</v>
      </c>
      <c r="B1142" s="11" t="s">
        <v>61</v>
      </c>
      <c r="C1142">
        <v>4022</v>
      </c>
      <c r="D1142" s="9">
        <v>90.88</v>
      </c>
      <c r="E1142" t="s">
        <v>56</v>
      </c>
    </row>
    <row r="1143" spans="1:5">
      <c r="A1143" t="s">
        <v>38</v>
      </c>
      <c r="B1143" s="11" t="s">
        <v>61</v>
      </c>
      <c r="C1143">
        <v>4023</v>
      </c>
      <c r="D1143" s="9">
        <v>113.6</v>
      </c>
      <c r="E1143" t="s">
        <v>56</v>
      </c>
    </row>
    <row r="1144" spans="1:5">
      <c r="A1144" t="s">
        <v>38</v>
      </c>
      <c r="B1144" s="11" t="s">
        <v>62</v>
      </c>
      <c r="C1144">
        <v>1001</v>
      </c>
      <c r="D1144" s="9">
        <v>-9608.4500000000007</v>
      </c>
      <c r="E1144" t="s">
        <v>56</v>
      </c>
    </row>
    <row r="1145" spans="1:5">
      <c r="A1145" t="s">
        <v>38</v>
      </c>
      <c r="B1145" s="11" t="s">
        <v>62</v>
      </c>
      <c r="C1145">
        <v>4011</v>
      </c>
      <c r="D1145" s="9">
        <v>154.54</v>
      </c>
      <c r="E1145" t="s">
        <v>56</v>
      </c>
    </row>
    <row r="1146" spans="1:5">
      <c r="A1146" t="s">
        <v>38</v>
      </c>
      <c r="B1146" s="11" t="s">
        <v>62</v>
      </c>
      <c r="C1146">
        <v>4012</v>
      </c>
      <c r="D1146" s="9">
        <v>27.05</v>
      </c>
      <c r="E1146" t="s">
        <v>56</v>
      </c>
    </row>
    <row r="1147" spans="1:5">
      <c r="A1147" t="s">
        <v>38</v>
      </c>
      <c r="B1147" s="11" t="s">
        <v>62</v>
      </c>
      <c r="C1147">
        <v>4018</v>
      </c>
      <c r="D1147" s="9">
        <v>178.14</v>
      </c>
      <c r="E1147" t="s">
        <v>56</v>
      </c>
    </row>
    <row r="1148" spans="1:5">
      <c r="A1148" t="s">
        <v>38</v>
      </c>
      <c r="B1148" s="11" t="s">
        <v>62</v>
      </c>
      <c r="C1148">
        <v>4021</v>
      </c>
      <c r="D1148" s="9">
        <v>222.91</v>
      </c>
      <c r="E1148" t="s">
        <v>56</v>
      </c>
    </row>
    <row r="1149" spans="1:5">
      <c r="A1149" t="s">
        <v>38</v>
      </c>
      <c r="B1149" s="11" t="s">
        <v>62</v>
      </c>
      <c r="C1149">
        <v>4022</v>
      </c>
      <c r="D1149" s="9">
        <v>63.34</v>
      </c>
      <c r="E1149" t="s">
        <v>56</v>
      </c>
    </row>
    <row r="1150" spans="1:5">
      <c r="A1150" t="s">
        <v>38</v>
      </c>
      <c r="B1150" s="11" t="s">
        <v>62</v>
      </c>
      <c r="C1150">
        <v>4023</v>
      </c>
      <c r="D1150" s="9">
        <v>79.17</v>
      </c>
      <c r="E1150" t="s">
        <v>56</v>
      </c>
    </row>
    <row r="1151" spans="1:5">
      <c r="A1151" t="s">
        <v>38</v>
      </c>
      <c r="B1151" s="11" t="s">
        <v>63</v>
      </c>
      <c r="C1151">
        <v>1001</v>
      </c>
      <c r="D1151" s="9">
        <v>-17403.669999999998</v>
      </c>
      <c r="E1151" t="s">
        <v>56</v>
      </c>
    </row>
    <row r="1152" spans="1:5">
      <c r="A1152" t="s">
        <v>38</v>
      </c>
      <c r="B1152" s="11" t="s">
        <v>63</v>
      </c>
      <c r="C1152">
        <v>4011</v>
      </c>
      <c r="D1152" s="9">
        <v>282.04000000000002</v>
      </c>
      <c r="E1152" t="s">
        <v>56</v>
      </c>
    </row>
    <row r="1153" spans="1:5">
      <c r="A1153" t="s">
        <v>38</v>
      </c>
      <c r="B1153" s="11" t="s">
        <v>63</v>
      </c>
      <c r="C1153">
        <v>4012</v>
      </c>
      <c r="D1153" s="9">
        <v>56.41</v>
      </c>
      <c r="E1153" t="s">
        <v>56</v>
      </c>
    </row>
    <row r="1154" spans="1:5">
      <c r="A1154" t="s">
        <v>38</v>
      </c>
      <c r="B1154" s="11" t="s">
        <v>63</v>
      </c>
      <c r="C1154">
        <v>4018</v>
      </c>
      <c r="D1154" s="9">
        <v>322.66000000000003</v>
      </c>
      <c r="E1154" t="s">
        <v>56</v>
      </c>
    </row>
    <row r="1155" spans="1:5">
      <c r="A1155" t="s">
        <v>38</v>
      </c>
      <c r="B1155" s="11" t="s">
        <v>63</v>
      </c>
      <c r="C1155">
        <v>4021</v>
      </c>
      <c r="D1155" s="9">
        <v>222.91</v>
      </c>
      <c r="E1155" t="s">
        <v>56</v>
      </c>
    </row>
    <row r="1156" spans="1:5">
      <c r="A1156" t="s">
        <v>38</v>
      </c>
      <c r="B1156" s="11" t="s">
        <v>63</v>
      </c>
      <c r="C1156">
        <v>4022</v>
      </c>
      <c r="D1156" s="9">
        <v>114.72</v>
      </c>
      <c r="E1156" t="s">
        <v>56</v>
      </c>
    </row>
    <row r="1157" spans="1:5">
      <c r="A1157" t="s">
        <v>38</v>
      </c>
      <c r="B1157" s="11" t="s">
        <v>63</v>
      </c>
      <c r="C1157">
        <v>4023</v>
      </c>
      <c r="D1157" s="9">
        <v>143.41</v>
      </c>
      <c r="E1157" t="s">
        <v>56</v>
      </c>
    </row>
    <row r="1158" spans="1:5">
      <c r="A1158" t="s">
        <v>38</v>
      </c>
      <c r="B1158" s="11" t="s">
        <v>75</v>
      </c>
      <c r="C1158">
        <v>1001</v>
      </c>
      <c r="D1158" s="9">
        <v>-16804.52</v>
      </c>
      <c r="E1158" t="s">
        <v>56</v>
      </c>
    </row>
    <row r="1159" spans="1:5">
      <c r="A1159" t="s">
        <v>38</v>
      </c>
      <c r="B1159" s="11" t="s">
        <v>75</v>
      </c>
      <c r="C1159">
        <v>4011</v>
      </c>
      <c r="D1159" s="9">
        <v>299.23</v>
      </c>
      <c r="E1159" t="s">
        <v>56</v>
      </c>
    </row>
    <row r="1160" spans="1:5">
      <c r="A1160" t="s">
        <v>38</v>
      </c>
      <c r="B1160" s="11" t="s">
        <v>75</v>
      </c>
      <c r="C1160">
        <v>4012</v>
      </c>
      <c r="D1160" s="9">
        <v>59.85</v>
      </c>
      <c r="E1160" t="s">
        <v>56</v>
      </c>
    </row>
    <row r="1161" spans="1:5">
      <c r="A1161" t="s">
        <v>38</v>
      </c>
      <c r="B1161" s="11" t="s">
        <v>75</v>
      </c>
      <c r="C1161">
        <v>4018</v>
      </c>
      <c r="D1161" s="9">
        <v>332.01</v>
      </c>
      <c r="E1161" t="s">
        <v>56</v>
      </c>
    </row>
    <row r="1162" spans="1:5">
      <c r="A1162" t="s">
        <v>38</v>
      </c>
      <c r="B1162" s="11" t="s">
        <v>75</v>
      </c>
      <c r="C1162">
        <v>4021</v>
      </c>
      <c r="D1162" s="9">
        <v>225</v>
      </c>
      <c r="E1162" t="s">
        <v>56</v>
      </c>
    </row>
    <row r="1163" spans="1:5">
      <c r="A1163" t="s">
        <v>38</v>
      </c>
      <c r="B1163" s="11" t="s">
        <v>75</v>
      </c>
      <c r="C1163">
        <v>4022</v>
      </c>
      <c r="D1163" s="9">
        <v>118.05</v>
      </c>
      <c r="E1163" t="s">
        <v>56</v>
      </c>
    </row>
    <row r="1164" spans="1:5">
      <c r="A1164" t="s">
        <v>38</v>
      </c>
      <c r="B1164" s="11" t="s">
        <v>75</v>
      </c>
      <c r="C1164">
        <v>4023</v>
      </c>
      <c r="D1164" s="9">
        <v>147.56</v>
      </c>
      <c r="E1164" t="s">
        <v>56</v>
      </c>
    </row>
    <row r="1165" spans="1:5">
      <c r="A1165" t="s">
        <v>38</v>
      </c>
      <c r="B1165" s="11" t="s">
        <v>64</v>
      </c>
      <c r="C1165">
        <v>1001</v>
      </c>
      <c r="D1165" s="9">
        <v>-15038.65</v>
      </c>
      <c r="E1165" t="s">
        <v>57</v>
      </c>
    </row>
    <row r="1166" spans="1:5">
      <c r="A1166" t="s">
        <v>38</v>
      </c>
      <c r="B1166" s="11" t="s">
        <v>64</v>
      </c>
      <c r="C1166">
        <v>4011</v>
      </c>
      <c r="D1166" s="9">
        <v>286.18</v>
      </c>
      <c r="E1166" t="s">
        <v>57</v>
      </c>
    </row>
    <row r="1167" spans="1:5">
      <c r="A1167" t="s">
        <v>38</v>
      </c>
      <c r="B1167" s="11" t="s">
        <v>64</v>
      </c>
      <c r="C1167">
        <v>4012</v>
      </c>
      <c r="D1167" s="9">
        <v>57.24</v>
      </c>
      <c r="E1167" t="s">
        <v>57</v>
      </c>
    </row>
    <row r="1168" spans="1:5">
      <c r="A1168" t="s">
        <v>38</v>
      </c>
      <c r="B1168" s="11" t="s">
        <v>64</v>
      </c>
      <c r="C1168">
        <v>4018</v>
      </c>
      <c r="D1168" s="9">
        <v>278.82</v>
      </c>
      <c r="E1168" t="s">
        <v>57</v>
      </c>
    </row>
    <row r="1169" spans="1:5">
      <c r="A1169" t="s">
        <v>38</v>
      </c>
      <c r="B1169" s="11" t="s">
        <v>64</v>
      </c>
      <c r="C1169">
        <v>4021</v>
      </c>
      <c r="D1169" s="9">
        <v>231.82</v>
      </c>
      <c r="E1169" t="s">
        <v>57</v>
      </c>
    </row>
    <row r="1170" spans="1:5">
      <c r="A1170" t="s">
        <v>38</v>
      </c>
      <c r="B1170" s="11" t="s">
        <v>64</v>
      </c>
      <c r="C1170">
        <v>4022</v>
      </c>
      <c r="D1170" s="9">
        <v>99.13</v>
      </c>
      <c r="E1170" t="s">
        <v>57</v>
      </c>
    </row>
    <row r="1171" spans="1:5">
      <c r="A1171" t="s">
        <v>38</v>
      </c>
      <c r="B1171" s="11" t="s">
        <v>64</v>
      </c>
      <c r="C1171">
        <v>4023</v>
      </c>
      <c r="D1171" s="9">
        <v>123.92</v>
      </c>
      <c r="E1171" t="s">
        <v>57</v>
      </c>
    </row>
    <row r="1172" spans="1:5">
      <c r="A1172" t="s">
        <v>38</v>
      </c>
      <c r="B1172" s="11" t="s">
        <v>65</v>
      </c>
      <c r="C1172">
        <v>1001</v>
      </c>
      <c r="D1172" s="9">
        <v>-11350.54</v>
      </c>
      <c r="E1172" t="s">
        <v>57</v>
      </c>
    </row>
    <row r="1173" spans="1:5">
      <c r="A1173" t="s">
        <v>38</v>
      </c>
      <c r="B1173" s="11" t="s">
        <v>65</v>
      </c>
      <c r="C1173">
        <v>4011</v>
      </c>
      <c r="D1173" s="9">
        <v>245.74</v>
      </c>
      <c r="E1173" t="s">
        <v>57</v>
      </c>
    </row>
    <row r="1174" spans="1:5">
      <c r="A1174" t="s">
        <v>38</v>
      </c>
      <c r="B1174" s="11" t="s">
        <v>65</v>
      </c>
      <c r="C1174">
        <v>4012</v>
      </c>
      <c r="D1174" s="9">
        <v>49.15</v>
      </c>
      <c r="E1174" t="s">
        <v>57</v>
      </c>
    </row>
    <row r="1175" spans="1:5">
      <c r="A1175" t="s">
        <v>38</v>
      </c>
      <c r="B1175" s="11" t="s">
        <v>65</v>
      </c>
      <c r="C1175">
        <v>4018</v>
      </c>
      <c r="D1175" s="9">
        <v>224.74</v>
      </c>
      <c r="E1175" t="s">
        <v>57</v>
      </c>
    </row>
    <row r="1176" spans="1:5">
      <c r="A1176" t="s">
        <v>38</v>
      </c>
      <c r="B1176" s="11" t="s">
        <v>65</v>
      </c>
      <c r="C1176">
        <v>4021</v>
      </c>
      <c r="D1176" s="9">
        <v>222.91</v>
      </c>
      <c r="E1176" t="s">
        <v>57</v>
      </c>
    </row>
    <row r="1177" spans="1:5">
      <c r="A1177" t="s">
        <v>38</v>
      </c>
      <c r="B1177" s="11" t="s">
        <v>65</v>
      </c>
      <c r="C1177">
        <v>4022</v>
      </c>
      <c r="D1177" s="9">
        <v>79.91</v>
      </c>
      <c r="E1177" t="s">
        <v>57</v>
      </c>
    </row>
    <row r="1178" spans="1:5">
      <c r="A1178" t="s">
        <v>38</v>
      </c>
      <c r="B1178" s="11" t="s">
        <v>65</v>
      </c>
      <c r="C1178">
        <v>4023</v>
      </c>
      <c r="D1178" s="9">
        <v>99.88</v>
      </c>
      <c r="E1178" t="s">
        <v>57</v>
      </c>
    </row>
    <row r="1179" spans="1:5">
      <c r="A1179" t="s">
        <v>38</v>
      </c>
      <c r="B1179" s="11" t="s">
        <v>66</v>
      </c>
      <c r="C1179">
        <v>1001</v>
      </c>
      <c r="D1179" s="9">
        <v>-19944.25</v>
      </c>
      <c r="E1179" t="s">
        <v>57</v>
      </c>
    </row>
    <row r="1180" spans="1:5">
      <c r="A1180" t="s">
        <v>38</v>
      </c>
      <c r="B1180" s="11" t="s">
        <v>66</v>
      </c>
      <c r="C1180">
        <v>4011</v>
      </c>
      <c r="D1180" s="9">
        <v>347.06</v>
      </c>
      <c r="E1180" t="s">
        <v>57</v>
      </c>
    </row>
    <row r="1181" spans="1:5">
      <c r="A1181" t="s">
        <v>38</v>
      </c>
      <c r="B1181" s="11" t="s">
        <v>66</v>
      </c>
      <c r="C1181">
        <v>4012</v>
      </c>
      <c r="D1181" s="9">
        <v>69.41</v>
      </c>
      <c r="E1181" t="s">
        <v>57</v>
      </c>
    </row>
    <row r="1182" spans="1:5">
      <c r="A1182" t="s">
        <v>38</v>
      </c>
      <c r="B1182" s="11" t="s">
        <v>66</v>
      </c>
      <c r="C1182">
        <v>4018</v>
      </c>
      <c r="D1182" s="9">
        <v>369.77</v>
      </c>
      <c r="E1182" t="s">
        <v>57</v>
      </c>
    </row>
    <row r="1183" spans="1:5">
      <c r="A1183" t="s">
        <v>38</v>
      </c>
      <c r="B1183" s="11" t="s">
        <v>66</v>
      </c>
      <c r="C1183">
        <v>4021</v>
      </c>
      <c r="D1183" s="9">
        <v>231.82</v>
      </c>
      <c r="E1183" t="s">
        <v>57</v>
      </c>
    </row>
    <row r="1184" spans="1:5">
      <c r="A1184" t="s">
        <v>38</v>
      </c>
      <c r="B1184" s="11" t="s">
        <v>66</v>
      </c>
      <c r="C1184">
        <v>4022</v>
      </c>
      <c r="D1184" s="9">
        <v>131.47</v>
      </c>
      <c r="E1184" t="s">
        <v>57</v>
      </c>
    </row>
    <row r="1185" spans="1:5">
      <c r="A1185" t="s">
        <v>38</v>
      </c>
      <c r="B1185" s="11" t="s">
        <v>66</v>
      </c>
      <c r="C1185">
        <v>4023</v>
      </c>
      <c r="D1185" s="9">
        <v>164.34</v>
      </c>
      <c r="E1185" t="s">
        <v>57</v>
      </c>
    </row>
    <row r="1186" spans="1:5">
      <c r="A1186" t="s">
        <v>38</v>
      </c>
      <c r="B1186" s="11" t="s">
        <v>67</v>
      </c>
      <c r="C1186">
        <v>1001</v>
      </c>
      <c r="D1186" s="9">
        <v>-10491.12</v>
      </c>
      <c r="E1186" t="s">
        <v>57</v>
      </c>
    </row>
    <row r="1187" spans="1:5">
      <c r="A1187" t="s">
        <v>38</v>
      </c>
      <c r="B1187" s="11" t="s">
        <v>67</v>
      </c>
      <c r="C1187">
        <v>4011</v>
      </c>
      <c r="D1187" s="9">
        <v>163.93</v>
      </c>
      <c r="E1187" t="s">
        <v>57</v>
      </c>
    </row>
    <row r="1188" spans="1:5">
      <c r="A1188" t="s">
        <v>38</v>
      </c>
      <c r="B1188" s="11" t="s">
        <v>67</v>
      </c>
      <c r="C1188">
        <v>4012</v>
      </c>
      <c r="D1188" s="9">
        <v>32.79</v>
      </c>
      <c r="E1188" t="s">
        <v>57</v>
      </c>
    </row>
    <row r="1189" spans="1:5">
      <c r="A1189" t="s">
        <v>38</v>
      </c>
      <c r="B1189" s="11" t="s">
        <v>67</v>
      </c>
      <c r="C1189">
        <v>4018</v>
      </c>
      <c r="D1189" s="9">
        <v>194.51</v>
      </c>
      <c r="E1189" t="s">
        <v>57</v>
      </c>
    </row>
    <row r="1190" spans="1:5">
      <c r="A1190" t="s">
        <v>38</v>
      </c>
      <c r="B1190" s="11" t="s">
        <v>67</v>
      </c>
      <c r="C1190">
        <v>4021</v>
      </c>
      <c r="D1190" s="9">
        <v>222.91</v>
      </c>
      <c r="E1190" t="s">
        <v>57</v>
      </c>
    </row>
    <row r="1191" spans="1:5">
      <c r="A1191" t="s">
        <v>38</v>
      </c>
      <c r="B1191" s="11" t="s">
        <v>67</v>
      </c>
      <c r="C1191">
        <v>4022</v>
      </c>
      <c r="D1191" s="9">
        <v>69.16</v>
      </c>
      <c r="E1191" t="s">
        <v>57</v>
      </c>
    </row>
    <row r="1192" spans="1:5">
      <c r="A1192" t="s">
        <v>38</v>
      </c>
      <c r="B1192" s="11" t="s">
        <v>67</v>
      </c>
      <c r="C1192">
        <v>4023</v>
      </c>
      <c r="D1192" s="9">
        <v>86.45</v>
      </c>
      <c r="E1192" t="s">
        <v>57</v>
      </c>
    </row>
    <row r="1193" spans="1:5">
      <c r="A1193" t="s">
        <v>38</v>
      </c>
      <c r="B1193" s="11" t="s">
        <v>76</v>
      </c>
      <c r="C1193">
        <v>1001</v>
      </c>
      <c r="D1193" s="9">
        <v>-7328.8</v>
      </c>
      <c r="E1193" t="s">
        <v>57</v>
      </c>
    </row>
    <row r="1194" spans="1:5">
      <c r="A1194" t="s">
        <v>38</v>
      </c>
      <c r="B1194" s="11" t="s">
        <v>76</v>
      </c>
      <c r="C1194">
        <v>4011</v>
      </c>
      <c r="D1194" s="9">
        <v>86.98</v>
      </c>
      <c r="E1194" t="s">
        <v>57</v>
      </c>
    </row>
    <row r="1195" spans="1:5">
      <c r="A1195" t="s">
        <v>38</v>
      </c>
      <c r="B1195" s="11" t="s">
        <v>76</v>
      </c>
      <c r="C1195">
        <v>4012</v>
      </c>
      <c r="D1195" s="9">
        <v>16.309999999999999</v>
      </c>
      <c r="E1195" t="s">
        <v>57</v>
      </c>
    </row>
    <row r="1196" spans="1:5">
      <c r="A1196" t="s">
        <v>38</v>
      </c>
      <c r="B1196" s="11" t="s">
        <v>76</v>
      </c>
      <c r="C1196">
        <v>4018</v>
      </c>
      <c r="D1196" s="9">
        <v>135.88</v>
      </c>
      <c r="E1196" t="s">
        <v>57</v>
      </c>
    </row>
    <row r="1197" spans="1:5">
      <c r="A1197" t="s">
        <v>38</v>
      </c>
      <c r="B1197" s="11" t="s">
        <v>76</v>
      </c>
      <c r="C1197">
        <v>4021</v>
      </c>
      <c r="D1197" s="9">
        <v>222.91</v>
      </c>
      <c r="E1197" t="s">
        <v>57</v>
      </c>
    </row>
    <row r="1198" spans="1:5">
      <c r="A1198" t="s">
        <v>38</v>
      </c>
      <c r="B1198" s="11" t="s">
        <v>76</v>
      </c>
      <c r="C1198">
        <v>4022</v>
      </c>
      <c r="D1198" s="9">
        <v>48.31</v>
      </c>
      <c r="E1198" t="s">
        <v>57</v>
      </c>
    </row>
    <row r="1199" spans="1:5">
      <c r="A1199" t="s">
        <v>38</v>
      </c>
      <c r="B1199" s="11" t="s">
        <v>76</v>
      </c>
      <c r="C1199">
        <v>4023</v>
      </c>
      <c r="D1199" s="9">
        <v>60.39</v>
      </c>
      <c r="E1199" t="s">
        <v>57</v>
      </c>
    </row>
    <row r="1200" spans="1:5">
      <c r="A1200" t="s">
        <v>38</v>
      </c>
      <c r="B1200" s="11" t="s">
        <v>68</v>
      </c>
      <c r="C1200">
        <v>1001</v>
      </c>
      <c r="D1200" s="9">
        <v>-12905.47</v>
      </c>
      <c r="E1200" t="s">
        <v>58</v>
      </c>
    </row>
    <row r="1201" spans="1:5">
      <c r="A1201" t="s">
        <v>38</v>
      </c>
      <c r="B1201" s="11" t="s">
        <v>68</v>
      </c>
      <c r="C1201">
        <v>4011</v>
      </c>
      <c r="D1201" s="9">
        <v>204.76</v>
      </c>
      <c r="E1201" t="s">
        <v>58</v>
      </c>
    </row>
    <row r="1202" spans="1:5">
      <c r="A1202" t="s">
        <v>38</v>
      </c>
      <c r="B1202" s="11" t="s">
        <v>68</v>
      </c>
      <c r="C1202">
        <v>4012</v>
      </c>
      <c r="D1202" s="9">
        <v>35.83</v>
      </c>
      <c r="E1202" t="s">
        <v>58</v>
      </c>
    </row>
    <row r="1203" spans="1:5">
      <c r="A1203" t="s">
        <v>38</v>
      </c>
      <c r="B1203" s="11" t="s">
        <v>68</v>
      </c>
      <c r="C1203">
        <v>4018</v>
      </c>
      <c r="D1203" s="9">
        <v>243.91</v>
      </c>
      <c r="E1203" t="s">
        <v>58</v>
      </c>
    </row>
    <row r="1204" spans="1:5">
      <c r="A1204" t="s">
        <v>38</v>
      </c>
      <c r="B1204" s="11" t="s">
        <v>68</v>
      </c>
      <c r="C1204">
        <v>4021</v>
      </c>
      <c r="D1204" s="9">
        <v>222.91</v>
      </c>
      <c r="E1204" t="s">
        <v>58</v>
      </c>
    </row>
    <row r="1205" spans="1:5">
      <c r="A1205" t="s">
        <v>38</v>
      </c>
      <c r="B1205" s="11" t="s">
        <v>68</v>
      </c>
      <c r="C1205">
        <v>4022</v>
      </c>
      <c r="D1205" s="9">
        <v>86.72</v>
      </c>
      <c r="E1205" t="s">
        <v>58</v>
      </c>
    </row>
    <row r="1206" spans="1:5">
      <c r="A1206" t="s">
        <v>38</v>
      </c>
      <c r="B1206" s="11" t="s">
        <v>68</v>
      </c>
      <c r="C1206">
        <v>4023</v>
      </c>
      <c r="D1206" s="9">
        <v>108.41</v>
      </c>
      <c r="E1206" t="s">
        <v>58</v>
      </c>
    </row>
    <row r="1207" spans="1:5">
      <c r="A1207" t="s">
        <v>38</v>
      </c>
      <c r="B1207" s="11" t="s">
        <v>69</v>
      </c>
      <c r="C1207">
        <v>1001</v>
      </c>
      <c r="D1207" s="9">
        <v>-11321.73</v>
      </c>
      <c r="E1207" t="s">
        <v>58</v>
      </c>
    </row>
    <row r="1208" spans="1:5">
      <c r="A1208" t="s">
        <v>38</v>
      </c>
      <c r="B1208" s="11" t="s">
        <v>69</v>
      </c>
      <c r="C1208">
        <v>4011</v>
      </c>
      <c r="D1208" s="9">
        <v>128.22999999999999</v>
      </c>
      <c r="E1208" t="s">
        <v>58</v>
      </c>
    </row>
    <row r="1209" spans="1:5">
      <c r="A1209" t="s">
        <v>38</v>
      </c>
      <c r="B1209" s="11" t="s">
        <v>69</v>
      </c>
      <c r="C1209">
        <v>4012</v>
      </c>
      <c r="D1209" s="9">
        <v>22.44</v>
      </c>
      <c r="E1209" t="s">
        <v>58</v>
      </c>
    </row>
    <row r="1210" spans="1:5">
      <c r="A1210" t="s">
        <v>38</v>
      </c>
      <c r="B1210" s="11" t="s">
        <v>69</v>
      </c>
      <c r="C1210">
        <v>4018</v>
      </c>
      <c r="D1210" s="9">
        <v>209.9</v>
      </c>
      <c r="E1210" t="s">
        <v>58</v>
      </c>
    </row>
    <row r="1211" spans="1:5">
      <c r="A1211" t="s">
        <v>38</v>
      </c>
      <c r="B1211" s="11" t="s">
        <v>69</v>
      </c>
      <c r="C1211">
        <v>4021</v>
      </c>
      <c r="D1211" s="9">
        <v>222.91</v>
      </c>
      <c r="E1211" t="s">
        <v>58</v>
      </c>
    </row>
    <row r="1212" spans="1:5">
      <c r="A1212" t="s">
        <v>38</v>
      </c>
      <c r="B1212" s="11" t="s">
        <v>69</v>
      </c>
      <c r="C1212">
        <v>4022</v>
      </c>
      <c r="D1212" s="9">
        <v>74.63</v>
      </c>
      <c r="E1212" t="s">
        <v>58</v>
      </c>
    </row>
    <row r="1213" spans="1:5">
      <c r="A1213" t="s">
        <v>38</v>
      </c>
      <c r="B1213" s="11" t="s">
        <v>69</v>
      </c>
      <c r="C1213">
        <v>4023</v>
      </c>
      <c r="D1213" s="9">
        <v>93.29</v>
      </c>
      <c r="E1213" t="s">
        <v>58</v>
      </c>
    </row>
    <row r="1214" spans="1:5">
      <c r="A1214" t="s">
        <v>38</v>
      </c>
      <c r="B1214" s="11" t="s">
        <v>77</v>
      </c>
      <c r="C1214">
        <v>1001</v>
      </c>
      <c r="D1214" s="9">
        <v>-14987.72</v>
      </c>
      <c r="E1214" t="s">
        <v>58</v>
      </c>
    </row>
    <row r="1215" spans="1:5">
      <c r="A1215" t="s">
        <v>38</v>
      </c>
      <c r="B1215" s="11" t="s">
        <v>77</v>
      </c>
      <c r="C1215">
        <v>4011</v>
      </c>
      <c r="D1215" s="9">
        <v>360.58</v>
      </c>
      <c r="E1215" t="s">
        <v>58</v>
      </c>
    </row>
    <row r="1216" spans="1:5">
      <c r="A1216" t="s">
        <v>38</v>
      </c>
      <c r="B1216" s="11" t="s">
        <v>77</v>
      </c>
      <c r="C1216">
        <v>4012</v>
      </c>
      <c r="D1216" s="9">
        <v>72.12</v>
      </c>
      <c r="E1216" t="s">
        <v>58</v>
      </c>
    </row>
    <row r="1217" spans="1:5">
      <c r="A1217" t="s">
        <v>38</v>
      </c>
      <c r="B1217" s="11" t="s">
        <v>77</v>
      </c>
      <c r="C1217">
        <v>4018</v>
      </c>
      <c r="D1217" s="9">
        <v>277.87</v>
      </c>
      <c r="E1217" t="s">
        <v>58</v>
      </c>
    </row>
    <row r="1218" spans="1:5">
      <c r="A1218" t="s">
        <v>38</v>
      </c>
      <c r="B1218" s="11" t="s">
        <v>77</v>
      </c>
      <c r="C1218">
        <v>4021</v>
      </c>
      <c r="D1218" s="9">
        <v>231.82</v>
      </c>
      <c r="E1218" t="s">
        <v>58</v>
      </c>
    </row>
    <row r="1219" spans="1:5">
      <c r="A1219" t="s">
        <v>38</v>
      </c>
      <c r="B1219" s="11" t="s">
        <v>77</v>
      </c>
      <c r="C1219">
        <v>4022</v>
      </c>
      <c r="D1219" s="9">
        <v>98.8</v>
      </c>
      <c r="E1219" t="s">
        <v>58</v>
      </c>
    </row>
    <row r="1220" spans="1:5">
      <c r="A1220" t="s">
        <v>38</v>
      </c>
      <c r="B1220" s="11" t="s">
        <v>77</v>
      </c>
      <c r="C1220">
        <v>4023</v>
      </c>
      <c r="D1220" s="9">
        <v>123.5</v>
      </c>
      <c r="E1220" t="s">
        <v>58</v>
      </c>
    </row>
    <row r="1221" spans="1:5">
      <c r="A1221" t="s">
        <v>38</v>
      </c>
      <c r="B1221" s="11" t="s">
        <v>70</v>
      </c>
      <c r="C1221">
        <v>1001</v>
      </c>
      <c r="D1221" s="9">
        <v>-15095.84</v>
      </c>
      <c r="E1221" t="s">
        <v>59</v>
      </c>
    </row>
    <row r="1222" spans="1:5">
      <c r="A1222" t="s">
        <v>38</v>
      </c>
      <c r="B1222" s="11" t="s">
        <v>70</v>
      </c>
      <c r="C1222">
        <v>4011</v>
      </c>
      <c r="D1222" s="9">
        <v>269.45999999999998</v>
      </c>
      <c r="E1222" t="s">
        <v>59</v>
      </c>
    </row>
    <row r="1223" spans="1:5">
      <c r="A1223" t="s">
        <v>38</v>
      </c>
      <c r="B1223" s="11" t="s">
        <v>70</v>
      </c>
      <c r="C1223">
        <v>4012</v>
      </c>
      <c r="D1223" s="9">
        <v>53.89</v>
      </c>
      <c r="E1223" t="s">
        <v>59</v>
      </c>
    </row>
    <row r="1224" spans="1:5">
      <c r="A1224" t="s">
        <v>38</v>
      </c>
      <c r="B1224" s="11" t="s">
        <v>70</v>
      </c>
      <c r="C1224">
        <v>4018</v>
      </c>
      <c r="D1224" s="9">
        <v>310.97000000000003</v>
      </c>
      <c r="E1224" t="s">
        <v>59</v>
      </c>
    </row>
    <row r="1225" spans="1:5">
      <c r="A1225" t="s">
        <v>38</v>
      </c>
      <c r="B1225" s="11" t="s">
        <v>70</v>
      </c>
      <c r="C1225">
        <v>4021</v>
      </c>
      <c r="D1225" s="9">
        <v>231.82</v>
      </c>
      <c r="E1225" t="s">
        <v>59</v>
      </c>
    </row>
    <row r="1226" spans="1:5">
      <c r="A1226" t="s">
        <v>38</v>
      </c>
      <c r="B1226" s="11" t="s">
        <v>70</v>
      </c>
      <c r="C1226">
        <v>4022</v>
      </c>
      <c r="D1226" s="9">
        <v>99.51</v>
      </c>
      <c r="E1226" t="s">
        <v>59</v>
      </c>
    </row>
    <row r="1227" spans="1:5">
      <c r="A1227" t="s">
        <v>38</v>
      </c>
      <c r="B1227" s="11" t="s">
        <v>70</v>
      </c>
      <c r="C1227">
        <v>4023</v>
      </c>
      <c r="D1227" s="9">
        <v>124.39</v>
      </c>
      <c r="E1227" t="s">
        <v>59</v>
      </c>
    </row>
    <row r="1228" spans="1:5">
      <c r="A1228" t="s">
        <v>38</v>
      </c>
      <c r="B1228" s="11" t="s">
        <v>71</v>
      </c>
      <c r="C1228">
        <v>1001</v>
      </c>
      <c r="D1228" s="9">
        <v>-19673.37</v>
      </c>
      <c r="E1228" t="s">
        <v>59</v>
      </c>
    </row>
    <row r="1229" spans="1:5">
      <c r="A1229" t="s">
        <v>38</v>
      </c>
      <c r="B1229" s="11" t="s">
        <v>71</v>
      </c>
      <c r="C1229">
        <v>4011</v>
      </c>
      <c r="D1229" s="9">
        <v>389.01</v>
      </c>
      <c r="E1229" t="s">
        <v>59</v>
      </c>
    </row>
    <row r="1230" spans="1:5">
      <c r="A1230" t="s">
        <v>38</v>
      </c>
      <c r="B1230" s="11" t="s">
        <v>71</v>
      </c>
      <c r="C1230">
        <v>4012</v>
      </c>
      <c r="D1230" s="9">
        <v>77.8</v>
      </c>
      <c r="E1230" t="s">
        <v>59</v>
      </c>
    </row>
    <row r="1231" spans="1:5">
      <c r="A1231" t="s">
        <v>38</v>
      </c>
      <c r="B1231" s="11" t="s">
        <v>71</v>
      </c>
      <c r="C1231">
        <v>4018</v>
      </c>
      <c r="D1231" s="9">
        <v>364.74</v>
      </c>
      <c r="E1231" t="s">
        <v>59</v>
      </c>
    </row>
    <row r="1232" spans="1:5">
      <c r="A1232" t="s">
        <v>38</v>
      </c>
      <c r="B1232" s="11" t="s">
        <v>71</v>
      </c>
      <c r="C1232">
        <v>4021</v>
      </c>
      <c r="D1232" s="9">
        <v>231.82</v>
      </c>
      <c r="E1232" t="s">
        <v>59</v>
      </c>
    </row>
    <row r="1233" spans="1:5">
      <c r="A1233" t="s">
        <v>38</v>
      </c>
      <c r="B1233" s="11" t="s">
        <v>71</v>
      </c>
      <c r="C1233">
        <v>4022</v>
      </c>
      <c r="D1233" s="9">
        <v>129.69</v>
      </c>
      <c r="E1233" t="s">
        <v>59</v>
      </c>
    </row>
    <row r="1234" spans="1:5">
      <c r="A1234" t="s">
        <v>38</v>
      </c>
      <c r="B1234" s="11" t="s">
        <v>71</v>
      </c>
      <c r="C1234">
        <v>4023</v>
      </c>
      <c r="D1234" s="9">
        <v>162.11000000000001</v>
      </c>
      <c r="E1234" t="s">
        <v>59</v>
      </c>
    </row>
    <row r="1235" spans="1:5">
      <c r="A1235" t="s">
        <v>38</v>
      </c>
      <c r="B1235" s="11" t="s">
        <v>72</v>
      </c>
      <c r="C1235">
        <v>1001</v>
      </c>
      <c r="D1235" s="9">
        <v>-19282.82</v>
      </c>
      <c r="E1235" t="s">
        <v>59</v>
      </c>
    </row>
    <row r="1236" spans="1:5">
      <c r="A1236" t="s">
        <v>38</v>
      </c>
      <c r="B1236" s="11" t="s">
        <v>72</v>
      </c>
      <c r="C1236">
        <v>4011</v>
      </c>
      <c r="D1236" s="9">
        <v>427.91</v>
      </c>
      <c r="E1236" t="s">
        <v>59</v>
      </c>
    </row>
    <row r="1237" spans="1:5">
      <c r="A1237" t="s">
        <v>38</v>
      </c>
      <c r="B1237" s="11" t="s">
        <v>72</v>
      </c>
      <c r="C1237">
        <v>4012</v>
      </c>
      <c r="D1237" s="9">
        <v>85.58</v>
      </c>
      <c r="E1237" t="s">
        <v>59</v>
      </c>
    </row>
    <row r="1238" spans="1:5">
      <c r="A1238" t="s">
        <v>38</v>
      </c>
      <c r="B1238" s="11" t="s">
        <v>72</v>
      </c>
      <c r="C1238">
        <v>4018</v>
      </c>
      <c r="D1238" s="9">
        <v>794.45</v>
      </c>
      <c r="E1238" t="s">
        <v>59</v>
      </c>
    </row>
    <row r="1239" spans="1:5">
      <c r="A1239" t="s">
        <v>38</v>
      </c>
      <c r="B1239" s="11" t="s">
        <v>72</v>
      </c>
      <c r="C1239">
        <v>4021</v>
      </c>
      <c r="D1239" s="9">
        <v>234</v>
      </c>
      <c r="E1239" t="s">
        <v>59</v>
      </c>
    </row>
    <row r="1240" spans="1:5">
      <c r="A1240" t="s">
        <v>38</v>
      </c>
      <c r="B1240" s="11" t="s">
        <v>72</v>
      </c>
      <c r="C1240">
        <v>4022</v>
      </c>
      <c r="D1240" s="9">
        <v>127.11</v>
      </c>
      <c r="E1240" t="s">
        <v>59</v>
      </c>
    </row>
    <row r="1241" spans="1:5">
      <c r="A1241" t="s">
        <v>38</v>
      </c>
      <c r="B1241" s="11" t="s">
        <v>72</v>
      </c>
      <c r="C1241">
        <v>4023</v>
      </c>
      <c r="D1241" s="9">
        <v>158.88999999999999</v>
      </c>
      <c r="E1241" t="s">
        <v>59</v>
      </c>
    </row>
    <row r="1242" spans="1:5">
      <c r="A1242" t="s">
        <v>38</v>
      </c>
      <c r="B1242" s="11" t="s">
        <v>78</v>
      </c>
      <c r="C1242">
        <v>1001</v>
      </c>
      <c r="D1242" s="9">
        <v>-13692.28</v>
      </c>
      <c r="E1242" t="s">
        <v>59</v>
      </c>
    </row>
    <row r="1243" spans="1:5">
      <c r="A1243" t="s">
        <v>38</v>
      </c>
      <c r="B1243" s="11" t="s">
        <v>78</v>
      </c>
      <c r="C1243">
        <v>4011</v>
      </c>
      <c r="D1243" s="9">
        <v>225.88</v>
      </c>
      <c r="E1243" t="s">
        <v>59</v>
      </c>
    </row>
    <row r="1244" spans="1:5">
      <c r="A1244" t="s">
        <v>38</v>
      </c>
      <c r="B1244" s="11" t="s">
        <v>78</v>
      </c>
      <c r="C1244">
        <v>4012</v>
      </c>
      <c r="D1244" s="9">
        <v>45.18</v>
      </c>
      <c r="E1244" t="s">
        <v>59</v>
      </c>
    </row>
    <row r="1245" spans="1:5">
      <c r="A1245" t="s">
        <v>38</v>
      </c>
      <c r="B1245" s="11" t="s">
        <v>78</v>
      </c>
      <c r="C1245">
        <v>4018</v>
      </c>
      <c r="D1245" s="9">
        <v>718.84</v>
      </c>
      <c r="E1245" t="s">
        <v>59</v>
      </c>
    </row>
    <row r="1246" spans="1:5">
      <c r="A1246" t="s">
        <v>38</v>
      </c>
      <c r="B1246" s="11" t="s">
        <v>78</v>
      </c>
      <c r="C1246">
        <v>4021</v>
      </c>
      <c r="D1246" s="9">
        <v>225</v>
      </c>
      <c r="E1246" t="s">
        <v>59</v>
      </c>
    </row>
    <row r="1247" spans="1:5">
      <c r="A1247" t="s">
        <v>38</v>
      </c>
      <c r="B1247" s="11" t="s">
        <v>78</v>
      </c>
      <c r="C1247">
        <v>4022</v>
      </c>
      <c r="D1247" s="9">
        <v>91.55</v>
      </c>
      <c r="E1247" t="s">
        <v>59</v>
      </c>
    </row>
    <row r="1248" spans="1:5">
      <c r="A1248" t="s">
        <v>38</v>
      </c>
      <c r="B1248" s="11" t="s">
        <v>78</v>
      </c>
      <c r="C1248">
        <v>4023</v>
      </c>
      <c r="D1248" s="9">
        <v>115.02</v>
      </c>
      <c r="E1248" t="s">
        <v>59</v>
      </c>
    </row>
    <row r="1249" spans="1:5">
      <c r="A1249" t="s">
        <v>38</v>
      </c>
      <c r="B1249" s="11" t="s">
        <v>73</v>
      </c>
      <c r="C1249">
        <v>1001</v>
      </c>
      <c r="D1249" s="9">
        <v>-17324.21</v>
      </c>
      <c r="E1249" t="s">
        <v>60</v>
      </c>
    </row>
    <row r="1250" spans="1:5">
      <c r="A1250" t="s">
        <v>38</v>
      </c>
      <c r="B1250" s="11" t="s">
        <v>73</v>
      </c>
      <c r="C1250">
        <v>4011</v>
      </c>
      <c r="D1250" s="9">
        <v>383.58</v>
      </c>
      <c r="E1250" t="s">
        <v>60</v>
      </c>
    </row>
    <row r="1251" spans="1:5">
      <c r="A1251" t="s">
        <v>38</v>
      </c>
      <c r="B1251" s="11" t="s">
        <v>73</v>
      </c>
      <c r="C1251">
        <v>4012</v>
      </c>
      <c r="D1251" s="9">
        <v>76.72</v>
      </c>
      <c r="E1251" t="s">
        <v>60</v>
      </c>
    </row>
    <row r="1252" spans="1:5">
      <c r="A1252" t="s">
        <v>38</v>
      </c>
      <c r="B1252" s="11" t="s">
        <v>73</v>
      </c>
      <c r="C1252">
        <v>4018</v>
      </c>
      <c r="D1252" s="9">
        <v>327.43</v>
      </c>
      <c r="E1252" t="s">
        <v>60</v>
      </c>
    </row>
    <row r="1253" spans="1:5">
      <c r="A1253" t="s">
        <v>38</v>
      </c>
      <c r="B1253" s="11" t="s">
        <v>73</v>
      </c>
      <c r="C1253">
        <v>4021</v>
      </c>
      <c r="D1253" s="9">
        <v>231.82</v>
      </c>
      <c r="E1253" t="s">
        <v>60</v>
      </c>
    </row>
    <row r="1254" spans="1:5">
      <c r="A1254" t="s">
        <v>38</v>
      </c>
      <c r="B1254" s="11" t="s">
        <v>73</v>
      </c>
      <c r="C1254">
        <v>4022</v>
      </c>
      <c r="D1254" s="9">
        <v>116.42</v>
      </c>
      <c r="E1254" t="s">
        <v>60</v>
      </c>
    </row>
    <row r="1255" spans="1:5">
      <c r="A1255" t="s">
        <v>38</v>
      </c>
      <c r="B1255" s="11" t="s">
        <v>73</v>
      </c>
      <c r="C1255">
        <v>4023</v>
      </c>
      <c r="D1255" s="9">
        <v>145.52000000000001</v>
      </c>
      <c r="E1255" t="s">
        <v>60</v>
      </c>
    </row>
    <row r="1256" spans="1:5">
      <c r="A1256" t="s">
        <v>38</v>
      </c>
      <c r="B1256" s="11" t="s">
        <v>74</v>
      </c>
      <c r="C1256">
        <v>1001</v>
      </c>
      <c r="D1256" s="9">
        <v>-14866.71</v>
      </c>
      <c r="E1256" t="s">
        <v>60</v>
      </c>
    </row>
    <row r="1257" spans="1:5">
      <c r="A1257" t="s">
        <v>38</v>
      </c>
      <c r="B1257" s="11" t="s">
        <v>74</v>
      </c>
      <c r="C1257">
        <v>4011</v>
      </c>
      <c r="D1257" s="9">
        <v>416.11</v>
      </c>
      <c r="E1257" t="s">
        <v>60</v>
      </c>
    </row>
    <row r="1258" spans="1:5">
      <c r="A1258" t="s">
        <v>38</v>
      </c>
      <c r="B1258" s="11" t="s">
        <v>74</v>
      </c>
      <c r="C1258">
        <v>4012</v>
      </c>
      <c r="D1258" s="9">
        <v>83.22</v>
      </c>
      <c r="E1258" t="s">
        <v>60</v>
      </c>
    </row>
    <row r="1259" spans="1:5">
      <c r="A1259" t="s">
        <v>38</v>
      </c>
      <c r="B1259" s="11" t="s">
        <v>74</v>
      </c>
      <c r="C1259">
        <v>4018</v>
      </c>
      <c r="D1259" s="9">
        <v>294.36</v>
      </c>
      <c r="E1259" t="s">
        <v>60</v>
      </c>
    </row>
    <row r="1260" spans="1:5">
      <c r="A1260" t="s">
        <v>38</v>
      </c>
      <c r="B1260" s="11" t="s">
        <v>74</v>
      </c>
      <c r="C1260">
        <v>4021</v>
      </c>
      <c r="D1260" s="9">
        <v>222.91</v>
      </c>
      <c r="E1260" t="s">
        <v>60</v>
      </c>
    </row>
    <row r="1261" spans="1:5">
      <c r="A1261" t="s">
        <v>38</v>
      </c>
      <c r="B1261" s="11" t="s">
        <v>74</v>
      </c>
      <c r="C1261">
        <v>4022</v>
      </c>
      <c r="D1261" s="9">
        <v>104.66</v>
      </c>
      <c r="E1261" t="s">
        <v>60</v>
      </c>
    </row>
    <row r="1262" spans="1:5">
      <c r="A1262" t="s">
        <v>38</v>
      </c>
      <c r="B1262" s="11" t="s">
        <v>74</v>
      </c>
      <c r="C1262">
        <v>4023</v>
      </c>
      <c r="D1262" s="9">
        <v>130.83000000000001</v>
      </c>
      <c r="E1262" t="s">
        <v>60</v>
      </c>
    </row>
    <row r="1263" spans="1:5">
      <c r="A1263" t="s">
        <v>39</v>
      </c>
      <c r="B1263" s="11" t="s">
        <v>61</v>
      </c>
      <c r="C1263">
        <v>1001</v>
      </c>
      <c r="D1263" s="9">
        <v>-14344.16</v>
      </c>
      <c r="E1263" t="s">
        <v>56</v>
      </c>
    </row>
    <row r="1264" spans="1:5">
      <c r="A1264" t="s">
        <v>39</v>
      </c>
      <c r="B1264" s="11" t="s">
        <v>61</v>
      </c>
      <c r="C1264">
        <v>4011</v>
      </c>
      <c r="D1264" s="9">
        <v>236.58</v>
      </c>
      <c r="E1264" t="s">
        <v>56</v>
      </c>
    </row>
    <row r="1265" spans="1:5">
      <c r="A1265" t="s">
        <v>39</v>
      </c>
      <c r="B1265" s="11" t="s">
        <v>61</v>
      </c>
      <c r="C1265">
        <v>4012</v>
      </c>
      <c r="D1265" s="9">
        <v>41.4</v>
      </c>
      <c r="E1265" t="s">
        <v>56</v>
      </c>
    </row>
    <row r="1266" spans="1:5">
      <c r="A1266" t="s">
        <v>39</v>
      </c>
      <c r="B1266" s="11" t="s">
        <v>61</v>
      </c>
      <c r="C1266">
        <v>4018</v>
      </c>
      <c r="D1266" s="9">
        <v>265.94</v>
      </c>
      <c r="E1266" t="s">
        <v>56</v>
      </c>
    </row>
    <row r="1267" spans="1:5">
      <c r="A1267" t="s">
        <v>39</v>
      </c>
      <c r="B1267" s="11" t="s">
        <v>61</v>
      </c>
      <c r="C1267">
        <v>4022</v>
      </c>
      <c r="D1267" s="9">
        <v>88.65</v>
      </c>
      <c r="E1267" t="s">
        <v>56</v>
      </c>
    </row>
    <row r="1268" spans="1:5">
      <c r="A1268" t="s">
        <v>39</v>
      </c>
      <c r="B1268" s="11" t="s">
        <v>61</v>
      </c>
      <c r="C1268">
        <v>4023</v>
      </c>
      <c r="D1268" s="9">
        <v>118.2</v>
      </c>
      <c r="E1268" t="s">
        <v>56</v>
      </c>
    </row>
    <row r="1269" spans="1:5">
      <c r="A1269" t="s">
        <v>39</v>
      </c>
      <c r="B1269" s="11" t="s">
        <v>62</v>
      </c>
      <c r="C1269">
        <v>1001</v>
      </c>
      <c r="D1269" s="9">
        <v>-10622.34</v>
      </c>
      <c r="E1269" t="s">
        <v>56</v>
      </c>
    </row>
    <row r="1270" spans="1:5">
      <c r="A1270" t="s">
        <v>39</v>
      </c>
      <c r="B1270" s="11" t="s">
        <v>62</v>
      </c>
      <c r="C1270">
        <v>4011</v>
      </c>
      <c r="D1270" s="9">
        <v>186.01</v>
      </c>
      <c r="E1270" t="s">
        <v>56</v>
      </c>
    </row>
    <row r="1271" spans="1:5">
      <c r="A1271" t="s">
        <v>39</v>
      </c>
      <c r="B1271" s="11" t="s">
        <v>62</v>
      </c>
      <c r="C1271">
        <v>4012</v>
      </c>
      <c r="D1271" s="9">
        <v>32.549999999999997</v>
      </c>
      <c r="E1271" t="s">
        <v>56</v>
      </c>
    </row>
    <row r="1272" spans="1:5">
      <c r="A1272" t="s">
        <v>39</v>
      </c>
      <c r="B1272" s="11" t="s">
        <v>62</v>
      </c>
      <c r="C1272">
        <v>4018</v>
      </c>
      <c r="D1272" s="9">
        <v>196.94</v>
      </c>
      <c r="E1272" t="s">
        <v>56</v>
      </c>
    </row>
    <row r="1273" spans="1:5">
      <c r="A1273" t="s">
        <v>39</v>
      </c>
      <c r="B1273" s="11" t="s">
        <v>62</v>
      </c>
      <c r="C1273">
        <v>4022</v>
      </c>
      <c r="D1273" s="9">
        <v>65.650000000000006</v>
      </c>
      <c r="E1273" t="s">
        <v>56</v>
      </c>
    </row>
    <row r="1274" spans="1:5">
      <c r="A1274" t="s">
        <v>39</v>
      </c>
      <c r="B1274" s="11" t="s">
        <v>62</v>
      </c>
      <c r="C1274">
        <v>4023</v>
      </c>
      <c r="D1274" s="9">
        <v>87.53</v>
      </c>
      <c r="E1274" t="s">
        <v>56</v>
      </c>
    </row>
    <row r="1275" spans="1:5">
      <c r="A1275" t="s">
        <v>39</v>
      </c>
      <c r="B1275" s="11" t="s">
        <v>63</v>
      </c>
      <c r="C1275">
        <v>1001</v>
      </c>
      <c r="D1275" s="9">
        <v>-16439.47</v>
      </c>
      <c r="E1275" t="s">
        <v>56</v>
      </c>
    </row>
    <row r="1276" spans="1:5">
      <c r="A1276" t="s">
        <v>39</v>
      </c>
      <c r="B1276" s="11" t="s">
        <v>63</v>
      </c>
      <c r="C1276">
        <v>4011</v>
      </c>
      <c r="D1276" s="9">
        <v>311.39</v>
      </c>
      <c r="E1276" t="s">
        <v>56</v>
      </c>
    </row>
    <row r="1277" spans="1:5">
      <c r="A1277" t="s">
        <v>39</v>
      </c>
      <c r="B1277" s="11" t="s">
        <v>63</v>
      </c>
      <c r="C1277">
        <v>4012</v>
      </c>
      <c r="D1277" s="9">
        <v>62.28</v>
      </c>
      <c r="E1277" t="s">
        <v>56</v>
      </c>
    </row>
    <row r="1278" spans="1:5">
      <c r="A1278" t="s">
        <v>39</v>
      </c>
      <c r="B1278" s="11" t="s">
        <v>63</v>
      </c>
      <c r="C1278">
        <v>4018</v>
      </c>
      <c r="D1278" s="9">
        <v>304.79000000000002</v>
      </c>
      <c r="E1278" t="s">
        <v>56</v>
      </c>
    </row>
    <row r="1279" spans="1:5">
      <c r="A1279" t="s">
        <v>39</v>
      </c>
      <c r="B1279" s="11" t="s">
        <v>63</v>
      </c>
      <c r="C1279">
        <v>4022</v>
      </c>
      <c r="D1279" s="9">
        <v>101.6</v>
      </c>
      <c r="E1279" t="s">
        <v>56</v>
      </c>
    </row>
    <row r="1280" spans="1:5">
      <c r="A1280" t="s">
        <v>39</v>
      </c>
      <c r="B1280" s="11" t="s">
        <v>63</v>
      </c>
      <c r="C1280">
        <v>4023</v>
      </c>
      <c r="D1280" s="9">
        <v>135.46</v>
      </c>
      <c r="E1280" t="s">
        <v>56</v>
      </c>
    </row>
    <row r="1281" spans="1:5">
      <c r="A1281" t="s">
        <v>39</v>
      </c>
      <c r="B1281" s="11" t="s">
        <v>75</v>
      </c>
      <c r="C1281">
        <v>1001</v>
      </c>
      <c r="D1281" s="9">
        <v>-18146.689999999999</v>
      </c>
      <c r="E1281" t="s">
        <v>56</v>
      </c>
    </row>
    <row r="1282" spans="1:5">
      <c r="A1282" t="s">
        <v>39</v>
      </c>
      <c r="B1282" s="11" t="s">
        <v>75</v>
      </c>
      <c r="C1282">
        <v>4011</v>
      </c>
      <c r="D1282" s="9">
        <v>306.27999999999997</v>
      </c>
      <c r="E1282" t="s">
        <v>56</v>
      </c>
    </row>
    <row r="1283" spans="1:5">
      <c r="A1283" t="s">
        <v>39</v>
      </c>
      <c r="B1283" s="11" t="s">
        <v>75</v>
      </c>
      <c r="C1283">
        <v>4012</v>
      </c>
      <c r="D1283" s="9">
        <v>61.26</v>
      </c>
      <c r="E1283" t="s">
        <v>56</v>
      </c>
    </row>
    <row r="1284" spans="1:5">
      <c r="A1284" t="s">
        <v>39</v>
      </c>
      <c r="B1284" s="11" t="s">
        <v>75</v>
      </c>
      <c r="C1284">
        <v>4018</v>
      </c>
      <c r="D1284" s="9">
        <v>336.44</v>
      </c>
      <c r="E1284" t="s">
        <v>56</v>
      </c>
    </row>
    <row r="1285" spans="1:5">
      <c r="A1285" t="s">
        <v>39</v>
      </c>
      <c r="B1285" s="11" t="s">
        <v>75</v>
      </c>
      <c r="C1285">
        <v>4022</v>
      </c>
      <c r="D1285" s="9">
        <v>112.15</v>
      </c>
      <c r="E1285" t="s">
        <v>56</v>
      </c>
    </row>
    <row r="1286" spans="1:5">
      <c r="A1286" t="s">
        <v>39</v>
      </c>
      <c r="B1286" s="11" t="s">
        <v>75</v>
      </c>
      <c r="C1286">
        <v>4023</v>
      </c>
      <c r="D1286" s="9">
        <v>149.53</v>
      </c>
      <c r="E1286" t="s">
        <v>56</v>
      </c>
    </row>
    <row r="1287" spans="1:5">
      <c r="A1287" t="s">
        <v>39</v>
      </c>
      <c r="B1287" s="11" t="s">
        <v>64</v>
      </c>
      <c r="C1287">
        <v>1001</v>
      </c>
      <c r="D1287" s="9">
        <v>-16175.91</v>
      </c>
      <c r="E1287" t="s">
        <v>57</v>
      </c>
    </row>
    <row r="1288" spans="1:5">
      <c r="A1288" t="s">
        <v>39</v>
      </c>
      <c r="B1288" s="11" t="s">
        <v>64</v>
      </c>
      <c r="C1288">
        <v>4011</v>
      </c>
      <c r="D1288" s="9">
        <v>357.25</v>
      </c>
      <c r="E1288" t="s">
        <v>57</v>
      </c>
    </row>
    <row r="1289" spans="1:5">
      <c r="A1289" t="s">
        <v>39</v>
      </c>
      <c r="B1289" s="11" t="s">
        <v>64</v>
      </c>
      <c r="C1289">
        <v>4012</v>
      </c>
      <c r="D1289" s="9">
        <v>71.45</v>
      </c>
      <c r="E1289" t="s">
        <v>57</v>
      </c>
    </row>
    <row r="1290" spans="1:5">
      <c r="A1290" t="s">
        <v>39</v>
      </c>
      <c r="B1290" s="11" t="s">
        <v>64</v>
      </c>
      <c r="C1290">
        <v>4018</v>
      </c>
      <c r="D1290" s="9">
        <v>299.89999999999998</v>
      </c>
      <c r="E1290" t="s">
        <v>57</v>
      </c>
    </row>
    <row r="1291" spans="1:5">
      <c r="A1291" t="s">
        <v>39</v>
      </c>
      <c r="B1291" s="11" t="s">
        <v>64</v>
      </c>
      <c r="C1291">
        <v>4022</v>
      </c>
      <c r="D1291" s="9">
        <v>99.97</v>
      </c>
      <c r="E1291" t="s">
        <v>57</v>
      </c>
    </row>
    <row r="1292" spans="1:5">
      <c r="A1292" t="s">
        <v>39</v>
      </c>
      <c r="B1292" s="11" t="s">
        <v>64</v>
      </c>
      <c r="C1292">
        <v>4023</v>
      </c>
      <c r="D1292" s="9">
        <v>133.29</v>
      </c>
      <c r="E1292" t="s">
        <v>57</v>
      </c>
    </row>
    <row r="1293" spans="1:5">
      <c r="A1293" t="s">
        <v>39</v>
      </c>
      <c r="B1293" s="11" t="s">
        <v>65</v>
      </c>
      <c r="C1293">
        <v>1001</v>
      </c>
      <c r="D1293" s="9">
        <v>-12049.98</v>
      </c>
      <c r="E1293" t="s">
        <v>57</v>
      </c>
    </row>
    <row r="1294" spans="1:5">
      <c r="A1294" t="s">
        <v>39</v>
      </c>
      <c r="B1294" s="11" t="s">
        <v>65</v>
      </c>
      <c r="C1294">
        <v>4011</v>
      </c>
      <c r="D1294" s="9">
        <v>217.88</v>
      </c>
      <c r="E1294" t="s">
        <v>57</v>
      </c>
    </row>
    <row r="1295" spans="1:5">
      <c r="A1295" t="s">
        <v>39</v>
      </c>
      <c r="B1295" s="11" t="s">
        <v>65</v>
      </c>
      <c r="C1295">
        <v>4012</v>
      </c>
      <c r="D1295" s="9">
        <v>43.58</v>
      </c>
      <c r="E1295" t="s">
        <v>57</v>
      </c>
    </row>
    <row r="1296" spans="1:5">
      <c r="A1296" t="s">
        <v>39</v>
      </c>
      <c r="B1296" s="11" t="s">
        <v>65</v>
      </c>
      <c r="C1296">
        <v>4018</v>
      </c>
      <c r="D1296" s="9">
        <v>238.59</v>
      </c>
      <c r="E1296" t="s">
        <v>57</v>
      </c>
    </row>
    <row r="1297" spans="1:5">
      <c r="A1297" t="s">
        <v>39</v>
      </c>
      <c r="B1297" s="11" t="s">
        <v>65</v>
      </c>
      <c r="C1297">
        <v>4022</v>
      </c>
      <c r="D1297" s="9">
        <v>79.53</v>
      </c>
      <c r="E1297" t="s">
        <v>57</v>
      </c>
    </row>
    <row r="1298" spans="1:5">
      <c r="A1298" t="s">
        <v>39</v>
      </c>
      <c r="B1298" s="11" t="s">
        <v>65</v>
      </c>
      <c r="C1298">
        <v>4023</v>
      </c>
      <c r="D1298" s="9">
        <v>106.04</v>
      </c>
      <c r="E1298" t="s">
        <v>57</v>
      </c>
    </row>
    <row r="1299" spans="1:5">
      <c r="A1299" t="s">
        <v>39</v>
      </c>
      <c r="B1299" s="11" t="s">
        <v>66</v>
      </c>
      <c r="C1299">
        <v>1001</v>
      </c>
      <c r="D1299" s="9">
        <v>-23264.61</v>
      </c>
      <c r="E1299" t="s">
        <v>57</v>
      </c>
    </row>
    <row r="1300" spans="1:5">
      <c r="A1300" t="s">
        <v>39</v>
      </c>
      <c r="B1300" s="11" t="s">
        <v>66</v>
      </c>
      <c r="C1300">
        <v>4011</v>
      </c>
      <c r="D1300" s="9">
        <v>384.87</v>
      </c>
      <c r="E1300" t="s">
        <v>57</v>
      </c>
    </row>
    <row r="1301" spans="1:5">
      <c r="A1301" t="s">
        <v>39</v>
      </c>
      <c r="B1301" s="11" t="s">
        <v>66</v>
      </c>
      <c r="C1301">
        <v>4012</v>
      </c>
      <c r="D1301" s="9">
        <v>76.97</v>
      </c>
      <c r="E1301" t="s">
        <v>57</v>
      </c>
    </row>
    <row r="1302" spans="1:5">
      <c r="A1302" t="s">
        <v>39</v>
      </c>
      <c r="B1302" s="11" t="s">
        <v>66</v>
      </c>
      <c r="C1302">
        <v>4018</v>
      </c>
      <c r="D1302" s="9">
        <v>431.33</v>
      </c>
      <c r="E1302" t="s">
        <v>57</v>
      </c>
    </row>
    <row r="1303" spans="1:5">
      <c r="A1303" t="s">
        <v>39</v>
      </c>
      <c r="B1303" s="11" t="s">
        <v>66</v>
      </c>
      <c r="C1303">
        <v>4022</v>
      </c>
      <c r="D1303" s="9">
        <v>143.78</v>
      </c>
      <c r="E1303" t="s">
        <v>57</v>
      </c>
    </row>
    <row r="1304" spans="1:5">
      <c r="A1304" t="s">
        <v>39</v>
      </c>
      <c r="B1304" s="11" t="s">
        <v>66</v>
      </c>
      <c r="C1304">
        <v>4023</v>
      </c>
      <c r="D1304" s="9">
        <v>191.7</v>
      </c>
      <c r="E1304" t="s">
        <v>57</v>
      </c>
    </row>
    <row r="1305" spans="1:5">
      <c r="A1305" t="s">
        <v>39</v>
      </c>
      <c r="B1305" s="11" t="s">
        <v>67</v>
      </c>
      <c r="C1305">
        <v>1001</v>
      </c>
      <c r="D1305" s="9">
        <v>-11607.25</v>
      </c>
      <c r="E1305" t="s">
        <v>57</v>
      </c>
    </row>
    <row r="1306" spans="1:5">
      <c r="A1306" t="s">
        <v>39</v>
      </c>
      <c r="B1306" s="11" t="s">
        <v>67</v>
      </c>
      <c r="C1306">
        <v>4011</v>
      </c>
      <c r="D1306" s="9">
        <v>174.29</v>
      </c>
      <c r="E1306" t="s">
        <v>57</v>
      </c>
    </row>
    <row r="1307" spans="1:5">
      <c r="A1307" t="s">
        <v>39</v>
      </c>
      <c r="B1307" s="11" t="s">
        <v>67</v>
      </c>
      <c r="C1307">
        <v>4012</v>
      </c>
      <c r="D1307" s="9">
        <v>34.86</v>
      </c>
      <c r="E1307" t="s">
        <v>57</v>
      </c>
    </row>
    <row r="1308" spans="1:5">
      <c r="A1308" t="s">
        <v>39</v>
      </c>
      <c r="B1308" s="11" t="s">
        <v>67</v>
      </c>
      <c r="C1308">
        <v>4018</v>
      </c>
      <c r="D1308" s="9">
        <v>215.2</v>
      </c>
      <c r="E1308" t="s">
        <v>57</v>
      </c>
    </row>
    <row r="1309" spans="1:5">
      <c r="A1309" t="s">
        <v>39</v>
      </c>
      <c r="B1309" s="11" t="s">
        <v>67</v>
      </c>
      <c r="C1309">
        <v>4022</v>
      </c>
      <c r="D1309" s="9">
        <v>71.73</v>
      </c>
      <c r="E1309" t="s">
        <v>57</v>
      </c>
    </row>
    <row r="1310" spans="1:5">
      <c r="A1310" t="s">
        <v>39</v>
      </c>
      <c r="B1310" s="11" t="s">
        <v>67</v>
      </c>
      <c r="C1310">
        <v>4023</v>
      </c>
      <c r="D1310" s="9">
        <v>95.64</v>
      </c>
      <c r="E1310" t="s">
        <v>57</v>
      </c>
    </row>
    <row r="1311" spans="1:5">
      <c r="A1311" t="s">
        <v>39</v>
      </c>
      <c r="B1311" s="11" t="s">
        <v>76</v>
      </c>
      <c r="C1311">
        <v>1001</v>
      </c>
      <c r="D1311" s="9">
        <v>-7575.54</v>
      </c>
      <c r="E1311" t="s">
        <v>57</v>
      </c>
    </row>
    <row r="1312" spans="1:5">
      <c r="A1312" t="s">
        <v>39</v>
      </c>
      <c r="B1312" s="11" t="s">
        <v>76</v>
      </c>
      <c r="C1312">
        <v>4011</v>
      </c>
      <c r="D1312" s="9">
        <v>94.71</v>
      </c>
      <c r="E1312" t="s">
        <v>57</v>
      </c>
    </row>
    <row r="1313" spans="1:5">
      <c r="A1313" t="s">
        <v>39</v>
      </c>
      <c r="B1313" s="11" t="s">
        <v>76</v>
      </c>
      <c r="C1313">
        <v>4012</v>
      </c>
      <c r="D1313" s="9">
        <v>17.760000000000002</v>
      </c>
      <c r="E1313" t="s">
        <v>57</v>
      </c>
    </row>
    <row r="1314" spans="1:5">
      <c r="A1314" t="s">
        <v>39</v>
      </c>
      <c r="B1314" s="11" t="s">
        <v>76</v>
      </c>
      <c r="C1314">
        <v>4018</v>
      </c>
      <c r="D1314" s="9">
        <v>140.44999999999999</v>
      </c>
      <c r="E1314" t="s">
        <v>57</v>
      </c>
    </row>
    <row r="1315" spans="1:5">
      <c r="A1315" t="s">
        <v>39</v>
      </c>
      <c r="B1315" s="11" t="s">
        <v>76</v>
      </c>
      <c r="C1315">
        <v>4022</v>
      </c>
      <c r="D1315" s="9">
        <v>46.82</v>
      </c>
      <c r="E1315" t="s">
        <v>57</v>
      </c>
    </row>
    <row r="1316" spans="1:5">
      <c r="A1316" t="s">
        <v>39</v>
      </c>
      <c r="B1316" s="11" t="s">
        <v>76</v>
      </c>
      <c r="C1316">
        <v>4023</v>
      </c>
      <c r="D1316" s="9">
        <v>62.42</v>
      </c>
      <c r="E1316" t="s">
        <v>57</v>
      </c>
    </row>
    <row r="1317" spans="1:5">
      <c r="A1317" t="s">
        <v>39</v>
      </c>
      <c r="B1317" s="11" t="s">
        <v>68</v>
      </c>
      <c r="C1317">
        <v>1001</v>
      </c>
      <c r="D1317" s="9">
        <v>-13618.91</v>
      </c>
      <c r="E1317" t="s">
        <v>58</v>
      </c>
    </row>
    <row r="1318" spans="1:5">
      <c r="A1318" t="s">
        <v>39</v>
      </c>
      <c r="B1318" s="11" t="s">
        <v>68</v>
      </c>
      <c r="C1318">
        <v>4011</v>
      </c>
      <c r="D1318" s="9">
        <v>230.25</v>
      </c>
      <c r="E1318" t="s">
        <v>58</v>
      </c>
    </row>
    <row r="1319" spans="1:5">
      <c r="A1319" t="s">
        <v>39</v>
      </c>
      <c r="B1319" s="11" t="s">
        <v>68</v>
      </c>
      <c r="C1319">
        <v>4012</v>
      </c>
      <c r="D1319" s="9">
        <v>40.29</v>
      </c>
      <c r="E1319" t="s">
        <v>58</v>
      </c>
    </row>
    <row r="1320" spans="1:5">
      <c r="A1320" t="s">
        <v>39</v>
      </c>
      <c r="B1320" s="11" t="s">
        <v>68</v>
      </c>
      <c r="C1320">
        <v>4018</v>
      </c>
      <c r="D1320" s="9">
        <v>257.39999999999998</v>
      </c>
      <c r="E1320" t="s">
        <v>58</v>
      </c>
    </row>
    <row r="1321" spans="1:5">
      <c r="A1321" t="s">
        <v>39</v>
      </c>
      <c r="B1321" s="11" t="s">
        <v>68</v>
      </c>
      <c r="C1321">
        <v>4022</v>
      </c>
      <c r="D1321" s="9">
        <v>85.8</v>
      </c>
      <c r="E1321" t="s">
        <v>58</v>
      </c>
    </row>
    <row r="1322" spans="1:5">
      <c r="A1322" t="s">
        <v>39</v>
      </c>
      <c r="B1322" s="11" t="s">
        <v>68</v>
      </c>
      <c r="C1322">
        <v>4023</v>
      </c>
      <c r="D1322" s="9">
        <v>114.4</v>
      </c>
      <c r="E1322" t="s">
        <v>58</v>
      </c>
    </row>
    <row r="1323" spans="1:5">
      <c r="A1323" t="s">
        <v>39</v>
      </c>
      <c r="B1323" s="11" t="s">
        <v>69</v>
      </c>
      <c r="C1323">
        <v>1001</v>
      </c>
      <c r="D1323" s="9">
        <v>-12390.51</v>
      </c>
      <c r="E1323" t="s">
        <v>58</v>
      </c>
    </row>
    <row r="1324" spans="1:5">
      <c r="A1324" t="s">
        <v>39</v>
      </c>
      <c r="B1324" s="11" t="s">
        <v>69</v>
      </c>
      <c r="C1324">
        <v>4011</v>
      </c>
      <c r="D1324" s="9">
        <v>162.28</v>
      </c>
      <c r="E1324" t="s">
        <v>58</v>
      </c>
    </row>
    <row r="1325" spans="1:5">
      <c r="A1325" t="s">
        <v>39</v>
      </c>
      <c r="B1325" s="11" t="s">
        <v>69</v>
      </c>
      <c r="C1325">
        <v>4012</v>
      </c>
      <c r="D1325" s="9">
        <v>28.4</v>
      </c>
      <c r="E1325" t="s">
        <v>58</v>
      </c>
    </row>
    <row r="1326" spans="1:5">
      <c r="A1326" t="s">
        <v>39</v>
      </c>
      <c r="B1326" s="11" t="s">
        <v>69</v>
      </c>
      <c r="C1326">
        <v>4018</v>
      </c>
      <c r="D1326" s="9">
        <v>229.72</v>
      </c>
      <c r="E1326" t="s">
        <v>58</v>
      </c>
    </row>
    <row r="1327" spans="1:5">
      <c r="A1327" t="s">
        <v>39</v>
      </c>
      <c r="B1327" s="11" t="s">
        <v>69</v>
      </c>
      <c r="C1327">
        <v>4022</v>
      </c>
      <c r="D1327" s="9">
        <v>76.569999999999993</v>
      </c>
      <c r="E1327" t="s">
        <v>58</v>
      </c>
    </row>
    <row r="1328" spans="1:5">
      <c r="A1328" t="s">
        <v>39</v>
      </c>
      <c r="B1328" s="11" t="s">
        <v>69</v>
      </c>
      <c r="C1328">
        <v>4023</v>
      </c>
      <c r="D1328" s="9">
        <v>102.1</v>
      </c>
      <c r="E1328" t="s">
        <v>58</v>
      </c>
    </row>
    <row r="1329" spans="1:5">
      <c r="A1329" t="s">
        <v>39</v>
      </c>
      <c r="B1329" s="11" t="s">
        <v>77</v>
      </c>
      <c r="C1329">
        <v>1001</v>
      </c>
      <c r="D1329" s="9">
        <v>-16371.02</v>
      </c>
      <c r="E1329" t="s">
        <v>58</v>
      </c>
    </row>
    <row r="1330" spans="1:5">
      <c r="A1330" t="s">
        <v>39</v>
      </c>
      <c r="B1330" s="11" t="s">
        <v>77</v>
      </c>
      <c r="C1330">
        <v>4011</v>
      </c>
      <c r="D1330" s="9">
        <v>347.41</v>
      </c>
      <c r="E1330" t="s">
        <v>58</v>
      </c>
    </row>
    <row r="1331" spans="1:5">
      <c r="A1331" t="s">
        <v>39</v>
      </c>
      <c r="B1331" s="11" t="s">
        <v>77</v>
      </c>
      <c r="C1331">
        <v>4012</v>
      </c>
      <c r="D1331" s="9">
        <v>69.48</v>
      </c>
      <c r="E1331" t="s">
        <v>58</v>
      </c>
    </row>
    <row r="1332" spans="1:5">
      <c r="A1332" t="s">
        <v>39</v>
      </c>
      <c r="B1332" s="11" t="s">
        <v>77</v>
      </c>
      <c r="C1332">
        <v>4018</v>
      </c>
      <c r="D1332" s="9">
        <v>303.52</v>
      </c>
      <c r="E1332" t="s">
        <v>58</v>
      </c>
    </row>
    <row r="1333" spans="1:5">
      <c r="A1333" t="s">
        <v>39</v>
      </c>
      <c r="B1333" s="11" t="s">
        <v>77</v>
      </c>
      <c r="C1333">
        <v>4022</v>
      </c>
      <c r="D1333" s="9">
        <v>101.17</v>
      </c>
      <c r="E1333" t="s">
        <v>58</v>
      </c>
    </row>
    <row r="1334" spans="1:5">
      <c r="A1334" t="s">
        <v>39</v>
      </c>
      <c r="B1334" s="11" t="s">
        <v>77</v>
      </c>
      <c r="C1334">
        <v>4023</v>
      </c>
      <c r="D1334" s="9">
        <v>134.9</v>
      </c>
      <c r="E1334" t="s">
        <v>58</v>
      </c>
    </row>
    <row r="1335" spans="1:5">
      <c r="A1335" t="s">
        <v>39</v>
      </c>
      <c r="B1335" s="11" t="s">
        <v>70</v>
      </c>
      <c r="C1335">
        <v>1001</v>
      </c>
      <c r="D1335" s="9">
        <v>-16555.580000000002</v>
      </c>
      <c r="E1335" t="s">
        <v>59</v>
      </c>
    </row>
    <row r="1336" spans="1:5">
      <c r="A1336" t="s">
        <v>39</v>
      </c>
      <c r="B1336" s="11" t="s">
        <v>70</v>
      </c>
      <c r="C1336">
        <v>4011</v>
      </c>
      <c r="D1336" s="9">
        <v>297.05</v>
      </c>
      <c r="E1336" t="s">
        <v>59</v>
      </c>
    </row>
    <row r="1337" spans="1:5">
      <c r="A1337" t="s">
        <v>39</v>
      </c>
      <c r="B1337" s="11" t="s">
        <v>70</v>
      </c>
      <c r="C1337">
        <v>4012</v>
      </c>
      <c r="D1337" s="9">
        <v>59.41</v>
      </c>
      <c r="E1337" t="s">
        <v>59</v>
      </c>
    </row>
    <row r="1338" spans="1:5">
      <c r="A1338" t="s">
        <v>39</v>
      </c>
      <c r="B1338" s="11" t="s">
        <v>70</v>
      </c>
      <c r="C1338">
        <v>4018</v>
      </c>
      <c r="D1338" s="9">
        <v>341.04</v>
      </c>
      <c r="E1338" t="s">
        <v>59</v>
      </c>
    </row>
    <row r="1339" spans="1:5">
      <c r="A1339" t="s">
        <v>39</v>
      </c>
      <c r="B1339" s="11" t="s">
        <v>70</v>
      </c>
      <c r="C1339">
        <v>4022</v>
      </c>
      <c r="D1339" s="9">
        <v>102.31</v>
      </c>
      <c r="E1339" t="s">
        <v>59</v>
      </c>
    </row>
    <row r="1340" spans="1:5">
      <c r="A1340" t="s">
        <v>39</v>
      </c>
      <c r="B1340" s="11" t="s">
        <v>70</v>
      </c>
      <c r="C1340">
        <v>4023</v>
      </c>
      <c r="D1340" s="9">
        <v>136.41999999999999</v>
      </c>
      <c r="E1340" t="s">
        <v>59</v>
      </c>
    </row>
    <row r="1341" spans="1:5">
      <c r="A1341" t="s">
        <v>39</v>
      </c>
      <c r="B1341" s="11" t="s">
        <v>71</v>
      </c>
      <c r="C1341">
        <v>1001</v>
      </c>
      <c r="D1341" s="9">
        <v>-20926.09</v>
      </c>
      <c r="E1341" t="s">
        <v>59</v>
      </c>
    </row>
    <row r="1342" spans="1:5">
      <c r="A1342" t="s">
        <v>39</v>
      </c>
      <c r="B1342" s="11" t="s">
        <v>71</v>
      </c>
      <c r="C1342">
        <v>4011</v>
      </c>
      <c r="D1342" s="9">
        <v>382.32</v>
      </c>
      <c r="E1342" t="s">
        <v>59</v>
      </c>
    </row>
    <row r="1343" spans="1:5">
      <c r="A1343" t="s">
        <v>39</v>
      </c>
      <c r="B1343" s="11" t="s">
        <v>71</v>
      </c>
      <c r="C1343">
        <v>4012</v>
      </c>
      <c r="D1343" s="9">
        <v>76.459999999999994</v>
      </c>
      <c r="E1343" t="s">
        <v>59</v>
      </c>
    </row>
    <row r="1344" spans="1:5">
      <c r="A1344" t="s">
        <v>39</v>
      </c>
      <c r="B1344" s="11" t="s">
        <v>71</v>
      </c>
      <c r="C1344">
        <v>4018</v>
      </c>
      <c r="D1344" s="9">
        <v>387.97</v>
      </c>
      <c r="E1344" t="s">
        <v>59</v>
      </c>
    </row>
    <row r="1345" spans="1:5">
      <c r="A1345" t="s">
        <v>39</v>
      </c>
      <c r="B1345" s="11" t="s">
        <v>71</v>
      </c>
      <c r="C1345">
        <v>4022</v>
      </c>
      <c r="D1345" s="9">
        <v>129.32</v>
      </c>
      <c r="E1345" t="s">
        <v>59</v>
      </c>
    </row>
    <row r="1346" spans="1:5">
      <c r="A1346" t="s">
        <v>39</v>
      </c>
      <c r="B1346" s="11" t="s">
        <v>71</v>
      </c>
      <c r="C1346">
        <v>4023</v>
      </c>
      <c r="D1346" s="9">
        <v>172.43</v>
      </c>
      <c r="E1346" t="s">
        <v>59</v>
      </c>
    </row>
    <row r="1347" spans="1:5">
      <c r="A1347" t="s">
        <v>39</v>
      </c>
      <c r="B1347" s="11" t="s">
        <v>72</v>
      </c>
      <c r="C1347">
        <v>1001</v>
      </c>
      <c r="D1347" s="9">
        <v>-20843.86</v>
      </c>
      <c r="E1347" t="s">
        <v>59</v>
      </c>
    </row>
    <row r="1348" spans="1:5">
      <c r="A1348" t="s">
        <v>39</v>
      </c>
      <c r="B1348" s="11" t="s">
        <v>72</v>
      </c>
      <c r="C1348">
        <v>4011</v>
      </c>
      <c r="D1348" s="9">
        <v>481.85</v>
      </c>
      <c r="E1348" t="s">
        <v>59</v>
      </c>
    </row>
    <row r="1349" spans="1:5">
      <c r="A1349" t="s">
        <v>39</v>
      </c>
      <c r="B1349" s="11" t="s">
        <v>72</v>
      </c>
      <c r="C1349">
        <v>4012</v>
      </c>
      <c r="D1349" s="9">
        <v>96.37</v>
      </c>
      <c r="E1349" t="s">
        <v>59</v>
      </c>
    </row>
    <row r="1350" spans="1:5">
      <c r="A1350" t="s">
        <v>39</v>
      </c>
      <c r="B1350" s="11" t="s">
        <v>72</v>
      </c>
      <c r="C1350">
        <v>4018</v>
      </c>
      <c r="D1350" s="9">
        <v>858.77</v>
      </c>
      <c r="E1350" t="s">
        <v>59</v>
      </c>
    </row>
    <row r="1351" spans="1:5">
      <c r="A1351" t="s">
        <v>39</v>
      </c>
      <c r="B1351" s="11" t="s">
        <v>72</v>
      </c>
      <c r="C1351">
        <v>4022</v>
      </c>
      <c r="D1351" s="9">
        <v>128.82</v>
      </c>
      <c r="E1351" t="s">
        <v>59</v>
      </c>
    </row>
    <row r="1352" spans="1:5">
      <c r="A1352" t="s">
        <v>39</v>
      </c>
      <c r="B1352" s="11" t="s">
        <v>72</v>
      </c>
      <c r="C1352">
        <v>4023</v>
      </c>
      <c r="D1352" s="9">
        <v>171.75</v>
      </c>
      <c r="E1352" t="s">
        <v>59</v>
      </c>
    </row>
    <row r="1353" spans="1:5">
      <c r="A1353" t="s">
        <v>39</v>
      </c>
      <c r="B1353" s="11" t="s">
        <v>78</v>
      </c>
      <c r="C1353">
        <v>1001</v>
      </c>
      <c r="D1353" s="9">
        <v>-14522.18</v>
      </c>
      <c r="E1353" t="s">
        <v>59</v>
      </c>
    </row>
    <row r="1354" spans="1:5">
      <c r="A1354" t="s">
        <v>39</v>
      </c>
      <c r="B1354" s="11" t="s">
        <v>78</v>
      </c>
      <c r="C1354">
        <v>4011</v>
      </c>
      <c r="D1354" s="9">
        <v>260.89999999999998</v>
      </c>
      <c r="E1354" t="s">
        <v>59</v>
      </c>
    </row>
    <row r="1355" spans="1:5">
      <c r="A1355" t="s">
        <v>39</v>
      </c>
      <c r="B1355" s="11" t="s">
        <v>78</v>
      </c>
      <c r="C1355">
        <v>4012</v>
      </c>
      <c r="D1355" s="9">
        <v>52.18</v>
      </c>
      <c r="E1355" t="s">
        <v>59</v>
      </c>
    </row>
    <row r="1356" spans="1:5">
      <c r="A1356" t="s">
        <v>39</v>
      </c>
      <c r="B1356" s="11" t="s">
        <v>78</v>
      </c>
      <c r="C1356">
        <v>4018</v>
      </c>
      <c r="D1356" s="9">
        <v>762.41</v>
      </c>
      <c r="E1356" t="s">
        <v>59</v>
      </c>
    </row>
    <row r="1357" spans="1:5">
      <c r="A1357" t="s">
        <v>39</v>
      </c>
      <c r="B1357" s="11" t="s">
        <v>78</v>
      </c>
      <c r="C1357">
        <v>4022</v>
      </c>
      <c r="D1357" s="9">
        <v>91.49</v>
      </c>
      <c r="E1357" t="s">
        <v>59</v>
      </c>
    </row>
    <row r="1358" spans="1:5">
      <c r="A1358" t="s">
        <v>39</v>
      </c>
      <c r="B1358" s="11" t="s">
        <v>78</v>
      </c>
      <c r="C1358">
        <v>4023</v>
      </c>
      <c r="D1358" s="9">
        <v>121.99</v>
      </c>
      <c r="E1358" t="s">
        <v>59</v>
      </c>
    </row>
    <row r="1359" spans="1:5">
      <c r="A1359" t="s">
        <v>39</v>
      </c>
      <c r="B1359" s="11" t="s">
        <v>73</v>
      </c>
      <c r="C1359">
        <v>1001</v>
      </c>
      <c r="D1359" s="9">
        <v>-18398.59</v>
      </c>
      <c r="E1359" t="s">
        <v>60</v>
      </c>
    </row>
    <row r="1360" spans="1:5">
      <c r="A1360" t="s">
        <v>39</v>
      </c>
      <c r="B1360" s="11" t="s">
        <v>73</v>
      </c>
      <c r="C1360">
        <v>4011</v>
      </c>
      <c r="D1360" s="9">
        <v>403.56</v>
      </c>
      <c r="E1360" t="s">
        <v>60</v>
      </c>
    </row>
    <row r="1361" spans="1:5">
      <c r="A1361" t="s">
        <v>39</v>
      </c>
      <c r="B1361" s="11" t="s">
        <v>73</v>
      </c>
      <c r="C1361">
        <v>4012</v>
      </c>
      <c r="D1361" s="9">
        <v>80.709999999999994</v>
      </c>
      <c r="E1361" t="s">
        <v>60</v>
      </c>
    </row>
    <row r="1362" spans="1:5">
      <c r="A1362" t="s">
        <v>39</v>
      </c>
      <c r="B1362" s="11" t="s">
        <v>73</v>
      </c>
      <c r="C1362">
        <v>4018</v>
      </c>
      <c r="D1362" s="9">
        <v>347.73</v>
      </c>
      <c r="E1362" t="s">
        <v>60</v>
      </c>
    </row>
    <row r="1363" spans="1:5">
      <c r="A1363" t="s">
        <v>39</v>
      </c>
      <c r="B1363" s="11" t="s">
        <v>73</v>
      </c>
      <c r="C1363">
        <v>4022</v>
      </c>
      <c r="D1363" s="9">
        <v>115.91</v>
      </c>
      <c r="E1363" t="s">
        <v>60</v>
      </c>
    </row>
    <row r="1364" spans="1:5">
      <c r="A1364" t="s">
        <v>39</v>
      </c>
      <c r="B1364" s="11" t="s">
        <v>73</v>
      </c>
      <c r="C1364">
        <v>4023</v>
      </c>
      <c r="D1364" s="9">
        <v>154.55000000000001</v>
      </c>
      <c r="E1364" t="s">
        <v>60</v>
      </c>
    </row>
    <row r="1365" spans="1:5">
      <c r="A1365" t="s">
        <v>39</v>
      </c>
      <c r="B1365" s="11" t="s">
        <v>74</v>
      </c>
      <c r="C1365">
        <v>1001</v>
      </c>
      <c r="D1365" s="9">
        <v>-16487.36</v>
      </c>
      <c r="E1365" t="s">
        <v>60</v>
      </c>
    </row>
    <row r="1366" spans="1:5">
      <c r="A1366" t="s">
        <v>39</v>
      </c>
      <c r="B1366" s="11" t="s">
        <v>74</v>
      </c>
      <c r="C1366">
        <v>4011</v>
      </c>
      <c r="D1366" s="9">
        <v>481.85</v>
      </c>
      <c r="E1366" t="s">
        <v>60</v>
      </c>
    </row>
    <row r="1367" spans="1:5">
      <c r="A1367" t="s">
        <v>39</v>
      </c>
      <c r="B1367" s="11" t="s">
        <v>74</v>
      </c>
      <c r="C1367">
        <v>4012</v>
      </c>
      <c r="D1367" s="9">
        <v>96.37</v>
      </c>
      <c r="E1367" t="s">
        <v>60</v>
      </c>
    </row>
    <row r="1368" spans="1:5">
      <c r="A1368" t="s">
        <v>39</v>
      </c>
      <c r="B1368" s="11" t="s">
        <v>74</v>
      </c>
      <c r="C1368">
        <v>4018</v>
      </c>
      <c r="D1368" s="9">
        <v>326.45</v>
      </c>
      <c r="E1368" t="s">
        <v>60</v>
      </c>
    </row>
    <row r="1369" spans="1:5">
      <c r="A1369" t="s">
        <v>39</v>
      </c>
      <c r="B1369" s="11" t="s">
        <v>74</v>
      </c>
      <c r="C1369">
        <v>4022</v>
      </c>
      <c r="D1369" s="9">
        <v>108.82</v>
      </c>
      <c r="E1369" t="s">
        <v>60</v>
      </c>
    </row>
    <row r="1370" spans="1:5">
      <c r="A1370" t="s">
        <v>39</v>
      </c>
      <c r="B1370" s="11" t="s">
        <v>74</v>
      </c>
      <c r="C1370">
        <v>4023</v>
      </c>
      <c r="D1370" s="9">
        <v>145.09</v>
      </c>
      <c r="E1370" t="s">
        <v>60</v>
      </c>
    </row>
    <row r="1371" spans="1:5">
      <c r="A1371" t="s">
        <v>28</v>
      </c>
      <c r="B1371" s="11" t="s">
        <v>61</v>
      </c>
      <c r="C1371">
        <v>1002</v>
      </c>
      <c r="D1371" s="9">
        <v>-13224.42</v>
      </c>
      <c r="E1371" t="s">
        <v>56</v>
      </c>
    </row>
    <row r="1372" spans="1:5">
      <c r="A1372" t="s">
        <v>28</v>
      </c>
      <c r="B1372" s="11" t="s">
        <v>62</v>
      </c>
      <c r="C1372">
        <v>1002</v>
      </c>
      <c r="D1372" s="9">
        <v>-12056.98</v>
      </c>
      <c r="E1372" t="s">
        <v>56</v>
      </c>
    </row>
    <row r="1373" spans="1:5">
      <c r="A1373" t="s">
        <v>28</v>
      </c>
      <c r="B1373" s="11" t="s">
        <v>63</v>
      </c>
      <c r="C1373">
        <v>1002</v>
      </c>
      <c r="D1373" s="9">
        <v>-14078.39</v>
      </c>
      <c r="E1373" t="s">
        <v>56</v>
      </c>
    </row>
    <row r="1374" spans="1:5">
      <c r="A1374" t="s">
        <v>28</v>
      </c>
      <c r="B1374" s="11" t="s">
        <v>64</v>
      </c>
      <c r="C1374">
        <v>1002</v>
      </c>
      <c r="D1374" s="9">
        <v>-13346.69</v>
      </c>
      <c r="E1374" t="s">
        <v>57</v>
      </c>
    </row>
    <row r="1375" spans="1:5">
      <c r="A1375" t="s">
        <v>28</v>
      </c>
      <c r="B1375" s="11" t="s">
        <v>65</v>
      </c>
      <c r="C1375">
        <v>1002</v>
      </c>
      <c r="D1375" s="9">
        <v>-11096.51</v>
      </c>
      <c r="E1375" t="s">
        <v>57</v>
      </c>
    </row>
    <row r="1376" spans="1:5">
      <c r="A1376" t="s">
        <v>28</v>
      </c>
      <c r="B1376" s="11" t="s">
        <v>66</v>
      </c>
      <c r="C1376">
        <v>1002</v>
      </c>
      <c r="D1376" s="9">
        <v>-23125.119999999999</v>
      </c>
      <c r="E1376" t="s">
        <v>57</v>
      </c>
    </row>
    <row r="1377" spans="1:5">
      <c r="A1377" t="s">
        <v>28</v>
      </c>
      <c r="B1377" s="11" t="s">
        <v>67</v>
      </c>
      <c r="C1377">
        <v>1002</v>
      </c>
      <c r="D1377" s="9">
        <v>-9255.9599999999991</v>
      </c>
      <c r="E1377" t="s">
        <v>57</v>
      </c>
    </row>
    <row r="1378" spans="1:5">
      <c r="A1378" t="s">
        <v>28</v>
      </c>
      <c r="B1378" s="11" t="s">
        <v>76</v>
      </c>
      <c r="C1378">
        <v>1002</v>
      </c>
      <c r="D1378" s="9">
        <v>-7264.57</v>
      </c>
      <c r="E1378" t="s">
        <v>57</v>
      </c>
    </row>
    <row r="1379" spans="1:5">
      <c r="A1379" t="s">
        <v>28</v>
      </c>
      <c r="B1379" s="11" t="s">
        <v>68</v>
      </c>
      <c r="C1379">
        <v>1002</v>
      </c>
      <c r="D1379" s="9">
        <v>-12160.78</v>
      </c>
      <c r="E1379" t="s">
        <v>58</v>
      </c>
    </row>
    <row r="1380" spans="1:5">
      <c r="A1380" t="s">
        <v>28</v>
      </c>
      <c r="B1380" s="11" t="s">
        <v>69</v>
      </c>
      <c r="C1380">
        <v>1002</v>
      </c>
      <c r="D1380" s="9">
        <v>-11176.04</v>
      </c>
      <c r="E1380" t="s">
        <v>58</v>
      </c>
    </row>
    <row r="1381" spans="1:5">
      <c r="A1381" t="s">
        <v>28</v>
      </c>
      <c r="B1381" s="11" t="s">
        <v>77</v>
      </c>
      <c r="C1381">
        <v>1002</v>
      </c>
      <c r="D1381" s="9">
        <v>-14420.05</v>
      </c>
      <c r="E1381" t="s">
        <v>58</v>
      </c>
    </row>
    <row r="1382" spans="1:5">
      <c r="A1382" t="s">
        <v>28</v>
      </c>
      <c r="B1382" s="11" t="s">
        <v>70</v>
      </c>
      <c r="C1382">
        <v>1002</v>
      </c>
      <c r="D1382" s="9">
        <v>-13797.95</v>
      </c>
      <c r="E1382" t="s">
        <v>59</v>
      </c>
    </row>
    <row r="1383" spans="1:5">
      <c r="A1383" t="s">
        <v>28</v>
      </c>
      <c r="B1383" s="11" t="s">
        <v>71</v>
      </c>
      <c r="C1383">
        <v>1002</v>
      </c>
      <c r="D1383" s="9">
        <v>-17331.419999999998</v>
      </c>
      <c r="E1383" t="s">
        <v>59</v>
      </c>
    </row>
    <row r="1384" spans="1:5">
      <c r="A1384" t="s">
        <v>28</v>
      </c>
      <c r="B1384" s="11" t="s">
        <v>72</v>
      </c>
      <c r="C1384">
        <v>1002</v>
      </c>
      <c r="D1384" s="9">
        <v>-17333.2</v>
      </c>
      <c r="E1384" t="s">
        <v>59</v>
      </c>
    </row>
    <row r="1385" spans="1:5">
      <c r="A1385" t="s">
        <v>28</v>
      </c>
      <c r="B1385" s="11" t="s">
        <v>78</v>
      </c>
      <c r="C1385">
        <v>1002</v>
      </c>
      <c r="D1385" s="9">
        <v>-13275.41</v>
      </c>
      <c r="E1385" t="s">
        <v>59</v>
      </c>
    </row>
    <row r="1386" spans="1:5">
      <c r="A1386" t="s">
        <v>28</v>
      </c>
      <c r="B1386" s="11" t="s">
        <v>73</v>
      </c>
      <c r="C1386">
        <v>1002</v>
      </c>
      <c r="D1386" s="9">
        <v>-15097.98</v>
      </c>
      <c r="E1386" t="s">
        <v>60</v>
      </c>
    </row>
    <row r="1387" spans="1:5">
      <c r="A1387" t="s">
        <v>28</v>
      </c>
      <c r="B1387" s="11" t="s">
        <v>74</v>
      </c>
      <c r="C1387">
        <v>1002</v>
      </c>
      <c r="D1387" s="9">
        <v>-15171.28</v>
      </c>
      <c r="E1387" t="s">
        <v>60</v>
      </c>
    </row>
    <row r="1388" spans="1:5">
      <c r="A1388" t="s">
        <v>29</v>
      </c>
      <c r="B1388" s="11" t="s">
        <v>61</v>
      </c>
      <c r="C1388">
        <v>1002</v>
      </c>
      <c r="D1388" s="9">
        <v>-13028.43</v>
      </c>
      <c r="E1388" t="s">
        <v>56</v>
      </c>
    </row>
    <row r="1389" spans="1:5">
      <c r="A1389" t="s">
        <v>29</v>
      </c>
      <c r="B1389" s="11" t="s">
        <v>62</v>
      </c>
      <c r="C1389">
        <v>1002</v>
      </c>
      <c r="D1389" s="9">
        <v>-11162.13</v>
      </c>
      <c r="E1389" t="s">
        <v>56</v>
      </c>
    </row>
    <row r="1390" spans="1:5">
      <c r="A1390" t="s">
        <v>29</v>
      </c>
      <c r="B1390" s="11" t="s">
        <v>63</v>
      </c>
      <c r="C1390">
        <v>1002</v>
      </c>
      <c r="D1390" s="9">
        <v>-14858.64</v>
      </c>
      <c r="E1390" t="s">
        <v>56</v>
      </c>
    </row>
    <row r="1391" spans="1:5">
      <c r="A1391" t="s">
        <v>29</v>
      </c>
      <c r="B1391" s="11" t="s">
        <v>75</v>
      </c>
      <c r="C1391">
        <v>1002</v>
      </c>
      <c r="D1391" s="9">
        <v>-10721.01</v>
      </c>
      <c r="E1391" t="s">
        <v>56</v>
      </c>
    </row>
    <row r="1392" spans="1:5">
      <c r="A1392" t="s">
        <v>29</v>
      </c>
      <c r="B1392" s="11" t="s">
        <v>64</v>
      </c>
      <c r="C1392">
        <v>1002</v>
      </c>
      <c r="D1392" s="9">
        <v>-14289.21</v>
      </c>
      <c r="E1392" t="s">
        <v>57</v>
      </c>
    </row>
    <row r="1393" spans="1:5">
      <c r="A1393" t="s">
        <v>29</v>
      </c>
      <c r="B1393" s="11" t="s">
        <v>65</v>
      </c>
      <c r="C1393">
        <v>1002</v>
      </c>
      <c r="D1393" s="9">
        <v>-11315.95</v>
      </c>
      <c r="E1393" t="s">
        <v>57</v>
      </c>
    </row>
    <row r="1394" spans="1:5">
      <c r="A1394" t="s">
        <v>29</v>
      </c>
      <c r="B1394" s="11" t="s">
        <v>66</v>
      </c>
      <c r="C1394">
        <v>1002</v>
      </c>
      <c r="D1394" s="9">
        <v>-23303.31</v>
      </c>
      <c r="E1394" t="s">
        <v>57</v>
      </c>
    </row>
    <row r="1395" spans="1:5">
      <c r="A1395" t="s">
        <v>29</v>
      </c>
      <c r="B1395" s="11" t="s">
        <v>67</v>
      </c>
      <c r="C1395">
        <v>1002</v>
      </c>
      <c r="D1395" s="9">
        <v>-9481.8700000000008</v>
      </c>
      <c r="E1395" t="s">
        <v>57</v>
      </c>
    </row>
    <row r="1396" spans="1:5">
      <c r="A1396" t="s">
        <v>29</v>
      </c>
      <c r="B1396" s="11" t="s">
        <v>76</v>
      </c>
      <c r="C1396">
        <v>1002</v>
      </c>
      <c r="D1396" s="9">
        <v>-7319.66</v>
      </c>
      <c r="E1396" t="s">
        <v>57</v>
      </c>
    </row>
    <row r="1397" spans="1:5">
      <c r="A1397" t="s">
        <v>29</v>
      </c>
      <c r="B1397" s="11" t="s">
        <v>68</v>
      </c>
      <c r="C1397">
        <v>1002</v>
      </c>
      <c r="D1397" s="9">
        <v>-12572.5</v>
      </c>
      <c r="E1397" t="s">
        <v>58</v>
      </c>
    </row>
    <row r="1398" spans="1:5">
      <c r="A1398" t="s">
        <v>29</v>
      </c>
      <c r="B1398" s="11" t="s">
        <v>69</v>
      </c>
      <c r="C1398">
        <v>1002</v>
      </c>
      <c r="D1398" s="9">
        <v>-10444.14</v>
      </c>
      <c r="E1398" t="s">
        <v>58</v>
      </c>
    </row>
    <row r="1399" spans="1:5">
      <c r="A1399" t="s">
        <v>29</v>
      </c>
      <c r="B1399" s="11" t="s">
        <v>77</v>
      </c>
      <c r="C1399">
        <v>1002</v>
      </c>
      <c r="D1399" s="9">
        <v>-14581.97</v>
      </c>
      <c r="E1399" t="s">
        <v>58</v>
      </c>
    </row>
    <row r="1400" spans="1:5">
      <c r="A1400" t="s">
        <v>29</v>
      </c>
      <c r="B1400" s="11" t="s">
        <v>70</v>
      </c>
      <c r="C1400">
        <v>1002</v>
      </c>
      <c r="D1400" s="9">
        <v>-14715.46</v>
      </c>
      <c r="E1400" t="s">
        <v>59</v>
      </c>
    </row>
    <row r="1401" spans="1:5">
      <c r="A1401" t="s">
        <v>29</v>
      </c>
      <c r="B1401" s="11" t="s">
        <v>71</v>
      </c>
      <c r="C1401">
        <v>1002</v>
      </c>
      <c r="D1401" s="9">
        <v>-17504.43</v>
      </c>
      <c r="E1401" t="s">
        <v>59</v>
      </c>
    </row>
    <row r="1402" spans="1:5">
      <c r="A1402" t="s">
        <v>29</v>
      </c>
      <c r="B1402" s="11" t="s">
        <v>72</v>
      </c>
      <c r="C1402">
        <v>1002</v>
      </c>
      <c r="D1402" s="9">
        <v>-17645.23</v>
      </c>
      <c r="E1402" t="s">
        <v>59</v>
      </c>
    </row>
    <row r="1403" spans="1:5">
      <c r="A1403" t="s">
        <v>29</v>
      </c>
      <c r="B1403" s="11" t="s">
        <v>78</v>
      </c>
      <c r="C1403">
        <v>1002</v>
      </c>
      <c r="D1403" s="9">
        <v>-13685.69</v>
      </c>
      <c r="E1403" t="s">
        <v>59</v>
      </c>
    </row>
    <row r="1404" spans="1:5">
      <c r="A1404" t="s">
        <v>29</v>
      </c>
      <c r="B1404" s="11" t="s">
        <v>73</v>
      </c>
      <c r="C1404">
        <v>1002</v>
      </c>
      <c r="D1404" s="9">
        <v>-15669.65</v>
      </c>
      <c r="E1404" t="s">
        <v>60</v>
      </c>
    </row>
    <row r="1405" spans="1:5">
      <c r="A1405" t="s">
        <v>29</v>
      </c>
      <c r="B1405" s="11" t="s">
        <v>74</v>
      </c>
      <c r="C1405">
        <v>1002</v>
      </c>
      <c r="D1405" s="9">
        <v>-15899.6</v>
      </c>
      <c r="E1405" t="s">
        <v>60</v>
      </c>
    </row>
    <row r="1406" spans="1:5">
      <c r="A1406" t="s">
        <v>30</v>
      </c>
      <c r="B1406" s="11" t="s">
        <v>61</v>
      </c>
      <c r="C1406">
        <v>1002</v>
      </c>
      <c r="D1406" s="9">
        <v>-11771.11</v>
      </c>
      <c r="E1406" t="s">
        <v>56</v>
      </c>
    </row>
    <row r="1407" spans="1:5">
      <c r="A1407" t="s">
        <v>30</v>
      </c>
      <c r="B1407" s="11" t="s">
        <v>62</v>
      </c>
      <c r="C1407">
        <v>1002</v>
      </c>
      <c r="D1407" s="9">
        <v>-8445.89</v>
      </c>
      <c r="E1407" t="s">
        <v>56</v>
      </c>
    </row>
    <row r="1408" spans="1:5">
      <c r="A1408" t="s">
        <v>30</v>
      </c>
      <c r="B1408" s="11" t="s">
        <v>63</v>
      </c>
      <c r="C1408">
        <v>1002</v>
      </c>
      <c r="D1408" s="9">
        <v>-14866.48</v>
      </c>
      <c r="E1408" t="s">
        <v>56</v>
      </c>
    </row>
    <row r="1409" spans="1:5">
      <c r="A1409" t="s">
        <v>30</v>
      </c>
      <c r="B1409" s="11" t="s">
        <v>75</v>
      </c>
      <c r="C1409">
        <v>1002</v>
      </c>
      <c r="D1409" s="9">
        <v>-12223.74</v>
      </c>
      <c r="E1409" t="s">
        <v>56</v>
      </c>
    </row>
    <row r="1410" spans="1:5">
      <c r="A1410" t="s">
        <v>30</v>
      </c>
      <c r="B1410" s="11" t="s">
        <v>64</v>
      </c>
      <c r="C1410">
        <v>1002</v>
      </c>
      <c r="D1410" s="9">
        <v>-13188.58</v>
      </c>
      <c r="E1410" t="s">
        <v>57</v>
      </c>
    </row>
    <row r="1411" spans="1:5">
      <c r="A1411" t="s">
        <v>30</v>
      </c>
      <c r="B1411" s="11" t="s">
        <v>65</v>
      </c>
      <c r="C1411">
        <v>1002</v>
      </c>
      <c r="D1411" s="9">
        <v>-8734.15</v>
      </c>
      <c r="E1411" t="s">
        <v>57</v>
      </c>
    </row>
    <row r="1412" spans="1:5">
      <c r="A1412" t="s">
        <v>30</v>
      </c>
      <c r="B1412" s="11" t="s">
        <v>66</v>
      </c>
      <c r="C1412">
        <v>1002</v>
      </c>
      <c r="D1412" s="9">
        <v>-20049.82</v>
      </c>
      <c r="E1412" t="s">
        <v>57</v>
      </c>
    </row>
    <row r="1413" spans="1:5">
      <c r="A1413" t="s">
        <v>30</v>
      </c>
      <c r="B1413" s="11" t="s">
        <v>67</v>
      </c>
      <c r="C1413">
        <v>1002</v>
      </c>
      <c r="D1413" s="9">
        <v>-8749.86</v>
      </c>
      <c r="E1413" t="s">
        <v>57</v>
      </c>
    </row>
    <row r="1414" spans="1:5">
      <c r="A1414" t="s">
        <v>30</v>
      </c>
      <c r="B1414" s="11" t="s">
        <v>76</v>
      </c>
      <c r="C1414">
        <v>1002</v>
      </c>
      <c r="D1414" s="9">
        <v>-6259.54</v>
      </c>
      <c r="E1414" t="s">
        <v>57</v>
      </c>
    </row>
    <row r="1415" spans="1:5">
      <c r="A1415" t="s">
        <v>30</v>
      </c>
      <c r="B1415" s="11" t="s">
        <v>68</v>
      </c>
      <c r="C1415">
        <v>1002</v>
      </c>
      <c r="D1415" s="9">
        <v>-10911.89</v>
      </c>
      <c r="E1415" t="s">
        <v>58</v>
      </c>
    </row>
    <row r="1416" spans="1:5">
      <c r="A1416" t="s">
        <v>30</v>
      </c>
      <c r="B1416" s="11" t="s">
        <v>69</v>
      </c>
      <c r="C1416">
        <v>1002</v>
      </c>
      <c r="D1416" s="9">
        <v>-9568.76</v>
      </c>
      <c r="E1416" t="s">
        <v>58</v>
      </c>
    </row>
    <row r="1417" spans="1:5">
      <c r="A1417" t="s">
        <v>30</v>
      </c>
      <c r="B1417" s="11" t="s">
        <v>77</v>
      </c>
      <c r="C1417">
        <v>1002</v>
      </c>
      <c r="D1417" s="9">
        <v>-12884.04</v>
      </c>
      <c r="E1417" t="s">
        <v>58</v>
      </c>
    </row>
    <row r="1418" spans="1:5">
      <c r="A1418" t="s">
        <v>30</v>
      </c>
      <c r="B1418" s="11" t="s">
        <v>70</v>
      </c>
      <c r="C1418">
        <v>1002</v>
      </c>
      <c r="D1418" s="9">
        <v>-12578.61</v>
      </c>
      <c r="E1418" t="s">
        <v>59</v>
      </c>
    </row>
    <row r="1419" spans="1:5">
      <c r="A1419" t="s">
        <v>30</v>
      </c>
      <c r="B1419" s="11" t="s">
        <v>71</v>
      </c>
      <c r="C1419">
        <v>1002</v>
      </c>
      <c r="D1419" s="9">
        <v>-16273.39</v>
      </c>
      <c r="E1419" t="s">
        <v>59</v>
      </c>
    </row>
    <row r="1420" spans="1:5">
      <c r="A1420" t="s">
        <v>30</v>
      </c>
      <c r="B1420" s="11" t="s">
        <v>72</v>
      </c>
      <c r="C1420">
        <v>1002</v>
      </c>
      <c r="D1420" s="9">
        <v>-15907.47</v>
      </c>
      <c r="E1420" t="s">
        <v>59</v>
      </c>
    </row>
    <row r="1421" spans="1:5">
      <c r="A1421" t="s">
        <v>30</v>
      </c>
      <c r="B1421" s="11" t="s">
        <v>78</v>
      </c>
      <c r="C1421">
        <v>1002</v>
      </c>
      <c r="D1421" s="9">
        <v>-12120.49</v>
      </c>
      <c r="E1421" t="s">
        <v>59</v>
      </c>
    </row>
    <row r="1422" spans="1:5">
      <c r="A1422" t="s">
        <v>30</v>
      </c>
      <c r="B1422" s="11" t="s">
        <v>73</v>
      </c>
      <c r="C1422">
        <v>1002</v>
      </c>
      <c r="D1422" s="9">
        <v>-13548.68</v>
      </c>
      <c r="E1422" t="s">
        <v>60</v>
      </c>
    </row>
    <row r="1423" spans="1:5">
      <c r="A1423" t="s">
        <v>30</v>
      </c>
      <c r="B1423" s="11" t="s">
        <v>74</v>
      </c>
      <c r="C1423">
        <v>1002</v>
      </c>
      <c r="D1423" s="9">
        <v>-14042.38</v>
      </c>
      <c r="E1423" t="s">
        <v>60</v>
      </c>
    </row>
    <row r="1424" spans="1:5">
      <c r="A1424" t="s">
        <v>31</v>
      </c>
      <c r="B1424" s="11" t="s">
        <v>61</v>
      </c>
      <c r="C1424">
        <v>1002</v>
      </c>
      <c r="D1424" s="9">
        <v>-12671.89</v>
      </c>
      <c r="E1424" t="s">
        <v>56</v>
      </c>
    </row>
    <row r="1425" spans="1:5">
      <c r="A1425" t="s">
        <v>31</v>
      </c>
      <c r="B1425" s="11" t="s">
        <v>62</v>
      </c>
      <c r="C1425">
        <v>1002</v>
      </c>
      <c r="D1425" s="9">
        <v>-8344.31</v>
      </c>
      <c r="E1425" t="s">
        <v>56</v>
      </c>
    </row>
    <row r="1426" spans="1:5">
      <c r="A1426" t="s">
        <v>31</v>
      </c>
      <c r="B1426" s="11" t="s">
        <v>63</v>
      </c>
      <c r="C1426">
        <v>1002</v>
      </c>
      <c r="D1426" s="9">
        <v>-14559.03</v>
      </c>
      <c r="E1426" t="s">
        <v>56</v>
      </c>
    </row>
    <row r="1427" spans="1:5">
      <c r="A1427" t="s">
        <v>31</v>
      </c>
      <c r="B1427" s="11" t="s">
        <v>75</v>
      </c>
      <c r="C1427">
        <v>1002</v>
      </c>
      <c r="D1427" s="9">
        <v>-14000.27</v>
      </c>
      <c r="E1427" t="s">
        <v>56</v>
      </c>
    </row>
    <row r="1428" spans="1:5">
      <c r="A1428" t="s">
        <v>31</v>
      </c>
      <c r="B1428" s="11" t="s">
        <v>64</v>
      </c>
      <c r="C1428">
        <v>1002</v>
      </c>
      <c r="D1428" s="9">
        <v>-12969.1</v>
      </c>
      <c r="E1428" t="s">
        <v>57</v>
      </c>
    </row>
    <row r="1429" spans="1:5">
      <c r="A1429" t="s">
        <v>31</v>
      </c>
      <c r="B1429" s="11" t="s">
        <v>65</v>
      </c>
      <c r="C1429">
        <v>1002</v>
      </c>
      <c r="D1429" s="9">
        <v>-9823.7999999999993</v>
      </c>
      <c r="E1429" t="s">
        <v>57</v>
      </c>
    </row>
    <row r="1430" spans="1:5">
      <c r="A1430" t="s">
        <v>31</v>
      </c>
      <c r="B1430" s="11" t="s">
        <v>66</v>
      </c>
      <c r="C1430">
        <v>1002</v>
      </c>
      <c r="D1430" s="9">
        <v>-18868.16</v>
      </c>
      <c r="E1430" t="s">
        <v>57</v>
      </c>
    </row>
    <row r="1431" spans="1:5">
      <c r="A1431" t="s">
        <v>31</v>
      </c>
      <c r="B1431" s="11" t="s">
        <v>67</v>
      </c>
      <c r="C1431">
        <v>1002</v>
      </c>
      <c r="D1431" s="9">
        <v>-8935.76</v>
      </c>
      <c r="E1431" t="s">
        <v>57</v>
      </c>
    </row>
    <row r="1432" spans="1:5">
      <c r="A1432" t="s">
        <v>31</v>
      </c>
      <c r="B1432" s="11" t="s">
        <v>76</v>
      </c>
      <c r="C1432">
        <v>1002</v>
      </c>
      <c r="D1432" s="9">
        <v>-6210.13</v>
      </c>
      <c r="E1432" t="s">
        <v>57</v>
      </c>
    </row>
    <row r="1433" spans="1:5">
      <c r="A1433" t="s">
        <v>31</v>
      </c>
      <c r="B1433" s="11" t="s">
        <v>68</v>
      </c>
      <c r="C1433">
        <v>1002</v>
      </c>
      <c r="D1433" s="9">
        <v>-10927.64</v>
      </c>
      <c r="E1433" t="s">
        <v>58</v>
      </c>
    </row>
    <row r="1434" spans="1:5">
      <c r="A1434" t="s">
        <v>31</v>
      </c>
      <c r="B1434" s="11" t="s">
        <v>69</v>
      </c>
      <c r="C1434">
        <v>1002</v>
      </c>
      <c r="D1434" s="9">
        <v>-9665.01</v>
      </c>
      <c r="E1434" t="s">
        <v>58</v>
      </c>
    </row>
    <row r="1435" spans="1:5">
      <c r="A1435" t="s">
        <v>31</v>
      </c>
      <c r="B1435" s="11" t="s">
        <v>77</v>
      </c>
      <c r="C1435">
        <v>1002</v>
      </c>
      <c r="D1435" s="9">
        <v>-12838.65</v>
      </c>
      <c r="E1435" t="s">
        <v>58</v>
      </c>
    </row>
    <row r="1436" spans="1:5">
      <c r="A1436" t="s">
        <v>31</v>
      </c>
      <c r="B1436" s="11" t="s">
        <v>70</v>
      </c>
      <c r="C1436">
        <v>1002</v>
      </c>
      <c r="D1436" s="9">
        <v>-13014.21</v>
      </c>
      <c r="E1436" t="s">
        <v>59</v>
      </c>
    </row>
    <row r="1437" spans="1:5">
      <c r="A1437" t="s">
        <v>31</v>
      </c>
      <c r="B1437" s="11" t="s">
        <v>71</v>
      </c>
      <c r="C1437">
        <v>1002</v>
      </c>
      <c r="D1437" s="9">
        <v>-17104.07</v>
      </c>
      <c r="E1437" t="s">
        <v>59</v>
      </c>
    </row>
    <row r="1438" spans="1:5">
      <c r="A1438" t="s">
        <v>31</v>
      </c>
      <c r="B1438" s="11" t="s">
        <v>72</v>
      </c>
      <c r="C1438">
        <v>1002</v>
      </c>
      <c r="D1438" s="9">
        <v>-16094.88</v>
      </c>
      <c r="E1438" t="s">
        <v>59</v>
      </c>
    </row>
    <row r="1439" spans="1:5">
      <c r="A1439" t="s">
        <v>31</v>
      </c>
      <c r="B1439" s="11" t="s">
        <v>78</v>
      </c>
      <c r="C1439">
        <v>1002</v>
      </c>
      <c r="D1439" s="9">
        <v>-11258.41</v>
      </c>
      <c r="E1439" t="s">
        <v>59</v>
      </c>
    </row>
    <row r="1440" spans="1:5">
      <c r="A1440" t="s">
        <v>31</v>
      </c>
      <c r="B1440" s="11" t="s">
        <v>73</v>
      </c>
      <c r="C1440">
        <v>1002</v>
      </c>
      <c r="D1440" s="9">
        <v>-14097.63</v>
      </c>
      <c r="E1440" t="s">
        <v>60</v>
      </c>
    </row>
    <row r="1441" spans="1:5">
      <c r="A1441" t="s">
        <v>31</v>
      </c>
      <c r="B1441" s="11" t="s">
        <v>74</v>
      </c>
      <c r="C1441">
        <v>1002</v>
      </c>
      <c r="D1441" s="9">
        <v>-13657.44</v>
      </c>
      <c r="E1441" t="s">
        <v>60</v>
      </c>
    </row>
    <row r="1442" spans="1:5">
      <c r="A1442" t="s">
        <v>32</v>
      </c>
      <c r="B1442" s="11" t="s">
        <v>61</v>
      </c>
      <c r="C1442">
        <v>1002</v>
      </c>
      <c r="D1442" s="9">
        <v>-11718.5</v>
      </c>
      <c r="E1442" t="s">
        <v>56</v>
      </c>
    </row>
    <row r="1443" spans="1:5">
      <c r="A1443" t="s">
        <v>32</v>
      </c>
      <c r="B1443" s="11" t="s">
        <v>62</v>
      </c>
      <c r="C1443">
        <v>1002</v>
      </c>
      <c r="D1443" s="9">
        <v>-8167.18</v>
      </c>
      <c r="E1443" t="s">
        <v>56</v>
      </c>
    </row>
    <row r="1444" spans="1:5">
      <c r="A1444" t="s">
        <v>32</v>
      </c>
      <c r="B1444" s="11" t="s">
        <v>63</v>
      </c>
      <c r="C1444">
        <v>1002</v>
      </c>
      <c r="D1444" s="9">
        <v>-14793.12</v>
      </c>
      <c r="E1444" t="s">
        <v>56</v>
      </c>
    </row>
    <row r="1445" spans="1:5">
      <c r="A1445" t="s">
        <v>32</v>
      </c>
      <c r="B1445" s="11" t="s">
        <v>75</v>
      </c>
      <c r="C1445">
        <v>1002</v>
      </c>
      <c r="D1445" s="9">
        <v>-14283.84</v>
      </c>
      <c r="E1445" t="s">
        <v>56</v>
      </c>
    </row>
    <row r="1446" spans="1:5">
      <c r="A1446" t="s">
        <v>32</v>
      </c>
      <c r="B1446" s="11" t="s">
        <v>64</v>
      </c>
      <c r="C1446">
        <v>1002</v>
      </c>
      <c r="D1446" s="9">
        <v>-12782.85</v>
      </c>
      <c r="E1446" t="s">
        <v>57</v>
      </c>
    </row>
    <row r="1447" spans="1:5">
      <c r="A1447" t="s">
        <v>32</v>
      </c>
      <c r="B1447" s="11" t="s">
        <v>65</v>
      </c>
      <c r="C1447">
        <v>1002</v>
      </c>
      <c r="D1447" s="9">
        <v>-9647.9599999999991</v>
      </c>
      <c r="E1447" t="s">
        <v>57</v>
      </c>
    </row>
    <row r="1448" spans="1:5">
      <c r="A1448" t="s">
        <v>32</v>
      </c>
      <c r="B1448" s="11" t="s">
        <v>66</v>
      </c>
      <c r="C1448">
        <v>1002</v>
      </c>
      <c r="D1448" s="9">
        <v>-16952.61</v>
      </c>
      <c r="E1448" t="s">
        <v>57</v>
      </c>
    </row>
    <row r="1449" spans="1:5">
      <c r="A1449" t="s">
        <v>32</v>
      </c>
      <c r="B1449" s="11" t="s">
        <v>67</v>
      </c>
      <c r="C1449">
        <v>1002</v>
      </c>
      <c r="D1449" s="9">
        <v>-8917.4500000000007</v>
      </c>
      <c r="E1449" t="s">
        <v>57</v>
      </c>
    </row>
    <row r="1450" spans="1:5">
      <c r="A1450" t="s">
        <v>32</v>
      </c>
      <c r="B1450" s="11" t="s">
        <v>76</v>
      </c>
      <c r="C1450">
        <v>1002</v>
      </c>
      <c r="D1450" s="9">
        <v>-6229.48</v>
      </c>
      <c r="E1450" t="s">
        <v>57</v>
      </c>
    </row>
    <row r="1451" spans="1:5">
      <c r="A1451" t="s">
        <v>32</v>
      </c>
      <c r="B1451" s="11" t="s">
        <v>68</v>
      </c>
      <c r="C1451">
        <v>1002</v>
      </c>
      <c r="D1451" s="9">
        <v>-10969.65</v>
      </c>
      <c r="E1451" t="s">
        <v>58</v>
      </c>
    </row>
    <row r="1452" spans="1:5">
      <c r="A1452" t="s">
        <v>32</v>
      </c>
      <c r="B1452" s="11" t="s">
        <v>69</v>
      </c>
      <c r="C1452">
        <v>1002</v>
      </c>
      <c r="D1452" s="9">
        <v>-9623.4699999999993</v>
      </c>
      <c r="E1452" t="s">
        <v>58</v>
      </c>
    </row>
    <row r="1453" spans="1:5">
      <c r="A1453" t="s">
        <v>32</v>
      </c>
      <c r="B1453" s="11" t="s">
        <v>77</v>
      </c>
      <c r="C1453">
        <v>1002</v>
      </c>
      <c r="D1453" s="9">
        <v>-12739.56</v>
      </c>
      <c r="E1453" t="s">
        <v>58</v>
      </c>
    </row>
    <row r="1454" spans="1:5">
      <c r="A1454" t="s">
        <v>32</v>
      </c>
      <c r="B1454" s="11" t="s">
        <v>70</v>
      </c>
      <c r="C1454">
        <v>1002</v>
      </c>
      <c r="D1454" s="9">
        <v>-12831.46</v>
      </c>
      <c r="E1454" t="s">
        <v>59</v>
      </c>
    </row>
    <row r="1455" spans="1:5">
      <c r="A1455" t="s">
        <v>32</v>
      </c>
      <c r="B1455" s="11" t="s">
        <v>71</v>
      </c>
      <c r="C1455">
        <v>1002</v>
      </c>
      <c r="D1455" s="9">
        <v>-16722.37</v>
      </c>
      <c r="E1455" t="s">
        <v>59</v>
      </c>
    </row>
    <row r="1456" spans="1:5">
      <c r="A1456" t="s">
        <v>32</v>
      </c>
      <c r="B1456" s="11" t="s">
        <v>72</v>
      </c>
      <c r="C1456">
        <v>1002</v>
      </c>
      <c r="D1456" s="9">
        <v>-16390.39</v>
      </c>
      <c r="E1456" t="s">
        <v>59</v>
      </c>
    </row>
    <row r="1457" spans="1:5">
      <c r="A1457" t="s">
        <v>32</v>
      </c>
      <c r="B1457" s="11" t="s">
        <v>78</v>
      </c>
      <c r="C1457">
        <v>1002</v>
      </c>
      <c r="D1457" s="9">
        <v>-11638.44</v>
      </c>
      <c r="E1457" t="s">
        <v>59</v>
      </c>
    </row>
    <row r="1458" spans="1:5">
      <c r="A1458" t="s">
        <v>32</v>
      </c>
      <c r="B1458" s="11" t="s">
        <v>73</v>
      </c>
      <c r="C1458">
        <v>1002</v>
      </c>
      <c r="D1458" s="9">
        <v>-14725.58</v>
      </c>
      <c r="E1458" t="s">
        <v>60</v>
      </c>
    </row>
    <row r="1459" spans="1:5">
      <c r="A1459" t="s">
        <v>32</v>
      </c>
      <c r="B1459" s="11" t="s">
        <v>74</v>
      </c>
      <c r="C1459">
        <v>1002</v>
      </c>
      <c r="D1459" s="9">
        <v>-12636.7</v>
      </c>
      <c r="E1459" t="s">
        <v>60</v>
      </c>
    </row>
    <row r="1460" spans="1:5">
      <c r="A1460" t="s">
        <v>33</v>
      </c>
      <c r="B1460" s="11" t="s">
        <v>61</v>
      </c>
      <c r="C1460">
        <v>1002</v>
      </c>
      <c r="D1460" s="9">
        <v>-13235.29</v>
      </c>
      <c r="E1460" t="s">
        <v>56</v>
      </c>
    </row>
    <row r="1461" spans="1:5">
      <c r="A1461" t="s">
        <v>33</v>
      </c>
      <c r="B1461" s="11" t="s">
        <v>62</v>
      </c>
      <c r="C1461">
        <v>1002</v>
      </c>
      <c r="D1461" s="9">
        <v>-8698.07</v>
      </c>
      <c r="E1461" t="s">
        <v>56</v>
      </c>
    </row>
    <row r="1462" spans="1:5">
      <c r="A1462" t="s">
        <v>33</v>
      </c>
      <c r="B1462" s="11" t="s">
        <v>63</v>
      </c>
      <c r="C1462">
        <v>1002</v>
      </c>
      <c r="D1462" s="9">
        <v>-14878.6</v>
      </c>
      <c r="E1462" t="s">
        <v>56</v>
      </c>
    </row>
    <row r="1463" spans="1:5">
      <c r="A1463" t="s">
        <v>33</v>
      </c>
      <c r="B1463" s="11" t="s">
        <v>75</v>
      </c>
      <c r="C1463">
        <v>1002</v>
      </c>
      <c r="D1463" s="9">
        <v>-15659.89</v>
      </c>
      <c r="E1463" t="s">
        <v>56</v>
      </c>
    </row>
    <row r="1464" spans="1:5">
      <c r="A1464" t="s">
        <v>33</v>
      </c>
      <c r="B1464" s="11" t="s">
        <v>64</v>
      </c>
      <c r="C1464">
        <v>1002</v>
      </c>
      <c r="D1464" s="9">
        <v>-14514.43</v>
      </c>
      <c r="E1464" t="s">
        <v>57</v>
      </c>
    </row>
    <row r="1465" spans="1:5">
      <c r="A1465" t="s">
        <v>33</v>
      </c>
      <c r="B1465" s="11" t="s">
        <v>65</v>
      </c>
      <c r="C1465">
        <v>1002</v>
      </c>
      <c r="D1465" s="9">
        <v>-11840.18</v>
      </c>
      <c r="E1465" t="s">
        <v>57</v>
      </c>
    </row>
    <row r="1466" spans="1:5">
      <c r="A1466" t="s">
        <v>33</v>
      </c>
      <c r="B1466" s="11" t="s">
        <v>66</v>
      </c>
      <c r="C1466">
        <v>1002</v>
      </c>
      <c r="D1466" s="9">
        <v>-23791.69</v>
      </c>
      <c r="E1466" t="s">
        <v>57</v>
      </c>
    </row>
    <row r="1467" spans="1:5">
      <c r="A1467" t="s">
        <v>33</v>
      </c>
      <c r="B1467" s="11" t="s">
        <v>67</v>
      </c>
      <c r="C1467">
        <v>1002</v>
      </c>
      <c r="D1467" s="9">
        <v>-9803.9599999999991</v>
      </c>
      <c r="E1467" t="s">
        <v>57</v>
      </c>
    </row>
    <row r="1468" spans="1:5">
      <c r="A1468" t="s">
        <v>33</v>
      </c>
      <c r="B1468" s="11" t="s">
        <v>76</v>
      </c>
      <c r="C1468">
        <v>1002</v>
      </c>
      <c r="D1468" s="9">
        <v>-7233.4</v>
      </c>
      <c r="E1468" t="s">
        <v>57</v>
      </c>
    </row>
    <row r="1469" spans="1:5">
      <c r="A1469" t="s">
        <v>33</v>
      </c>
      <c r="B1469" s="11" t="s">
        <v>68</v>
      </c>
      <c r="C1469">
        <v>1002</v>
      </c>
      <c r="D1469" s="9">
        <v>-12458.09</v>
      </c>
      <c r="E1469" t="s">
        <v>58</v>
      </c>
    </row>
    <row r="1470" spans="1:5">
      <c r="A1470" t="s">
        <v>33</v>
      </c>
      <c r="B1470" s="11" t="s">
        <v>69</v>
      </c>
      <c r="C1470">
        <v>1002</v>
      </c>
      <c r="D1470" s="9">
        <v>-10997.99</v>
      </c>
      <c r="E1470" t="s">
        <v>58</v>
      </c>
    </row>
    <row r="1471" spans="1:5">
      <c r="A1471" t="s">
        <v>33</v>
      </c>
      <c r="B1471" s="11" t="s">
        <v>77</v>
      </c>
      <c r="C1471">
        <v>1002</v>
      </c>
      <c r="D1471" s="9">
        <v>-15491.17</v>
      </c>
      <c r="E1471" t="s">
        <v>58</v>
      </c>
    </row>
    <row r="1472" spans="1:5">
      <c r="A1472" t="s">
        <v>33</v>
      </c>
      <c r="B1472" s="11" t="s">
        <v>70</v>
      </c>
      <c r="C1472">
        <v>1002</v>
      </c>
      <c r="D1472" s="9">
        <v>-15053.42</v>
      </c>
      <c r="E1472" t="s">
        <v>59</v>
      </c>
    </row>
    <row r="1473" spans="1:5">
      <c r="A1473" t="s">
        <v>33</v>
      </c>
      <c r="B1473" s="11" t="s">
        <v>71</v>
      </c>
      <c r="C1473">
        <v>1002</v>
      </c>
      <c r="D1473" s="9">
        <v>-17495.86</v>
      </c>
      <c r="E1473" t="s">
        <v>59</v>
      </c>
    </row>
    <row r="1474" spans="1:5">
      <c r="A1474" t="s">
        <v>33</v>
      </c>
      <c r="B1474" s="11" t="s">
        <v>72</v>
      </c>
      <c r="C1474">
        <v>1002</v>
      </c>
      <c r="D1474" s="9">
        <v>-19155.080000000002</v>
      </c>
      <c r="E1474" t="s">
        <v>59</v>
      </c>
    </row>
    <row r="1475" spans="1:5">
      <c r="A1475" t="s">
        <v>33</v>
      </c>
      <c r="B1475" s="11" t="s">
        <v>78</v>
      </c>
      <c r="C1475">
        <v>1002</v>
      </c>
      <c r="D1475" s="9">
        <v>-15215.93</v>
      </c>
      <c r="E1475" t="s">
        <v>59</v>
      </c>
    </row>
    <row r="1476" spans="1:5">
      <c r="A1476" t="s">
        <v>33</v>
      </c>
      <c r="B1476" s="11" t="s">
        <v>73</v>
      </c>
      <c r="C1476">
        <v>1002</v>
      </c>
      <c r="D1476" s="9">
        <v>-16410.150000000001</v>
      </c>
      <c r="E1476" t="s">
        <v>60</v>
      </c>
    </row>
    <row r="1477" spans="1:5">
      <c r="A1477" t="s">
        <v>33</v>
      </c>
      <c r="B1477" s="11" t="s">
        <v>74</v>
      </c>
      <c r="C1477">
        <v>1002</v>
      </c>
      <c r="D1477" s="9">
        <v>-14462.81</v>
      </c>
      <c r="E1477" t="s">
        <v>60</v>
      </c>
    </row>
    <row r="1478" spans="1:5">
      <c r="A1478" t="s">
        <v>34</v>
      </c>
      <c r="B1478" s="11" t="s">
        <v>61</v>
      </c>
      <c r="C1478">
        <v>1002</v>
      </c>
      <c r="D1478" s="9">
        <v>-13224.42</v>
      </c>
      <c r="E1478" t="s">
        <v>56</v>
      </c>
    </row>
    <row r="1479" spans="1:5">
      <c r="A1479" t="s">
        <v>34</v>
      </c>
      <c r="B1479" s="11" t="s">
        <v>62</v>
      </c>
      <c r="C1479">
        <v>1002</v>
      </c>
      <c r="D1479" s="9">
        <v>-12056.98</v>
      </c>
      <c r="E1479" t="s">
        <v>56</v>
      </c>
    </row>
    <row r="1480" spans="1:5">
      <c r="A1480" t="s">
        <v>34</v>
      </c>
      <c r="B1480" s="11" t="s">
        <v>63</v>
      </c>
      <c r="C1480">
        <v>1002</v>
      </c>
      <c r="D1480" s="9">
        <v>-14078.39</v>
      </c>
      <c r="E1480" t="s">
        <v>56</v>
      </c>
    </row>
    <row r="1481" spans="1:5">
      <c r="A1481" t="s">
        <v>34</v>
      </c>
      <c r="B1481" s="11" t="s">
        <v>64</v>
      </c>
      <c r="C1481">
        <v>1002</v>
      </c>
      <c r="D1481" s="9">
        <v>-13346.69</v>
      </c>
      <c r="E1481" t="s">
        <v>57</v>
      </c>
    </row>
    <row r="1482" spans="1:5">
      <c r="A1482" t="s">
        <v>34</v>
      </c>
      <c r="B1482" s="11" t="s">
        <v>65</v>
      </c>
      <c r="C1482">
        <v>1002</v>
      </c>
      <c r="D1482" s="9">
        <v>-11096.51</v>
      </c>
      <c r="E1482" t="s">
        <v>57</v>
      </c>
    </row>
    <row r="1483" spans="1:5">
      <c r="A1483" t="s">
        <v>34</v>
      </c>
      <c r="B1483" s="11" t="s">
        <v>66</v>
      </c>
      <c r="C1483">
        <v>1002</v>
      </c>
      <c r="D1483" s="9">
        <v>-23125.119999999999</v>
      </c>
      <c r="E1483" t="s">
        <v>57</v>
      </c>
    </row>
    <row r="1484" spans="1:5">
      <c r="A1484" t="s">
        <v>34</v>
      </c>
      <c r="B1484" s="11" t="s">
        <v>67</v>
      </c>
      <c r="C1484">
        <v>1002</v>
      </c>
      <c r="D1484" s="9">
        <v>-9255.9599999999991</v>
      </c>
      <c r="E1484" t="s">
        <v>57</v>
      </c>
    </row>
    <row r="1485" spans="1:5">
      <c r="A1485" t="s">
        <v>34</v>
      </c>
      <c r="B1485" s="11" t="s">
        <v>76</v>
      </c>
      <c r="C1485">
        <v>1002</v>
      </c>
      <c r="D1485" s="9">
        <v>-7264.57</v>
      </c>
      <c r="E1485" t="s">
        <v>57</v>
      </c>
    </row>
    <row r="1486" spans="1:5">
      <c r="A1486" t="s">
        <v>34</v>
      </c>
      <c r="B1486" s="11" t="s">
        <v>68</v>
      </c>
      <c r="C1486">
        <v>1002</v>
      </c>
      <c r="D1486" s="9">
        <v>-12160.78</v>
      </c>
      <c r="E1486" t="s">
        <v>58</v>
      </c>
    </row>
    <row r="1487" spans="1:5">
      <c r="A1487" t="s">
        <v>34</v>
      </c>
      <c r="B1487" s="11" t="s">
        <v>69</v>
      </c>
      <c r="C1487">
        <v>1002</v>
      </c>
      <c r="D1487" s="9">
        <v>-11176.04</v>
      </c>
      <c r="E1487" t="s">
        <v>58</v>
      </c>
    </row>
    <row r="1488" spans="1:5">
      <c r="A1488" t="s">
        <v>34</v>
      </c>
      <c r="B1488" s="11" t="s">
        <v>77</v>
      </c>
      <c r="C1488">
        <v>1002</v>
      </c>
      <c r="D1488" s="9">
        <v>-14420.05</v>
      </c>
      <c r="E1488" t="s">
        <v>58</v>
      </c>
    </row>
    <row r="1489" spans="1:5">
      <c r="A1489" t="s">
        <v>34</v>
      </c>
      <c r="B1489" s="11" t="s">
        <v>70</v>
      </c>
      <c r="C1489">
        <v>1002</v>
      </c>
      <c r="D1489" s="9">
        <v>-13797.95</v>
      </c>
      <c r="E1489" t="s">
        <v>59</v>
      </c>
    </row>
    <row r="1490" spans="1:5">
      <c r="A1490" t="s">
        <v>34</v>
      </c>
      <c r="B1490" s="11" t="s">
        <v>71</v>
      </c>
      <c r="C1490">
        <v>1002</v>
      </c>
      <c r="D1490" s="9">
        <v>-17331.419999999998</v>
      </c>
      <c r="E1490" t="s">
        <v>59</v>
      </c>
    </row>
    <row r="1491" spans="1:5">
      <c r="A1491" t="s">
        <v>34</v>
      </c>
      <c r="B1491" s="11" t="s">
        <v>72</v>
      </c>
      <c r="C1491">
        <v>1002</v>
      </c>
      <c r="D1491" s="9">
        <v>-17333.2</v>
      </c>
      <c r="E1491" t="s">
        <v>59</v>
      </c>
    </row>
    <row r="1492" spans="1:5">
      <c r="A1492" t="s">
        <v>34</v>
      </c>
      <c r="B1492" s="11" t="s">
        <v>78</v>
      </c>
      <c r="C1492">
        <v>1002</v>
      </c>
      <c r="D1492" s="9">
        <v>-13275.41</v>
      </c>
      <c r="E1492" t="s">
        <v>59</v>
      </c>
    </row>
    <row r="1493" spans="1:5">
      <c r="A1493" t="s">
        <v>34</v>
      </c>
      <c r="B1493" s="11" t="s">
        <v>73</v>
      </c>
      <c r="C1493">
        <v>1002</v>
      </c>
      <c r="D1493" s="9">
        <v>-15097.98</v>
      </c>
      <c r="E1493" t="s">
        <v>60</v>
      </c>
    </row>
    <row r="1494" spans="1:5">
      <c r="A1494" t="s">
        <v>34</v>
      </c>
      <c r="B1494" s="11" t="s">
        <v>74</v>
      </c>
      <c r="C1494">
        <v>1002</v>
      </c>
      <c r="D1494" s="9">
        <v>-15171.28</v>
      </c>
      <c r="E1494" t="s">
        <v>60</v>
      </c>
    </row>
    <row r="1495" spans="1:5">
      <c r="A1495" t="s">
        <v>35</v>
      </c>
      <c r="B1495" s="11" t="s">
        <v>61</v>
      </c>
      <c r="C1495">
        <v>1002</v>
      </c>
      <c r="D1495" s="9">
        <v>-13028.43</v>
      </c>
      <c r="E1495" t="s">
        <v>56</v>
      </c>
    </row>
    <row r="1496" spans="1:5">
      <c r="A1496" t="s">
        <v>35</v>
      </c>
      <c r="B1496" s="11" t="s">
        <v>62</v>
      </c>
      <c r="C1496">
        <v>1002</v>
      </c>
      <c r="D1496" s="9">
        <v>-11162.13</v>
      </c>
      <c r="E1496" t="s">
        <v>56</v>
      </c>
    </row>
    <row r="1497" spans="1:5">
      <c r="A1497" t="s">
        <v>35</v>
      </c>
      <c r="B1497" s="11" t="s">
        <v>63</v>
      </c>
      <c r="C1497">
        <v>1002</v>
      </c>
      <c r="D1497" s="9">
        <v>-14858.64</v>
      </c>
      <c r="E1497" t="s">
        <v>56</v>
      </c>
    </row>
    <row r="1498" spans="1:5">
      <c r="A1498" t="s">
        <v>35</v>
      </c>
      <c r="B1498" s="11" t="s">
        <v>75</v>
      </c>
      <c r="C1498">
        <v>1002</v>
      </c>
      <c r="D1498" s="9">
        <v>-10721.01</v>
      </c>
      <c r="E1498" t="s">
        <v>56</v>
      </c>
    </row>
    <row r="1499" spans="1:5">
      <c r="A1499" t="s">
        <v>35</v>
      </c>
      <c r="B1499" s="11" t="s">
        <v>64</v>
      </c>
      <c r="C1499">
        <v>1002</v>
      </c>
      <c r="D1499" s="9">
        <v>-14289.21</v>
      </c>
      <c r="E1499" t="s">
        <v>57</v>
      </c>
    </row>
    <row r="1500" spans="1:5">
      <c r="A1500" t="s">
        <v>35</v>
      </c>
      <c r="B1500" s="11" t="s">
        <v>65</v>
      </c>
      <c r="C1500">
        <v>1002</v>
      </c>
      <c r="D1500" s="9">
        <v>-11315.95</v>
      </c>
      <c r="E1500" t="s">
        <v>57</v>
      </c>
    </row>
    <row r="1501" spans="1:5">
      <c r="A1501" t="s">
        <v>35</v>
      </c>
      <c r="B1501" s="11" t="s">
        <v>66</v>
      </c>
      <c r="C1501">
        <v>1002</v>
      </c>
      <c r="D1501" s="9">
        <v>-23303.31</v>
      </c>
      <c r="E1501" t="s">
        <v>57</v>
      </c>
    </row>
    <row r="1502" spans="1:5">
      <c r="A1502" t="s">
        <v>35</v>
      </c>
      <c r="B1502" s="11" t="s">
        <v>67</v>
      </c>
      <c r="C1502">
        <v>1002</v>
      </c>
      <c r="D1502" s="9">
        <v>-9481.8700000000008</v>
      </c>
      <c r="E1502" t="s">
        <v>57</v>
      </c>
    </row>
    <row r="1503" spans="1:5">
      <c r="A1503" t="s">
        <v>35</v>
      </c>
      <c r="B1503" s="11" t="s">
        <v>76</v>
      </c>
      <c r="C1503">
        <v>1002</v>
      </c>
      <c r="D1503" s="9">
        <v>-7319.66</v>
      </c>
      <c r="E1503" t="s">
        <v>57</v>
      </c>
    </row>
    <row r="1504" spans="1:5">
      <c r="A1504" t="s">
        <v>35</v>
      </c>
      <c r="B1504" s="11" t="s">
        <v>68</v>
      </c>
      <c r="C1504">
        <v>1002</v>
      </c>
      <c r="D1504" s="9">
        <v>-12572.5</v>
      </c>
      <c r="E1504" t="s">
        <v>58</v>
      </c>
    </row>
    <row r="1505" spans="1:5">
      <c r="A1505" t="s">
        <v>35</v>
      </c>
      <c r="B1505" s="11" t="s">
        <v>69</v>
      </c>
      <c r="C1505">
        <v>1002</v>
      </c>
      <c r="D1505" s="9">
        <v>-10444.14</v>
      </c>
      <c r="E1505" t="s">
        <v>58</v>
      </c>
    </row>
    <row r="1506" spans="1:5">
      <c r="A1506" t="s">
        <v>35</v>
      </c>
      <c r="B1506" s="11" t="s">
        <v>77</v>
      </c>
      <c r="C1506">
        <v>1002</v>
      </c>
      <c r="D1506" s="9">
        <v>-14581.97</v>
      </c>
      <c r="E1506" t="s">
        <v>58</v>
      </c>
    </row>
    <row r="1507" spans="1:5">
      <c r="A1507" t="s">
        <v>35</v>
      </c>
      <c r="B1507" s="11" t="s">
        <v>70</v>
      </c>
      <c r="C1507">
        <v>1002</v>
      </c>
      <c r="D1507" s="9">
        <v>-14715.46</v>
      </c>
      <c r="E1507" t="s">
        <v>59</v>
      </c>
    </row>
    <row r="1508" spans="1:5">
      <c r="A1508" t="s">
        <v>35</v>
      </c>
      <c r="B1508" s="11" t="s">
        <v>71</v>
      </c>
      <c r="C1508">
        <v>1002</v>
      </c>
      <c r="D1508" s="9">
        <v>-17504.43</v>
      </c>
      <c r="E1508" t="s">
        <v>59</v>
      </c>
    </row>
    <row r="1509" spans="1:5">
      <c r="A1509" t="s">
        <v>35</v>
      </c>
      <c r="B1509" s="11" t="s">
        <v>72</v>
      </c>
      <c r="C1509">
        <v>1002</v>
      </c>
      <c r="D1509" s="9">
        <v>-17645.23</v>
      </c>
      <c r="E1509" t="s">
        <v>59</v>
      </c>
    </row>
    <row r="1510" spans="1:5">
      <c r="A1510" t="s">
        <v>35</v>
      </c>
      <c r="B1510" s="11" t="s">
        <v>78</v>
      </c>
      <c r="C1510">
        <v>1002</v>
      </c>
      <c r="D1510" s="9">
        <v>-13685.69</v>
      </c>
      <c r="E1510" t="s">
        <v>59</v>
      </c>
    </row>
    <row r="1511" spans="1:5">
      <c r="A1511" t="s">
        <v>35</v>
      </c>
      <c r="B1511" s="11" t="s">
        <v>73</v>
      </c>
      <c r="C1511">
        <v>1002</v>
      </c>
      <c r="D1511" s="9">
        <v>-15669.65</v>
      </c>
      <c r="E1511" t="s">
        <v>60</v>
      </c>
    </row>
    <row r="1512" spans="1:5">
      <c r="A1512" t="s">
        <v>35</v>
      </c>
      <c r="B1512" s="11" t="s">
        <v>74</v>
      </c>
      <c r="C1512">
        <v>1002</v>
      </c>
      <c r="D1512" s="9">
        <v>-15899.6</v>
      </c>
      <c r="E1512" t="s">
        <v>60</v>
      </c>
    </row>
    <row r="1513" spans="1:5">
      <c r="A1513" t="s">
        <v>36</v>
      </c>
      <c r="B1513" s="11" t="s">
        <v>61</v>
      </c>
      <c r="C1513">
        <v>1002</v>
      </c>
      <c r="D1513" s="9">
        <v>-11771.11</v>
      </c>
      <c r="E1513" t="s">
        <v>56</v>
      </c>
    </row>
    <row r="1514" spans="1:5">
      <c r="A1514" t="s">
        <v>36</v>
      </c>
      <c r="B1514" s="11" t="s">
        <v>62</v>
      </c>
      <c r="C1514">
        <v>1002</v>
      </c>
      <c r="D1514" s="9">
        <v>-8445.89</v>
      </c>
      <c r="E1514" t="s">
        <v>56</v>
      </c>
    </row>
    <row r="1515" spans="1:5">
      <c r="A1515" t="s">
        <v>36</v>
      </c>
      <c r="B1515" s="11" t="s">
        <v>63</v>
      </c>
      <c r="C1515">
        <v>1002</v>
      </c>
      <c r="D1515" s="9">
        <v>-14866.48</v>
      </c>
      <c r="E1515" t="s">
        <v>56</v>
      </c>
    </row>
    <row r="1516" spans="1:5">
      <c r="A1516" t="s">
        <v>36</v>
      </c>
      <c r="B1516" s="11" t="s">
        <v>75</v>
      </c>
      <c r="C1516">
        <v>1002</v>
      </c>
      <c r="D1516" s="9">
        <v>-12223.74</v>
      </c>
      <c r="E1516" t="s">
        <v>56</v>
      </c>
    </row>
    <row r="1517" spans="1:5">
      <c r="A1517" t="s">
        <v>36</v>
      </c>
      <c r="B1517" s="11" t="s">
        <v>64</v>
      </c>
      <c r="C1517">
        <v>1002</v>
      </c>
      <c r="D1517" s="9">
        <v>-13188.58</v>
      </c>
      <c r="E1517" t="s">
        <v>57</v>
      </c>
    </row>
    <row r="1518" spans="1:5">
      <c r="A1518" t="s">
        <v>36</v>
      </c>
      <c r="B1518" s="11" t="s">
        <v>65</v>
      </c>
      <c r="C1518">
        <v>1002</v>
      </c>
      <c r="D1518" s="9">
        <v>-8734.15</v>
      </c>
      <c r="E1518" t="s">
        <v>57</v>
      </c>
    </row>
    <row r="1519" spans="1:5">
      <c r="A1519" t="s">
        <v>36</v>
      </c>
      <c r="B1519" s="11" t="s">
        <v>66</v>
      </c>
      <c r="C1519">
        <v>1002</v>
      </c>
      <c r="D1519" s="9">
        <v>-20049.82</v>
      </c>
      <c r="E1519" t="s">
        <v>57</v>
      </c>
    </row>
    <row r="1520" spans="1:5">
      <c r="A1520" t="s">
        <v>36</v>
      </c>
      <c r="B1520" s="11" t="s">
        <v>67</v>
      </c>
      <c r="C1520">
        <v>1002</v>
      </c>
      <c r="D1520" s="9">
        <v>-8749.86</v>
      </c>
      <c r="E1520" t="s">
        <v>57</v>
      </c>
    </row>
    <row r="1521" spans="1:5">
      <c r="A1521" t="s">
        <v>36</v>
      </c>
      <c r="B1521" s="11" t="s">
        <v>76</v>
      </c>
      <c r="C1521">
        <v>1002</v>
      </c>
      <c r="D1521" s="9">
        <v>-6259.54</v>
      </c>
      <c r="E1521" t="s">
        <v>57</v>
      </c>
    </row>
    <row r="1522" spans="1:5">
      <c r="A1522" t="s">
        <v>36</v>
      </c>
      <c r="B1522" s="11" t="s">
        <v>68</v>
      </c>
      <c r="C1522">
        <v>1002</v>
      </c>
      <c r="D1522" s="9">
        <v>-10911.89</v>
      </c>
      <c r="E1522" t="s">
        <v>58</v>
      </c>
    </row>
    <row r="1523" spans="1:5">
      <c r="A1523" t="s">
        <v>36</v>
      </c>
      <c r="B1523" s="11" t="s">
        <v>69</v>
      </c>
      <c r="C1523">
        <v>1002</v>
      </c>
      <c r="D1523" s="9">
        <v>-9568.76</v>
      </c>
      <c r="E1523" t="s">
        <v>58</v>
      </c>
    </row>
    <row r="1524" spans="1:5">
      <c r="A1524" t="s">
        <v>36</v>
      </c>
      <c r="B1524" s="11" t="s">
        <v>77</v>
      </c>
      <c r="C1524">
        <v>1002</v>
      </c>
      <c r="D1524" s="9">
        <v>-12884.04</v>
      </c>
      <c r="E1524" t="s">
        <v>58</v>
      </c>
    </row>
    <row r="1525" spans="1:5">
      <c r="A1525" t="s">
        <v>36</v>
      </c>
      <c r="B1525" s="11" t="s">
        <v>70</v>
      </c>
      <c r="C1525">
        <v>1002</v>
      </c>
      <c r="D1525" s="9">
        <v>-12578.61</v>
      </c>
      <c r="E1525" t="s">
        <v>59</v>
      </c>
    </row>
    <row r="1526" spans="1:5">
      <c r="A1526" t="s">
        <v>36</v>
      </c>
      <c r="B1526" s="11" t="s">
        <v>71</v>
      </c>
      <c r="C1526">
        <v>1002</v>
      </c>
      <c r="D1526" s="9">
        <v>-16273.39</v>
      </c>
      <c r="E1526" t="s">
        <v>59</v>
      </c>
    </row>
    <row r="1527" spans="1:5">
      <c r="A1527" t="s">
        <v>36</v>
      </c>
      <c r="B1527" s="11" t="s">
        <v>72</v>
      </c>
      <c r="C1527">
        <v>1002</v>
      </c>
      <c r="D1527" s="9">
        <v>-15907.47</v>
      </c>
      <c r="E1527" t="s">
        <v>59</v>
      </c>
    </row>
    <row r="1528" spans="1:5">
      <c r="A1528" t="s">
        <v>36</v>
      </c>
      <c r="B1528" s="11" t="s">
        <v>78</v>
      </c>
      <c r="C1528">
        <v>1002</v>
      </c>
      <c r="D1528" s="9">
        <v>-12120.49</v>
      </c>
      <c r="E1528" t="s">
        <v>59</v>
      </c>
    </row>
    <row r="1529" spans="1:5">
      <c r="A1529" t="s">
        <v>36</v>
      </c>
      <c r="B1529" s="11" t="s">
        <v>73</v>
      </c>
      <c r="C1529">
        <v>1002</v>
      </c>
      <c r="D1529" s="9">
        <v>-13548.68</v>
      </c>
      <c r="E1529" t="s">
        <v>60</v>
      </c>
    </row>
    <row r="1530" spans="1:5">
      <c r="A1530" t="s">
        <v>36</v>
      </c>
      <c r="B1530" s="11" t="s">
        <v>74</v>
      </c>
      <c r="C1530">
        <v>1002</v>
      </c>
      <c r="D1530" s="9">
        <v>-14042.38</v>
      </c>
      <c r="E1530" t="s">
        <v>60</v>
      </c>
    </row>
    <row r="1531" spans="1:5">
      <c r="A1531" t="s">
        <v>37</v>
      </c>
      <c r="B1531" s="11" t="s">
        <v>61</v>
      </c>
      <c r="C1531">
        <v>1002</v>
      </c>
      <c r="D1531" s="9">
        <v>-12671.89</v>
      </c>
      <c r="E1531" t="s">
        <v>56</v>
      </c>
    </row>
    <row r="1532" spans="1:5">
      <c r="A1532" t="s">
        <v>37</v>
      </c>
      <c r="B1532" s="11" t="s">
        <v>62</v>
      </c>
      <c r="C1532">
        <v>1002</v>
      </c>
      <c r="D1532" s="9">
        <v>-8344.31</v>
      </c>
      <c r="E1532" t="s">
        <v>56</v>
      </c>
    </row>
    <row r="1533" spans="1:5">
      <c r="A1533" t="s">
        <v>37</v>
      </c>
      <c r="B1533" s="11" t="s">
        <v>63</v>
      </c>
      <c r="C1533">
        <v>1002</v>
      </c>
      <c r="D1533" s="9">
        <v>-14559.03</v>
      </c>
      <c r="E1533" t="s">
        <v>56</v>
      </c>
    </row>
    <row r="1534" spans="1:5">
      <c r="A1534" t="s">
        <v>37</v>
      </c>
      <c r="B1534" s="11" t="s">
        <v>75</v>
      </c>
      <c r="C1534">
        <v>1002</v>
      </c>
      <c r="D1534" s="9">
        <v>-14000.27</v>
      </c>
      <c r="E1534" t="s">
        <v>56</v>
      </c>
    </row>
    <row r="1535" spans="1:5">
      <c r="A1535" t="s">
        <v>37</v>
      </c>
      <c r="B1535" s="11" t="s">
        <v>64</v>
      </c>
      <c r="C1535">
        <v>1002</v>
      </c>
      <c r="D1535" s="9">
        <v>-12969.1</v>
      </c>
      <c r="E1535" t="s">
        <v>57</v>
      </c>
    </row>
    <row r="1536" spans="1:5">
      <c r="A1536" t="s">
        <v>37</v>
      </c>
      <c r="B1536" s="11" t="s">
        <v>65</v>
      </c>
      <c r="C1536">
        <v>1002</v>
      </c>
      <c r="D1536" s="9">
        <v>-9823.7999999999993</v>
      </c>
      <c r="E1536" t="s">
        <v>57</v>
      </c>
    </row>
    <row r="1537" spans="1:5">
      <c r="A1537" t="s">
        <v>37</v>
      </c>
      <c r="B1537" s="11" t="s">
        <v>66</v>
      </c>
      <c r="C1537">
        <v>1002</v>
      </c>
      <c r="D1537" s="9">
        <v>-18868.16</v>
      </c>
      <c r="E1537" t="s">
        <v>57</v>
      </c>
    </row>
    <row r="1538" spans="1:5">
      <c r="A1538" t="s">
        <v>37</v>
      </c>
      <c r="B1538" s="11" t="s">
        <v>67</v>
      </c>
      <c r="C1538">
        <v>1002</v>
      </c>
      <c r="D1538" s="9">
        <v>-8935.76</v>
      </c>
      <c r="E1538" t="s">
        <v>57</v>
      </c>
    </row>
    <row r="1539" spans="1:5">
      <c r="A1539" t="s">
        <v>37</v>
      </c>
      <c r="B1539" s="11" t="s">
        <v>76</v>
      </c>
      <c r="C1539">
        <v>1002</v>
      </c>
      <c r="D1539" s="9">
        <v>-6210.13</v>
      </c>
      <c r="E1539" t="s">
        <v>57</v>
      </c>
    </row>
    <row r="1540" spans="1:5">
      <c r="A1540" t="s">
        <v>37</v>
      </c>
      <c r="B1540" s="11" t="s">
        <v>68</v>
      </c>
      <c r="C1540">
        <v>1002</v>
      </c>
      <c r="D1540" s="9">
        <v>-10927.64</v>
      </c>
      <c r="E1540" t="s">
        <v>58</v>
      </c>
    </row>
    <row r="1541" spans="1:5">
      <c r="A1541" t="s">
        <v>37</v>
      </c>
      <c r="B1541" s="11" t="s">
        <v>69</v>
      </c>
      <c r="C1541">
        <v>1002</v>
      </c>
      <c r="D1541" s="9">
        <v>-9665.01</v>
      </c>
      <c r="E1541" t="s">
        <v>58</v>
      </c>
    </row>
    <row r="1542" spans="1:5">
      <c r="A1542" t="s">
        <v>37</v>
      </c>
      <c r="B1542" s="11" t="s">
        <v>77</v>
      </c>
      <c r="C1542">
        <v>1002</v>
      </c>
      <c r="D1542" s="9">
        <v>-12838.65</v>
      </c>
      <c r="E1542" t="s">
        <v>58</v>
      </c>
    </row>
    <row r="1543" spans="1:5">
      <c r="A1543" t="s">
        <v>37</v>
      </c>
      <c r="B1543" s="11" t="s">
        <v>70</v>
      </c>
      <c r="C1543">
        <v>1002</v>
      </c>
      <c r="D1543" s="9">
        <v>-13014.21</v>
      </c>
      <c r="E1543" t="s">
        <v>59</v>
      </c>
    </row>
    <row r="1544" spans="1:5">
      <c r="A1544" t="s">
        <v>37</v>
      </c>
      <c r="B1544" s="11" t="s">
        <v>71</v>
      </c>
      <c r="C1544">
        <v>1002</v>
      </c>
      <c r="D1544" s="9">
        <v>-17104.07</v>
      </c>
      <c r="E1544" t="s">
        <v>59</v>
      </c>
    </row>
    <row r="1545" spans="1:5">
      <c r="A1545" t="s">
        <v>37</v>
      </c>
      <c r="B1545" s="11" t="s">
        <v>72</v>
      </c>
      <c r="C1545">
        <v>1002</v>
      </c>
      <c r="D1545" s="9">
        <v>-16094.88</v>
      </c>
      <c r="E1545" t="s">
        <v>59</v>
      </c>
    </row>
    <row r="1546" spans="1:5">
      <c r="A1546" t="s">
        <v>37</v>
      </c>
      <c r="B1546" s="11" t="s">
        <v>78</v>
      </c>
      <c r="C1546">
        <v>1002</v>
      </c>
      <c r="D1546" s="9">
        <v>-11258.41</v>
      </c>
      <c r="E1546" t="s">
        <v>59</v>
      </c>
    </row>
    <row r="1547" spans="1:5">
      <c r="A1547" t="s">
        <v>37</v>
      </c>
      <c r="B1547" s="11" t="s">
        <v>73</v>
      </c>
      <c r="C1547">
        <v>1002</v>
      </c>
      <c r="D1547" s="9">
        <v>-14097.63</v>
      </c>
      <c r="E1547" t="s">
        <v>60</v>
      </c>
    </row>
    <row r="1548" spans="1:5">
      <c r="A1548" t="s">
        <v>37</v>
      </c>
      <c r="B1548" s="11" t="s">
        <v>74</v>
      </c>
      <c r="C1548">
        <v>1002</v>
      </c>
      <c r="D1548" s="9">
        <v>-13657.44</v>
      </c>
      <c r="E1548" t="s">
        <v>60</v>
      </c>
    </row>
    <row r="1549" spans="1:5">
      <c r="A1549" t="s">
        <v>38</v>
      </c>
      <c r="B1549" s="11" t="s">
        <v>61</v>
      </c>
      <c r="C1549">
        <v>1002</v>
      </c>
      <c r="D1549" s="9">
        <v>-11718.5</v>
      </c>
      <c r="E1549" t="s">
        <v>56</v>
      </c>
    </row>
    <row r="1550" spans="1:5">
      <c r="A1550" t="s">
        <v>38</v>
      </c>
      <c r="B1550" s="11" t="s">
        <v>62</v>
      </c>
      <c r="C1550">
        <v>1002</v>
      </c>
      <c r="D1550" s="9">
        <v>-8167.18</v>
      </c>
      <c r="E1550" t="s">
        <v>56</v>
      </c>
    </row>
    <row r="1551" spans="1:5">
      <c r="A1551" t="s">
        <v>38</v>
      </c>
      <c r="B1551" s="11" t="s">
        <v>63</v>
      </c>
      <c r="C1551">
        <v>1002</v>
      </c>
      <c r="D1551" s="9">
        <v>-14793.12</v>
      </c>
      <c r="E1551" t="s">
        <v>56</v>
      </c>
    </row>
    <row r="1552" spans="1:5">
      <c r="A1552" t="s">
        <v>38</v>
      </c>
      <c r="B1552" s="11" t="s">
        <v>75</v>
      </c>
      <c r="C1552">
        <v>1002</v>
      </c>
      <c r="D1552" s="9">
        <v>-14283.84</v>
      </c>
      <c r="E1552" t="s">
        <v>56</v>
      </c>
    </row>
    <row r="1553" spans="1:5">
      <c r="A1553" t="s">
        <v>38</v>
      </c>
      <c r="B1553" s="11" t="s">
        <v>64</v>
      </c>
      <c r="C1553">
        <v>1002</v>
      </c>
      <c r="D1553" s="9">
        <v>-12782.85</v>
      </c>
      <c r="E1553" t="s">
        <v>57</v>
      </c>
    </row>
    <row r="1554" spans="1:5">
      <c r="A1554" t="s">
        <v>38</v>
      </c>
      <c r="B1554" s="11" t="s">
        <v>65</v>
      </c>
      <c r="C1554">
        <v>1002</v>
      </c>
      <c r="D1554" s="9">
        <v>-9647.9599999999991</v>
      </c>
      <c r="E1554" t="s">
        <v>57</v>
      </c>
    </row>
    <row r="1555" spans="1:5">
      <c r="A1555" t="s">
        <v>38</v>
      </c>
      <c r="B1555" s="11" t="s">
        <v>66</v>
      </c>
      <c r="C1555">
        <v>1002</v>
      </c>
      <c r="D1555" s="9">
        <v>-16952.61</v>
      </c>
      <c r="E1555" t="s">
        <v>57</v>
      </c>
    </row>
    <row r="1556" spans="1:5">
      <c r="A1556" t="s">
        <v>38</v>
      </c>
      <c r="B1556" s="11" t="s">
        <v>67</v>
      </c>
      <c r="C1556">
        <v>1002</v>
      </c>
      <c r="D1556" s="9">
        <v>-8917.4500000000007</v>
      </c>
      <c r="E1556" t="s">
        <v>57</v>
      </c>
    </row>
    <row r="1557" spans="1:5">
      <c r="A1557" t="s">
        <v>38</v>
      </c>
      <c r="B1557" s="11" t="s">
        <v>76</v>
      </c>
      <c r="C1557">
        <v>1002</v>
      </c>
      <c r="D1557" s="9">
        <v>-6229.48</v>
      </c>
      <c r="E1557" t="s">
        <v>57</v>
      </c>
    </row>
    <row r="1558" spans="1:5">
      <c r="A1558" t="s">
        <v>38</v>
      </c>
      <c r="B1558" s="11" t="s">
        <v>68</v>
      </c>
      <c r="C1558">
        <v>1002</v>
      </c>
      <c r="D1558" s="9">
        <v>-10969.65</v>
      </c>
      <c r="E1558" t="s">
        <v>58</v>
      </c>
    </row>
    <row r="1559" spans="1:5">
      <c r="A1559" t="s">
        <v>38</v>
      </c>
      <c r="B1559" s="11" t="s">
        <v>69</v>
      </c>
      <c r="C1559">
        <v>1002</v>
      </c>
      <c r="D1559" s="9">
        <v>-9623.4699999999993</v>
      </c>
      <c r="E1559" t="s">
        <v>58</v>
      </c>
    </row>
    <row r="1560" spans="1:5">
      <c r="A1560" t="s">
        <v>38</v>
      </c>
      <c r="B1560" s="11" t="s">
        <v>77</v>
      </c>
      <c r="C1560">
        <v>1002</v>
      </c>
      <c r="D1560" s="9">
        <v>-12739.56</v>
      </c>
      <c r="E1560" t="s">
        <v>58</v>
      </c>
    </row>
    <row r="1561" spans="1:5">
      <c r="A1561" t="s">
        <v>38</v>
      </c>
      <c r="B1561" s="11" t="s">
        <v>70</v>
      </c>
      <c r="C1561">
        <v>1002</v>
      </c>
      <c r="D1561" s="9">
        <v>-12831.46</v>
      </c>
      <c r="E1561" t="s">
        <v>59</v>
      </c>
    </row>
    <row r="1562" spans="1:5">
      <c r="A1562" t="s">
        <v>38</v>
      </c>
      <c r="B1562" s="11" t="s">
        <v>71</v>
      </c>
      <c r="C1562">
        <v>1002</v>
      </c>
      <c r="D1562" s="9">
        <v>-16722.37</v>
      </c>
      <c r="E1562" t="s">
        <v>59</v>
      </c>
    </row>
    <row r="1563" spans="1:5">
      <c r="A1563" t="s">
        <v>38</v>
      </c>
      <c r="B1563" s="11" t="s">
        <v>72</v>
      </c>
      <c r="C1563">
        <v>1002</v>
      </c>
      <c r="D1563" s="9">
        <v>-16390.39</v>
      </c>
      <c r="E1563" t="s">
        <v>59</v>
      </c>
    </row>
    <row r="1564" spans="1:5">
      <c r="A1564" t="s">
        <v>38</v>
      </c>
      <c r="B1564" s="11" t="s">
        <v>78</v>
      </c>
      <c r="C1564">
        <v>1002</v>
      </c>
      <c r="D1564" s="9">
        <v>-11638.44</v>
      </c>
      <c r="E1564" t="s">
        <v>59</v>
      </c>
    </row>
    <row r="1565" spans="1:5">
      <c r="A1565" t="s">
        <v>38</v>
      </c>
      <c r="B1565" s="11" t="s">
        <v>73</v>
      </c>
      <c r="C1565">
        <v>1002</v>
      </c>
      <c r="D1565" s="9">
        <v>-14725.58</v>
      </c>
      <c r="E1565" t="s">
        <v>60</v>
      </c>
    </row>
    <row r="1566" spans="1:5">
      <c r="A1566" t="s">
        <v>38</v>
      </c>
      <c r="B1566" s="11" t="s">
        <v>74</v>
      </c>
      <c r="C1566">
        <v>1002</v>
      </c>
      <c r="D1566" s="9">
        <v>-12636.7</v>
      </c>
      <c r="E1566" t="s">
        <v>60</v>
      </c>
    </row>
    <row r="1567" spans="1:5">
      <c r="A1567" t="s">
        <v>39</v>
      </c>
      <c r="B1567" s="11" t="s">
        <v>61</v>
      </c>
      <c r="C1567">
        <v>1002</v>
      </c>
      <c r="D1567" s="9">
        <v>-12192.54</v>
      </c>
      <c r="E1567" t="s">
        <v>56</v>
      </c>
    </row>
    <row r="1568" spans="1:5">
      <c r="A1568" t="s">
        <v>39</v>
      </c>
      <c r="B1568" s="11" t="s">
        <v>62</v>
      </c>
      <c r="C1568">
        <v>1002</v>
      </c>
      <c r="D1568" s="9">
        <v>-9028.99</v>
      </c>
      <c r="E1568" t="s">
        <v>56</v>
      </c>
    </row>
    <row r="1569" spans="1:5">
      <c r="A1569" t="s">
        <v>39</v>
      </c>
      <c r="B1569" s="11" t="s">
        <v>63</v>
      </c>
      <c r="C1569">
        <v>1002</v>
      </c>
      <c r="D1569" s="9">
        <v>-13973.55</v>
      </c>
      <c r="E1569" t="s">
        <v>56</v>
      </c>
    </row>
    <row r="1570" spans="1:5">
      <c r="A1570" t="s">
        <v>39</v>
      </c>
      <c r="B1570" s="11" t="s">
        <v>75</v>
      </c>
      <c r="C1570">
        <v>1002</v>
      </c>
      <c r="D1570" s="9">
        <v>-15424.69</v>
      </c>
      <c r="E1570" t="s">
        <v>56</v>
      </c>
    </row>
    <row r="1571" spans="1:5">
      <c r="A1571" t="s">
        <v>39</v>
      </c>
      <c r="B1571" s="11" t="s">
        <v>64</v>
      </c>
      <c r="C1571">
        <v>1002</v>
      </c>
      <c r="D1571" s="9">
        <v>-13749.52</v>
      </c>
      <c r="E1571" t="s">
        <v>57</v>
      </c>
    </row>
    <row r="1572" spans="1:5">
      <c r="A1572" t="s">
        <v>39</v>
      </c>
      <c r="B1572" s="11" t="s">
        <v>65</v>
      </c>
      <c r="C1572">
        <v>1002</v>
      </c>
      <c r="D1572" s="9">
        <v>-10242.48</v>
      </c>
      <c r="E1572" t="s">
        <v>57</v>
      </c>
    </row>
    <row r="1573" spans="1:5">
      <c r="A1573" t="s">
        <v>39</v>
      </c>
      <c r="B1573" s="11" t="s">
        <v>66</v>
      </c>
      <c r="C1573">
        <v>1002</v>
      </c>
      <c r="D1573" s="9">
        <v>-19774.919999999998</v>
      </c>
      <c r="E1573" t="s">
        <v>57</v>
      </c>
    </row>
    <row r="1574" spans="1:5">
      <c r="A1574" t="s">
        <v>39</v>
      </c>
      <c r="B1574" s="11" t="s">
        <v>67</v>
      </c>
      <c r="C1574">
        <v>1002</v>
      </c>
      <c r="D1574" s="9">
        <v>-9866.16</v>
      </c>
      <c r="E1574" t="s">
        <v>57</v>
      </c>
    </row>
    <row r="1575" spans="1:5">
      <c r="A1575" t="s">
        <v>39</v>
      </c>
      <c r="B1575" s="11" t="s">
        <v>76</v>
      </c>
      <c r="C1575">
        <v>1002</v>
      </c>
      <c r="D1575" s="9">
        <v>-6439.2</v>
      </c>
      <c r="E1575" t="s">
        <v>57</v>
      </c>
    </row>
    <row r="1576" spans="1:5">
      <c r="A1576" t="s">
        <v>39</v>
      </c>
      <c r="B1576" s="11" t="s">
        <v>68</v>
      </c>
      <c r="C1576">
        <v>1002</v>
      </c>
      <c r="D1576" s="9">
        <v>-11576.08</v>
      </c>
      <c r="E1576" t="s">
        <v>58</v>
      </c>
    </row>
    <row r="1577" spans="1:5">
      <c r="A1577" t="s">
        <v>39</v>
      </c>
      <c r="B1577" s="11" t="s">
        <v>69</v>
      </c>
      <c r="C1577">
        <v>1002</v>
      </c>
      <c r="D1577" s="9">
        <v>-10531.94</v>
      </c>
      <c r="E1577" t="s">
        <v>58</v>
      </c>
    </row>
    <row r="1578" spans="1:5">
      <c r="A1578" t="s">
        <v>39</v>
      </c>
      <c r="B1578" s="11" t="s">
        <v>77</v>
      </c>
      <c r="C1578">
        <v>1002</v>
      </c>
      <c r="D1578" s="9">
        <v>-13915.37</v>
      </c>
      <c r="E1578" t="s">
        <v>58</v>
      </c>
    </row>
    <row r="1579" spans="1:5">
      <c r="A1579" t="s">
        <v>39</v>
      </c>
      <c r="B1579" s="11" t="s">
        <v>70</v>
      </c>
      <c r="C1579">
        <v>1002</v>
      </c>
      <c r="D1579" s="9">
        <v>-14072.24</v>
      </c>
      <c r="E1579" t="s">
        <v>59</v>
      </c>
    </row>
    <row r="1580" spans="1:5">
      <c r="A1580" t="s">
        <v>39</v>
      </c>
      <c r="B1580" s="11" t="s">
        <v>71</v>
      </c>
      <c r="C1580">
        <v>1002</v>
      </c>
      <c r="D1580" s="9">
        <v>-17787.169999999998</v>
      </c>
      <c r="E1580" t="s">
        <v>59</v>
      </c>
    </row>
    <row r="1581" spans="1:5">
      <c r="A1581" t="s">
        <v>39</v>
      </c>
      <c r="B1581" s="11" t="s">
        <v>72</v>
      </c>
      <c r="C1581">
        <v>1002</v>
      </c>
      <c r="D1581" s="9">
        <v>-17717.28</v>
      </c>
      <c r="E1581" t="s">
        <v>59</v>
      </c>
    </row>
    <row r="1582" spans="1:5">
      <c r="A1582" t="s">
        <v>39</v>
      </c>
      <c r="B1582" s="11" t="s">
        <v>78</v>
      </c>
      <c r="C1582">
        <v>1002</v>
      </c>
      <c r="D1582" s="9">
        <v>-12343.85</v>
      </c>
      <c r="E1582" t="s">
        <v>59</v>
      </c>
    </row>
    <row r="1583" spans="1:5">
      <c r="A1583" t="s">
        <v>39</v>
      </c>
      <c r="B1583" s="11" t="s">
        <v>73</v>
      </c>
      <c r="C1583">
        <v>1002</v>
      </c>
      <c r="D1583" s="9">
        <v>-15638.8</v>
      </c>
      <c r="E1583" t="s">
        <v>60</v>
      </c>
    </row>
    <row r="1584" spans="1:5">
      <c r="A1584" t="s">
        <v>39</v>
      </c>
      <c r="B1584" s="11" t="s">
        <v>74</v>
      </c>
      <c r="C1584">
        <v>1002</v>
      </c>
      <c r="D1584" s="9">
        <v>-14014.26</v>
      </c>
      <c r="E1584" t="s">
        <v>60</v>
      </c>
    </row>
    <row r="1585" spans="1:5">
      <c r="A1585" t="s">
        <v>28</v>
      </c>
      <c r="B1585" s="11" t="s">
        <v>61</v>
      </c>
      <c r="C1585">
        <v>1003</v>
      </c>
      <c r="D1585" s="9">
        <v>-11240.76</v>
      </c>
      <c r="E1585" t="s">
        <v>56</v>
      </c>
    </row>
    <row r="1586" spans="1:5">
      <c r="A1586" t="s">
        <v>28</v>
      </c>
      <c r="B1586" s="11" t="s">
        <v>62</v>
      </c>
      <c r="C1586">
        <v>1003</v>
      </c>
      <c r="D1586" s="9">
        <v>-10248.43</v>
      </c>
      <c r="E1586" t="s">
        <v>56</v>
      </c>
    </row>
    <row r="1587" spans="1:5">
      <c r="A1587" t="s">
        <v>28</v>
      </c>
      <c r="B1587" s="11" t="s">
        <v>63</v>
      </c>
      <c r="C1587">
        <v>1003</v>
      </c>
      <c r="D1587" s="9">
        <v>-11966.63</v>
      </c>
      <c r="E1587" t="s">
        <v>56</v>
      </c>
    </row>
    <row r="1588" spans="1:5">
      <c r="A1588" t="s">
        <v>28</v>
      </c>
      <c r="B1588" s="11" t="s">
        <v>64</v>
      </c>
      <c r="C1588">
        <v>1003</v>
      </c>
      <c r="D1588" s="9">
        <v>-11344.69</v>
      </c>
      <c r="E1588" t="s">
        <v>57</v>
      </c>
    </row>
    <row r="1589" spans="1:5">
      <c r="A1589" t="s">
        <v>28</v>
      </c>
      <c r="B1589" s="11" t="s">
        <v>65</v>
      </c>
      <c r="C1589">
        <v>1003</v>
      </c>
      <c r="D1589" s="9">
        <v>-9432.0300000000007</v>
      </c>
      <c r="E1589" t="s">
        <v>57</v>
      </c>
    </row>
    <row r="1590" spans="1:5">
      <c r="A1590" t="s">
        <v>28</v>
      </c>
      <c r="B1590" s="11" t="s">
        <v>66</v>
      </c>
      <c r="C1590">
        <v>1003</v>
      </c>
      <c r="D1590" s="9">
        <v>-19656.349999999999</v>
      </c>
      <c r="E1590" t="s">
        <v>57</v>
      </c>
    </row>
    <row r="1591" spans="1:5">
      <c r="A1591" t="s">
        <v>28</v>
      </c>
      <c r="B1591" s="11" t="s">
        <v>67</v>
      </c>
      <c r="C1591">
        <v>1003</v>
      </c>
      <c r="D1591" s="9">
        <v>-7867.57</v>
      </c>
      <c r="E1591" t="s">
        <v>57</v>
      </c>
    </row>
    <row r="1592" spans="1:5">
      <c r="A1592" t="s">
        <v>28</v>
      </c>
      <c r="B1592" s="11" t="s">
        <v>76</v>
      </c>
      <c r="C1592">
        <v>1003</v>
      </c>
      <c r="D1592" s="9">
        <v>-6174.89</v>
      </c>
      <c r="E1592" t="s">
        <v>57</v>
      </c>
    </row>
    <row r="1593" spans="1:5">
      <c r="A1593" t="s">
        <v>28</v>
      </c>
      <c r="B1593" s="11" t="s">
        <v>68</v>
      </c>
      <c r="C1593">
        <v>1003</v>
      </c>
      <c r="D1593" s="9">
        <v>-10336.66</v>
      </c>
      <c r="E1593" t="s">
        <v>58</v>
      </c>
    </row>
    <row r="1594" spans="1:5">
      <c r="A1594" t="s">
        <v>28</v>
      </c>
      <c r="B1594" s="11" t="s">
        <v>69</v>
      </c>
      <c r="C1594">
        <v>1003</v>
      </c>
      <c r="D1594" s="9">
        <v>-9499.6299999999992</v>
      </c>
      <c r="E1594" t="s">
        <v>58</v>
      </c>
    </row>
    <row r="1595" spans="1:5">
      <c r="A1595" t="s">
        <v>28</v>
      </c>
      <c r="B1595" s="11" t="s">
        <v>77</v>
      </c>
      <c r="C1595">
        <v>1003</v>
      </c>
      <c r="D1595" s="9">
        <v>-12257.04</v>
      </c>
      <c r="E1595" t="s">
        <v>58</v>
      </c>
    </row>
    <row r="1596" spans="1:5">
      <c r="A1596" t="s">
        <v>28</v>
      </c>
      <c r="B1596" s="11" t="s">
        <v>70</v>
      </c>
      <c r="C1596">
        <v>1003</v>
      </c>
      <c r="D1596" s="9">
        <v>-11728.26</v>
      </c>
      <c r="E1596" t="s">
        <v>59</v>
      </c>
    </row>
    <row r="1597" spans="1:5">
      <c r="A1597" t="s">
        <v>28</v>
      </c>
      <c r="B1597" s="11" t="s">
        <v>71</v>
      </c>
      <c r="C1597">
        <v>1003</v>
      </c>
      <c r="D1597" s="9">
        <v>-14731.7</v>
      </c>
      <c r="E1597" t="s">
        <v>59</v>
      </c>
    </row>
    <row r="1598" spans="1:5">
      <c r="A1598" t="s">
        <v>28</v>
      </c>
      <c r="B1598" s="11" t="s">
        <v>72</v>
      </c>
      <c r="C1598">
        <v>1003</v>
      </c>
      <c r="D1598" s="9">
        <v>-14733.22</v>
      </c>
      <c r="E1598" t="s">
        <v>59</v>
      </c>
    </row>
    <row r="1599" spans="1:5">
      <c r="A1599" t="s">
        <v>28</v>
      </c>
      <c r="B1599" s="11" t="s">
        <v>78</v>
      </c>
      <c r="C1599">
        <v>1003</v>
      </c>
      <c r="D1599" s="9">
        <v>-11284.1</v>
      </c>
      <c r="E1599" t="s">
        <v>59</v>
      </c>
    </row>
    <row r="1600" spans="1:5">
      <c r="A1600" t="s">
        <v>28</v>
      </c>
      <c r="B1600" s="11" t="s">
        <v>73</v>
      </c>
      <c r="C1600">
        <v>1003</v>
      </c>
      <c r="D1600" s="9">
        <v>-12833.28</v>
      </c>
      <c r="E1600" t="s">
        <v>60</v>
      </c>
    </row>
    <row r="1601" spans="1:5">
      <c r="A1601" t="s">
        <v>28</v>
      </c>
      <c r="B1601" s="11" t="s">
        <v>74</v>
      </c>
      <c r="C1601">
        <v>1003</v>
      </c>
      <c r="D1601" s="9">
        <v>-12895.58</v>
      </c>
      <c r="E1601" t="s">
        <v>60</v>
      </c>
    </row>
    <row r="1602" spans="1:5">
      <c r="A1602" t="s">
        <v>29</v>
      </c>
      <c r="B1602" s="11" t="s">
        <v>61</v>
      </c>
      <c r="C1602">
        <v>1003</v>
      </c>
      <c r="D1602" s="9">
        <v>-11074.17</v>
      </c>
      <c r="E1602" t="s">
        <v>56</v>
      </c>
    </row>
    <row r="1603" spans="1:5">
      <c r="A1603" t="s">
        <v>29</v>
      </c>
      <c r="B1603" s="11" t="s">
        <v>62</v>
      </c>
      <c r="C1603">
        <v>1003</v>
      </c>
      <c r="D1603" s="9">
        <v>-9487.81</v>
      </c>
      <c r="E1603" t="s">
        <v>56</v>
      </c>
    </row>
    <row r="1604" spans="1:5">
      <c r="A1604" t="s">
        <v>29</v>
      </c>
      <c r="B1604" s="11" t="s">
        <v>63</v>
      </c>
      <c r="C1604">
        <v>1003</v>
      </c>
      <c r="D1604" s="9">
        <v>-12629.84</v>
      </c>
      <c r="E1604" t="s">
        <v>56</v>
      </c>
    </row>
    <row r="1605" spans="1:5">
      <c r="A1605" t="s">
        <v>29</v>
      </c>
      <c r="B1605" s="11" t="s">
        <v>75</v>
      </c>
      <c r="C1605">
        <v>1003</v>
      </c>
      <c r="D1605" s="9">
        <v>-9112.86</v>
      </c>
      <c r="E1605" t="s">
        <v>56</v>
      </c>
    </row>
    <row r="1606" spans="1:5">
      <c r="A1606" t="s">
        <v>29</v>
      </c>
      <c r="B1606" s="11" t="s">
        <v>64</v>
      </c>
      <c r="C1606">
        <v>1003</v>
      </c>
      <c r="D1606" s="9">
        <v>-12145.83</v>
      </c>
      <c r="E1606" t="s">
        <v>57</v>
      </c>
    </row>
    <row r="1607" spans="1:5">
      <c r="A1607" t="s">
        <v>29</v>
      </c>
      <c r="B1607" s="11" t="s">
        <v>65</v>
      </c>
      <c r="C1607">
        <v>1003</v>
      </c>
      <c r="D1607" s="9">
        <v>-9618.56</v>
      </c>
      <c r="E1607" t="s">
        <v>57</v>
      </c>
    </row>
    <row r="1608" spans="1:5">
      <c r="A1608" t="s">
        <v>29</v>
      </c>
      <c r="B1608" s="11" t="s">
        <v>66</v>
      </c>
      <c r="C1608">
        <v>1003</v>
      </c>
      <c r="D1608" s="9">
        <v>-19807.810000000001</v>
      </c>
      <c r="E1608" t="s">
        <v>57</v>
      </c>
    </row>
    <row r="1609" spans="1:5">
      <c r="A1609" t="s">
        <v>29</v>
      </c>
      <c r="B1609" s="11" t="s">
        <v>67</v>
      </c>
      <c r="C1609">
        <v>1003</v>
      </c>
      <c r="D1609" s="9">
        <v>-8059.59</v>
      </c>
      <c r="E1609" t="s">
        <v>57</v>
      </c>
    </row>
    <row r="1610" spans="1:5">
      <c r="A1610" t="s">
        <v>29</v>
      </c>
      <c r="B1610" s="11" t="s">
        <v>76</v>
      </c>
      <c r="C1610">
        <v>1003</v>
      </c>
      <c r="D1610" s="9">
        <v>-6221.71</v>
      </c>
      <c r="E1610" t="s">
        <v>57</v>
      </c>
    </row>
    <row r="1611" spans="1:5">
      <c r="A1611" t="s">
        <v>29</v>
      </c>
      <c r="B1611" s="11" t="s">
        <v>68</v>
      </c>
      <c r="C1611">
        <v>1003</v>
      </c>
      <c r="D1611" s="9">
        <v>-10686.62</v>
      </c>
      <c r="E1611" t="s">
        <v>58</v>
      </c>
    </row>
    <row r="1612" spans="1:5">
      <c r="A1612" t="s">
        <v>29</v>
      </c>
      <c r="B1612" s="11" t="s">
        <v>69</v>
      </c>
      <c r="C1612">
        <v>1003</v>
      </c>
      <c r="D1612" s="9">
        <v>-8877.52</v>
      </c>
      <c r="E1612" t="s">
        <v>58</v>
      </c>
    </row>
    <row r="1613" spans="1:5">
      <c r="A1613" t="s">
        <v>29</v>
      </c>
      <c r="B1613" s="11" t="s">
        <v>77</v>
      </c>
      <c r="C1613">
        <v>1003</v>
      </c>
      <c r="D1613" s="9">
        <v>-12394.68</v>
      </c>
      <c r="E1613" t="s">
        <v>58</v>
      </c>
    </row>
    <row r="1614" spans="1:5">
      <c r="A1614" t="s">
        <v>29</v>
      </c>
      <c r="B1614" s="11" t="s">
        <v>70</v>
      </c>
      <c r="C1614">
        <v>1003</v>
      </c>
      <c r="D1614" s="9">
        <v>-12508.14</v>
      </c>
      <c r="E1614" t="s">
        <v>59</v>
      </c>
    </row>
    <row r="1615" spans="1:5">
      <c r="A1615" t="s">
        <v>29</v>
      </c>
      <c r="B1615" s="11" t="s">
        <v>71</v>
      </c>
      <c r="C1615">
        <v>1003</v>
      </c>
      <c r="D1615" s="9">
        <v>-14878.76</v>
      </c>
      <c r="E1615" t="s">
        <v>59</v>
      </c>
    </row>
    <row r="1616" spans="1:5">
      <c r="A1616" t="s">
        <v>29</v>
      </c>
      <c r="B1616" s="11" t="s">
        <v>72</v>
      </c>
      <c r="C1616">
        <v>1003</v>
      </c>
      <c r="D1616" s="9">
        <v>-14998.45</v>
      </c>
      <c r="E1616" t="s">
        <v>59</v>
      </c>
    </row>
    <row r="1617" spans="1:5">
      <c r="A1617" t="s">
        <v>29</v>
      </c>
      <c r="B1617" s="11" t="s">
        <v>78</v>
      </c>
      <c r="C1617">
        <v>1003</v>
      </c>
      <c r="D1617" s="9">
        <v>-11632.84</v>
      </c>
      <c r="E1617" t="s">
        <v>59</v>
      </c>
    </row>
    <row r="1618" spans="1:5">
      <c r="A1618" t="s">
        <v>29</v>
      </c>
      <c r="B1618" s="11" t="s">
        <v>73</v>
      </c>
      <c r="C1618">
        <v>1003</v>
      </c>
      <c r="D1618" s="9">
        <v>-13319.2</v>
      </c>
      <c r="E1618" t="s">
        <v>60</v>
      </c>
    </row>
    <row r="1619" spans="1:5">
      <c r="A1619" t="s">
        <v>29</v>
      </c>
      <c r="B1619" s="11" t="s">
        <v>74</v>
      </c>
      <c r="C1619">
        <v>1003</v>
      </c>
      <c r="D1619" s="9">
        <v>-13514.66</v>
      </c>
      <c r="E1619" t="s">
        <v>60</v>
      </c>
    </row>
    <row r="1620" spans="1:5">
      <c r="A1620" t="s">
        <v>30</v>
      </c>
      <c r="B1620" s="11" t="s">
        <v>61</v>
      </c>
      <c r="C1620">
        <v>1003</v>
      </c>
      <c r="D1620" s="9">
        <v>-10005.450000000001</v>
      </c>
      <c r="E1620" t="s">
        <v>56</v>
      </c>
    </row>
    <row r="1621" spans="1:5">
      <c r="A1621" t="s">
        <v>30</v>
      </c>
      <c r="B1621" s="11" t="s">
        <v>62</v>
      </c>
      <c r="C1621">
        <v>1003</v>
      </c>
      <c r="D1621" s="9">
        <v>-7179</v>
      </c>
      <c r="E1621" t="s">
        <v>56</v>
      </c>
    </row>
    <row r="1622" spans="1:5">
      <c r="A1622" t="s">
        <v>30</v>
      </c>
      <c r="B1622" s="11" t="s">
        <v>63</v>
      </c>
      <c r="C1622">
        <v>1003</v>
      </c>
      <c r="D1622" s="9">
        <v>-12636.51</v>
      </c>
      <c r="E1622" t="s">
        <v>56</v>
      </c>
    </row>
    <row r="1623" spans="1:5">
      <c r="A1623" t="s">
        <v>30</v>
      </c>
      <c r="B1623" s="11" t="s">
        <v>75</v>
      </c>
      <c r="C1623">
        <v>1003</v>
      </c>
      <c r="D1623" s="9">
        <v>-10390.18</v>
      </c>
      <c r="E1623" t="s">
        <v>56</v>
      </c>
    </row>
    <row r="1624" spans="1:5">
      <c r="A1624" t="s">
        <v>30</v>
      </c>
      <c r="B1624" s="11" t="s">
        <v>64</v>
      </c>
      <c r="C1624">
        <v>1003</v>
      </c>
      <c r="D1624" s="9">
        <v>-11210.29</v>
      </c>
      <c r="E1624" t="s">
        <v>57</v>
      </c>
    </row>
    <row r="1625" spans="1:5">
      <c r="A1625" t="s">
        <v>30</v>
      </c>
      <c r="B1625" s="11" t="s">
        <v>65</v>
      </c>
      <c r="C1625">
        <v>1003</v>
      </c>
      <c r="D1625" s="9">
        <v>-7424.03</v>
      </c>
      <c r="E1625" t="s">
        <v>57</v>
      </c>
    </row>
    <row r="1626" spans="1:5">
      <c r="A1626" t="s">
        <v>30</v>
      </c>
      <c r="B1626" s="11" t="s">
        <v>66</v>
      </c>
      <c r="C1626">
        <v>1003</v>
      </c>
      <c r="D1626" s="9">
        <v>-17042.349999999999</v>
      </c>
      <c r="E1626" t="s">
        <v>57</v>
      </c>
    </row>
    <row r="1627" spans="1:5">
      <c r="A1627" t="s">
        <v>30</v>
      </c>
      <c r="B1627" s="11" t="s">
        <v>67</v>
      </c>
      <c r="C1627">
        <v>1003</v>
      </c>
      <c r="D1627" s="9">
        <v>-7437.38</v>
      </c>
      <c r="E1627" t="s">
        <v>57</v>
      </c>
    </row>
    <row r="1628" spans="1:5">
      <c r="A1628" t="s">
        <v>30</v>
      </c>
      <c r="B1628" s="11" t="s">
        <v>76</v>
      </c>
      <c r="C1628">
        <v>1003</v>
      </c>
      <c r="D1628" s="9">
        <v>-5320.61</v>
      </c>
      <c r="E1628" t="s">
        <v>57</v>
      </c>
    </row>
    <row r="1629" spans="1:5">
      <c r="A1629" t="s">
        <v>30</v>
      </c>
      <c r="B1629" s="11" t="s">
        <v>68</v>
      </c>
      <c r="C1629">
        <v>1003</v>
      </c>
      <c r="D1629" s="9">
        <v>-9275.1</v>
      </c>
      <c r="E1629" t="s">
        <v>58</v>
      </c>
    </row>
    <row r="1630" spans="1:5">
      <c r="A1630" t="s">
        <v>30</v>
      </c>
      <c r="B1630" s="11" t="s">
        <v>69</v>
      </c>
      <c r="C1630">
        <v>1003</v>
      </c>
      <c r="D1630" s="9">
        <v>-8133.44</v>
      </c>
      <c r="E1630" t="s">
        <v>58</v>
      </c>
    </row>
    <row r="1631" spans="1:5">
      <c r="A1631" t="s">
        <v>30</v>
      </c>
      <c r="B1631" s="11" t="s">
        <v>77</v>
      </c>
      <c r="C1631">
        <v>1003</v>
      </c>
      <c r="D1631" s="9">
        <v>-10951.43</v>
      </c>
      <c r="E1631" t="s">
        <v>58</v>
      </c>
    </row>
    <row r="1632" spans="1:5">
      <c r="A1632" t="s">
        <v>30</v>
      </c>
      <c r="B1632" s="11" t="s">
        <v>70</v>
      </c>
      <c r="C1632">
        <v>1003</v>
      </c>
      <c r="D1632" s="9">
        <v>-10691.82</v>
      </c>
      <c r="E1632" t="s">
        <v>59</v>
      </c>
    </row>
    <row r="1633" spans="1:5">
      <c r="A1633" t="s">
        <v>30</v>
      </c>
      <c r="B1633" s="11" t="s">
        <v>71</v>
      </c>
      <c r="C1633">
        <v>1003</v>
      </c>
      <c r="D1633" s="9">
        <v>-13832.38</v>
      </c>
      <c r="E1633" t="s">
        <v>59</v>
      </c>
    </row>
    <row r="1634" spans="1:5">
      <c r="A1634" t="s">
        <v>30</v>
      </c>
      <c r="B1634" s="11" t="s">
        <v>72</v>
      </c>
      <c r="C1634">
        <v>1003</v>
      </c>
      <c r="D1634" s="9">
        <v>-13521.35</v>
      </c>
      <c r="E1634" t="s">
        <v>59</v>
      </c>
    </row>
    <row r="1635" spans="1:5">
      <c r="A1635" t="s">
        <v>30</v>
      </c>
      <c r="B1635" s="11" t="s">
        <v>78</v>
      </c>
      <c r="C1635">
        <v>1003</v>
      </c>
      <c r="D1635" s="9">
        <v>-10302.42</v>
      </c>
      <c r="E1635" t="s">
        <v>59</v>
      </c>
    </row>
    <row r="1636" spans="1:5">
      <c r="A1636" t="s">
        <v>30</v>
      </c>
      <c r="B1636" s="11" t="s">
        <v>73</v>
      </c>
      <c r="C1636">
        <v>1003</v>
      </c>
      <c r="D1636" s="9">
        <v>-11516.38</v>
      </c>
      <c r="E1636" t="s">
        <v>60</v>
      </c>
    </row>
    <row r="1637" spans="1:5">
      <c r="A1637" t="s">
        <v>30</v>
      </c>
      <c r="B1637" s="11" t="s">
        <v>74</v>
      </c>
      <c r="C1637">
        <v>1003</v>
      </c>
      <c r="D1637" s="9">
        <v>-11936.02</v>
      </c>
      <c r="E1637" t="s">
        <v>60</v>
      </c>
    </row>
    <row r="1638" spans="1:5">
      <c r="A1638" t="s">
        <v>31</v>
      </c>
      <c r="B1638" s="11" t="s">
        <v>61</v>
      </c>
      <c r="C1638">
        <v>1003</v>
      </c>
      <c r="D1638" s="9">
        <v>-10771.11</v>
      </c>
      <c r="E1638" t="s">
        <v>56</v>
      </c>
    </row>
    <row r="1639" spans="1:5">
      <c r="A1639" t="s">
        <v>31</v>
      </c>
      <c r="B1639" s="11" t="s">
        <v>62</v>
      </c>
      <c r="C1639">
        <v>1003</v>
      </c>
      <c r="D1639" s="9">
        <v>-7092.66</v>
      </c>
      <c r="E1639" t="s">
        <v>56</v>
      </c>
    </row>
    <row r="1640" spans="1:5">
      <c r="A1640" t="s">
        <v>31</v>
      </c>
      <c r="B1640" s="11" t="s">
        <v>63</v>
      </c>
      <c r="C1640">
        <v>1003</v>
      </c>
      <c r="D1640" s="9">
        <v>-12375.17</v>
      </c>
      <c r="E1640" t="s">
        <v>56</v>
      </c>
    </row>
    <row r="1641" spans="1:5">
      <c r="A1641" t="s">
        <v>31</v>
      </c>
      <c r="B1641" s="11" t="s">
        <v>75</v>
      </c>
      <c r="C1641">
        <v>1003</v>
      </c>
      <c r="D1641" s="9">
        <v>-11900.23</v>
      </c>
      <c r="E1641" t="s">
        <v>56</v>
      </c>
    </row>
    <row r="1642" spans="1:5">
      <c r="A1642" t="s">
        <v>31</v>
      </c>
      <c r="B1642" s="11" t="s">
        <v>64</v>
      </c>
      <c r="C1642">
        <v>1003</v>
      </c>
      <c r="D1642" s="9">
        <v>-11023.73</v>
      </c>
      <c r="E1642" t="s">
        <v>57</v>
      </c>
    </row>
    <row r="1643" spans="1:5">
      <c r="A1643" t="s">
        <v>31</v>
      </c>
      <c r="B1643" s="11" t="s">
        <v>65</v>
      </c>
      <c r="C1643">
        <v>1003</v>
      </c>
      <c r="D1643" s="9">
        <v>-8350.23</v>
      </c>
      <c r="E1643" t="s">
        <v>57</v>
      </c>
    </row>
    <row r="1644" spans="1:5">
      <c r="A1644" t="s">
        <v>31</v>
      </c>
      <c r="B1644" s="11" t="s">
        <v>66</v>
      </c>
      <c r="C1644">
        <v>1003</v>
      </c>
      <c r="D1644" s="9">
        <v>-16037.94</v>
      </c>
      <c r="E1644" t="s">
        <v>57</v>
      </c>
    </row>
    <row r="1645" spans="1:5">
      <c r="A1645" t="s">
        <v>31</v>
      </c>
      <c r="B1645" s="11" t="s">
        <v>67</v>
      </c>
      <c r="C1645">
        <v>1003</v>
      </c>
      <c r="D1645" s="9">
        <v>-7595.4</v>
      </c>
      <c r="E1645" t="s">
        <v>57</v>
      </c>
    </row>
    <row r="1646" spans="1:5">
      <c r="A1646" t="s">
        <v>31</v>
      </c>
      <c r="B1646" s="11" t="s">
        <v>76</v>
      </c>
      <c r="C1646">
        <v>1003</v>
      </c>
      <c r="D1646" s="9">
        <v>-5278.61</v>
      </c>
      <c r="E1646" t="s">
        <v>57</v>
      </c>
    </row>
    <row r="1647" spans="1:5">
      <c r="A1647" t="s">
        <v>31</v>
      </c>
      <c r="B1647" s="11" t="s">
        <v>68</v>
      </c>
      <c r="C1647">
        <v>1003</v>
      </c>
      <c r="D1647" s="9">
        <v>-9288.5</v>
      </c>
      <c r="E1647" t="s">
        <v>58</v>
      </c>
    </row>
    <row r="1648" spans="1:5">
      <c r="A1648" t="s">
        <v>31</v>
      </c>
      <c r="B1648" s="11" t="s">
        <v>69</v>
      </c>
      <c r="C1648">
        <v>1003</v>
      </c>
      <c r="D1648" s="9">
        <v>-8215.26</v>
      </c>
      <c r="E1648" t="s">
        <v>58</v>
      </c>
    </row>
    <row r="1649" spans="1:5">
      <c r="A1649" t="s">
        <v>31</v>
      </c>
      <c r="B1649" s="11" t="s">
        <v>77</v>
      </c>
      <c r="C1649">
        <v>1003</v>
      </c>
      <c r="D1649" s="9">
        <v>-10912.85</v>
      </c>
      <c r="E1649" t="s">
        <v>58</v>
      </c>
    </row>
    <row r="1650" spans="1:5">
      <c r="A1650" t="s">
        <v>31</v>
      </c>
      <c r="B1650" s="11" t="s">
        <v>70</v>
      </c>
      <c r="C1650">
        <v>1003</v>
      </c>
      <c r="D1650" s="9">
        <v>-11062.08</v>
      </c>
      <c r="E1650" t="s">
        <v>59</v>
      </c>
    </row>
    <row r="1651" spans="1:5">
      <c r="A1651" t="s">
        <v>31</v>
      </c>
      <c r="B1651" s="11" t="s">
        <v>71</v>
      </c>
      <c r="C1651">
        <v>1003</v>
      </c>
      <c r="D1651" s="9">
        <v>-14538.46</v>
      </c>
      <c r="E1651" t="s">
        <v>59</v>
      </c>
    </row>
    <row r="1652" spans="1:5">
      <c r="A1652" t="s">
        <v>31</v>
      </c>
      <c r="B1652" s="11" t="s">
        <v>72</v>
      </c>
      <c r="C1652">
        <v>1003</v>
      </c>
      <c r="D1652" s="9">
        <v>-13680.65</v>
      </c>
      <c r="E1652" t="s">
        <v>59</v>
      </c>
    </row>
    <row r="1653" spans="1:5">
      <c r="A1653" t="s">
        <v>31</v>
      </c>
      <c r="B1653" s="11" t="s">
        <v>78</v>
      </c>
      <c r="C1653">
        <v>1003</v>
      </c>
      <c r="D1653" s="9">
        <v>-9569.65</v>
      </c>
      <c r="E1653" t="s">
        <v>59</v>
      </c>
    </row>
    <row r="1654" spans="1:5">
      <c r="A1654" t="s">
        <v>31</v>
      </c>
      <c r="B1654" s="11" t="s">
        <v>73</v>
      </c>
      <c r="C1654">
        <v>1003</v>
      </c>
      <c r="D1654" s="9">
        <v>-11982.98</v>
      </c>
      <c r="E1654" t="s">
        <v>60</v>
      </c>
    </row>
    <row r="1655" spans="1:5">
      <c r="A1655" t="s">
        <v>31</v>
      </c>
      <c r="B1655" s="11" t="s">
        <v>74</v>
      </c>
      <c r="C1655">
        <v>1003</v>
      </c>
      <c r="D1655" s="9">
        <v>-11608.82</v>
      </c>
      <c r="E1655" t="s">
        <v>60</v>
      </c>
    </row>
    <row r="1656" spans="1:5">
      <c r="A1656" t="s">
        <v>32</v>
      </c>
      <c r="B1656" s="11" t="s">
        <v>61</v>
      </c>
      <c r="C1656">
        <v>1003</v>
      </c>
      <c r="D1656" s="9">
        <v>-9960.7199999999993</v>
      </c>
      <c r="E1656" t="s">
        <v>56</v>
      </c>
    </row>
    <row r="1657" spans="1:5">
      <c r="A1657" t="s">
        <v>32</v>
      </c>
      <c r="B1657" s="11" t="s">
        <v>62</v>
      </c>
      <c r="C1657">
        <v>1003</v>
      </c>
      <c r="D1657" s="9">
        <v>-6942.11</v>
      </c>
      <c r="E1657" t="s">
        <v>56</v>
      </c>
    </row>
    <row r="1658" spans="1:5">
      <c r="A1658" t="s">
        <v>32</v>
      </c>
      <c r="B1658" s="11" t="s">
        <v>63</v>
      </c>
      <c r="C1658">
        <v>1003</v>
      </c>
      <c r="D1658" s="9">
        <v>-12574.15</v>
      </c>
      <c r="E1658" t="s">
        <v>56</v>
      </c>
    </row>
    <row r="1659" spans="1:5">
      <c r="A1659" t="s">
        <v>32</v>
      </c>
      <c r="B1659" s="11" t="s">
        <v>75</v>
      </c>
      <c r="C1659">
        <v>1003</v>
      </c>
      <c r="D1659" s="9">
        <v>-12141.26</v>
      </c>
      <c r="E1659" t="s">
        <v>56</v>
      </c>
    </row>
    <row r="1660" spans="1:5">
      <c r="A1660" t="s">
        <v>32</v>
      </c>
      <c r="B1660" s="11" t="s">
        <v>64</v>
      </c>
      <c r="C1660">
        <v>1003</v>
      </c>
      <c r="D1660" s="9">
        <v>-10865.42</v>
      </c>
      <c r="E1660" t="s">
        <v>57</v>
      </c>
    </row>
    <row r="1661" spans="1:5">
      <c r="A1661" t="s">
        <v>32</v>
      </c>
      <c r="B1661" s="11" t="s">
        <v>65</v>
      </c>
      <c r="C1661">
        <v>1003</v>
      </c>
      <c r="D1661" s="9">
        <v>-8200.76</v>
      </c>
      <c r="E1661" t="s">
        <v>57</v>
      </c>
    </row>
    <row r="1662" spans="1:5">
      <c r="A1662" t="s">
        <v>32</v>
      </c>
      <c r="B1662" s="11" t="s">
        <v>66</v>
      </c>
      <c r="C1662">
        <v>1003</v>
      </c>
      <c r="D1662" s="9">
        <v>-14409.72</v>
      </c>
      <c r="E1662" t="s">
        <v>57</v>
      </c>
    </row>
    <row r="1663" spans="1:5">
      <c r="A1663" t="s">
        <v>32</v>
      </c>
      <c r="B1663" s="11" t="s">
        <v>67</v>
      </c>
      <c r="C1663">
        <v>1003</v>
      </c>
      <c r="D1663" s="9">
        <v>-7579.83</v>
      </c>
      <c r="E1663" t="s">
        <v>57</v>
      </c>
    </row>
    <row r="1664" spans="1:5">
      <c r="A1664" t="s">
        <v>32</v>
      </c>
      <c r="B1664" s="11" t="s">
        <v>76</v>
      </c>
      <c r="C1664">
        <v>1003</v>
      </c>
      <c r="D1664" s="9">
        <v>-5295.06</v>
      </c>
      <c r="E1664" t="s">
        <v>57</v>
      </c>
    </row>
    <row r="1665" spans="1:5">
      <c r="A1665" t="s">
        <v>32</v>
      </c>
      <c r="B1665" s="11" t="s">
        <v>68</v>
      </c>
      <c r="C1665">
        <v>1003</v>
      </c>
      <c r="D1665" s="9">
        <v>-9324.2000000000007</v>
      </c>
      <c r="E1665" t="s">
        <v>58</v>
      </c>
    </row>
    <row r="1666" spans="1:5">
      <c r="A1666" t="s">
        <v>32</v>
      </c>
      <c r="B1666" s="11" t="s">
        <v>69</v>
      </c>
      <c r="C1666">
        <v>1003</v>
      </c>
      <c r="D1666" s="9">
        <v>-8179.95</v>
      </c>
      <c r="E1666" t="s">
        <v>58</v>
      </c>
    </row>
    <row r="1667" spans="1:5">
      <c r="A1667" t="s">
        <v>32</v>
      </c>
      <c r="B1667" s="11" t="s">
        <v>77</v>
      </c>
      <c r="C1667">
        <v>1003</v>
      </c>
      <c r="D1667" s="9">
        <v>-10828.63</v>
      </c>
      <c r="E1667" t="s">
        <v>58</v>
      </c>
    </row>
    <row r="1668" spans="1:5">
      <c r="A1668" t="s">
        <v>32</v>
      </c>
      <c r="B1668" s="11" t="s">
        <v>70</v>
      </c>
      <c r="C1668">
        <v>1003</v>
      </c>
      <c r="D1668" s="9">
        <v>-10906.74</v>
      </c>
      <c r="E1668" t="s">
        <v>59</v>
      </c>
    </row>
    <row r="1669" spans="1:5">
      <c r="A1669" t="s">
        <v>32</v>
      </c>
      <c r="B1669" s="11" t="s">
        <v>71</v>
      </c>
      <c r="C1669">
        <v>1003</v>
      </c>
      <c r="D1669" s="9">
        <v>-14214.01</v>
      </c>
      <c r="E1669" t="s">
        <v>59</v>
      </c>
    </row>
    <row r="1670" spans="1:5">
      <c r="A1670" t="s">
        <v>32</v>
      </c>
      <c r="B1670" s="11" t="s">
        <v>72</v>
      </c>
      <c r="C1670">
        <v>1003</v>
      </c>
      <c r="D1670" s="9">
        <v>-13931.84</v>
      </c>
      <c r="E1670" t="s">
        <v>59</v>
      </c>
    </row>
    <row r="1671" spans="1:5">
      <c r="A1671" t="s">
        <v>32</v>
      </c>
      <c r="B1671" s="11" t="s">
        <v>78</v>
      </c>
      <c r="C1671">
        <v>1003</v>
      </c>
      <c r="D1671" s="9">
        <v>-9892.67</v>
      </c>
      <c r="E1671" t="s">
        <v>59</v>
      </c>
    </row>
    <row r="1672" spans="1:5">
      <c r="A1672" t="s">
        <v>32</v>
      </c>
      <c r="B1672" s="11" t="s">
        <v>73</v>
      </c>
      <c r="C1672">
        <v>1003</v>
      </c>
      <c r="D1672" s="9">
        <v>-12516.74</v>
      </c>
      <c r="E1672" t="s">
        <v>60</v>
      </c>
    </row>
    <row r="1673" spans="1:5">
      <c r="A1673" t="s">
        <v>32</v>
      </c>
      <c r="B1673" s="11" t="s">
        <v>74</v>
      </c>
      <c r="C1673">
        <v>1003</v>
      </c>
      <c r="D1673" s="9">
        <v>-10741.19</v>
      </c>
      <c r="E1673" t="s">
        <v>60</v>
      </c>
    </row>
    <row r="1674" spans="1:5">
      <c r="A1674" t="s">
        <v>33</v>
      </c>
      <c r="B1674" s="11" t="s">
        <v>61</v>
      </c>
      <c r="C1674">
        <v>1003</v>
      </c>
      <c r="D1674" s="9">
        <v>-11250</v>
      </c>
      <c r="E1674" t="s">
        <v>56</v>
      </c>
    </row>
    <row r="1675" spans="1:5">
      <c r="A1675" t="s">
        <v>33</v>
      </c>
      <c r="B1675" s="11" t="s">
        <v>62</v>
      </c>
      <c r="C1675">
        <v>1003</v>
      </c>
      <c r="D1675" s="9">
        <v>-7393.36</v>
      </c>
      <c r="E1675" t="s">
        <v>56</v>
      </c>
    </row>
    <row r="1676" spans="1:5">
      <c r="A1676" t="s">
        <v>33</v>
      </c>
      <c r="B1676" s="11" t="s">
        <v>63</v>
      </c>
      <c r="C1676">
        <v>1003</v>
      </c>
      <c r="D1676" s="9">
        <v>-12646.81</v>
      </c>
      <c r="E1676" t="s">
        <v>56</v>
      </c>
    </row>
    <row r="1677" spans="1:5">
      <c r="A1677" t="s">
        <v>33</v>
      </c>
      <c r="B1677" s="11" t="s">
        <v>75</v>
      </c>
      <c r="C1677">
        <v>1003</v>
      </c>
      <c r="D1677" s="9">
        <v>-13310.91</v>
      </c>
      <c r="E1677" t="s">
        <v>56</v>
      </c>
    </row>
    <row r="1678" spans="1:5">
      <c r="A1678" t="s">
        <v>33</v>
      </c>
      <c r="B1678" s="11" t="s">
        <v>64</v>
      </c>
      <c r="C1678">
        <v>1003</v>
      </c>
      <c r="D1678" s="9">
        <v>-12337.26</v>
      </c>
      <c r="E1678" t="s">
        <v>57</v>
      </c>
    </row>
    <row r="1679" spans="1:5">
      <c r="A1679" t="s">
        <v>33</v>
      </c>
      <c r="B1679" s="11" t="s">
        <v>65</v>
      </c>
      <c r="C1679">
        <v>1003</v>
      </c>
      <c r="D1679" s="9">
        <v>-10064.15</v>
      </c>
      <c r="E1679" t="s">
        <v>57</v>
      </c>
    </row>
    <row r="1680" spans="1:5">
      <c r="A1680" t="s">
        <v>33</v>
      </c>
      <c r="B1680" s="11" t="s">
        <v>66</v>
      </c>
      <c r="C1680">
        <v>1003</v>
      </c>
      <c r="D1680" s="9">
        <v>-20222.93</v>
      </c>
      <c r="E1680" t="s">
        <v>57</v>
      </c>
    </row>
    <row r="1681" spans="1:5">
      <c r="A1681" t="s">
        <v>33</v>
      </c>
      <c r="B1681" s="11" t="s">
        <v>67</v>
      </c>
      <c r="C1681">
        <v>1003</v>
      </c>
      <c r="D1681" s="9">
        <v>-8333.3700000000008</v>
      </c>
      <c r="E1681" t="s">
        <v>57</v>
      </c>
    </row>
    <row r="1682" spans="1:5">
      <c r="A1682" t="s">
        <v>33</v>
      </c>
      <c r="B1682" s="11" t="s">
        <v>76</v>
      </c>
      <c r="C1682">
        <v>1003</v>
      </c>
      <c r="D1682" s="9">
        <v>-6148.39</v>
      </c>
      <c r="E1682" t="s">
        <v>57</v>
      </c>
    </row>
    <row r="1683" spans="1:5">
      <c r="A1683" t="s">
        <v>33</v>
      </c>
      <c r="B1683" s="11" t="s">
        <v>68</v>
      </c>
      <c r="C1683">
        <v>1003</v>
      </c>
      <c r="D1683" s="9">
        <v>-10589.38</v>
      </c>
      <c r="E1683" t="s">
        <v>58</v>
      </c>
    </row>
    <row r="1684" spans="1:5">
      <c r="A1684" t="s">
        <v>33</v>
      </c>
      <c r="B1684" s="11" t="s">
        <v>69</v>
      </c>
      <c r="C1684">
        <v>1003</v>
      </c>
      <c r="D1684" s="9">
        <v>-9348.2999999999993</v>
      </c>
      <c r="E1684" t="s">
        <v>58</v>
      </c>
    </row>
    <row r="1685" spans="1:5">
      <c r="A1685" t="s">
        <v>33</v>
      </c>
      <c r="B1685" s="11" t="s">
        <v>77</v>
      </c>
      <c r="C1685">
        <v>1003</v>
      </c>
      <c r="D1685" s="9">
        <v>-13167.5</v>
      </c>
      <c r="E1685" t="s">
        <v>58</v>
      </c>
    </row>
    <row r="1686" spans="1:5">
      <c r="A1686" t="s">
        <v>33</v>
      </c>
      <c r="B1686" s="11" t="s">
        <v>70</v>
      </c>
      <c r="C1686">
        <v>1003</v>
      </c>
      <c r="D1686" s="9">
        <v>-12795.41</v>
      </c>
      <c r="E1686" t="s">
        <v>59</v>
      </c>
    </row>
    <row r="1687" spans="1:5">
      <c r="A1687" t="s">
        <v>33</v>
      </c>
      <c r="B1687" s="11" t="s">
        <v>71</v>
      </c>
      <c r="C1687">
        <v>1003</v>
      </c>
      <c r="D1687" s="9">
        <v>-14871.48</v>
      </c>
      <c r="E1687" t="s">
        <v>59</v>
      </c>
    </row>
    <row r="1688" spans="1:5">
      <c r="A1688" t="s">
        <v>33</v>
      </c>
      <c r="B1688" s="11" t="s">
        <v>72</v>
      </c>
      <c r="C1688">
        <v>1003</v>
      </c>
      <c r="D1688" s="9">
        <v>-16281.81</v>
      </c>
      <c r="E1688" t="s">
        <v>59</v>
      </c>
    </row>
    <row r="1689" spans="1:5">
      <c r="A1689" t="s">
        <v>33</v>
      </c>
      <c r="B1689" s="11" t="s">
        <v>78</v>
      </c>
      <c r="C1689">
        <v>1003</v>
      </c>
      <c r="D1689" s="9">
        <v>-12933.54</v>
      </c>
      <c r="E1689" t="s">
        <v>59</v>
      </c>
    </row>
    <row r="1690" spans="1:5">
      <c r="A1690" t="s">
        <v>33</v>
      </c>
      <c r="B1690" s="11" t="s">
        <v>73</v>
      </c>
      <c r="C1690">
        <v>1003</v>
      </c>
      <c r="D1690" s="9">
        <v>-13948.63</v>
      </c>
      <c r="E1690" t="s">
        <v>60</v>
      </c>
    </row>
    <row r="1691" spans="1:5">
      <c r="A1691" t="s">
        <v>33</v>
      </c>
      <c r="B1691" s="11" t="s">
        <v>74</v>
      </c>
      <c r="C1691">
        <v>1003</v>
      </c>
      <c r="D1691" s="9">
        <v>-12293.39</v>
      </c>
      <c r="E1691" t="s">
        <v>60</v>
      </c>
    </row>
    <row r="1692" spans="1:5">
      <c r="A1692" t="s">
        <v>34</v>
      </c>
      <c r="B1692" s="11" t="s">
        <v>61</v>
      </c>
      <c r="C1692">
        <v>1003</v>
      </c>
      <c r="D1692" s="9">
        <v>-11240.76</v>
      </c>
      <c r="E1692" t="s">
        <v>56</v>
      </c>
    </row>
    <row r="1693" spans="1:5">
      <c r="A1693" t="s">
        <v>34</v>
      </c>
      <c r="B1693" s="11" t="s">
        <v>62</v>
      </c>
      <c r="C1693">
        <v>1003</v>
      </c>
      <c r="D1693" s="9">
        <v>-10248.43</v>
      </c>
      <c r="E1693" t="s">
        <v>56</v>
      </c>
    </row>
    <row r="1694" spans="1:5">
      <c r="A1694" t="s">
        <v>34</v>
      </c>
      <c r="B1694" s="11" t="s">
        <v>63</v>
      </c>
      <c r="C1694">
        <v>1003</v>
      </c>
      <c r="D1694" s="9">
        <v>-11966.63</v>
      </c>
      <c r="E1694" t="s">
        <v>56</v>
      </c>
    </row>
    <row r="1695" spans="1:5">
      <c r="A1695" t="s">
        <v>34</v>
      </c>
      <c r="B1695" s="11" t="s">
        <v>64</v>
      </c>
      <c r="C1695">
        <v>1003</v>
      </c>
      <c r="D1695" s="9">
        <v>-11344.69</v>
      </c>
      <c r="E1695" t="s">
        <v>57</v>
      </c>
    </row>
    <row r="1696" spans="1:5">
      <c r="A1696" t="s">
        <v>34</v>
      </c>
      <c r="B1696" s="11" t="s">
        <v>65</v>
      </c>
      <c r="C1696">
        <v>1003</v>
      </c>
      <c r="D1696" s="9">
        <v>-9432.0300000000007</v>
      </c>
      <c r="E1696" t="s">
        <v>57</v>
      </c>
    </row>
    <row r="1697" spans="1:5">
      <c r="A1697" t="s">
        <v>34</v>
      </c>
      <c r="B1697" s="11" t="s">
        <v>66</v>
      </c>
      <c r="C1697">
        <v>1003</v>
      </c>
      <c r="D1697" s="9">
        <v>-19656.349999999999</v>
      </c>
      <c r="E1697" t="s">
        <v>57</v>
      </c>
    </row>
    <row r="1698" spans="1:5">
      <c r="A1698" t="s">
        <v>34</v>
      </c>
      <c r="B1698" s="11" t="s">
        <v>67</v>
      </c>
      <c r="C1698">
        <v>1003</v>
      </c>
      <c r="D1698" s="9">
        <v>-7867.57</v>
      </c>
      <c r="E1698" t="s">
        <v>57</v>
      </c>
    </row>
    <row r="1699" spans="1:5">
      <c r="A1699" t="s">
        <v>34</v>
      </c>
      <c r="B1699" s="11" t="s">
        <v>76</v>
      </c>
      <c r="C1699">
        <v>1003</v>
      </c>
      <c r="D1699" s="9">
        <v>-6174.89</v>
      </c>
      <c r="E1699" t="s">
        <v>57</v>
      </c>
    </row>
    <row r="1700" spans="1:5">
      <c r="A1700" t="s">
        <v>34</v>
      </c>
      <c r="B1700" s="11" t="s">
        <v>68</v>
      </c>
      <c r="C1700">
        <v>1003</v>
      </c>
      <c r="D1700" s="9">
        <v>-10336.66</v>
      </c>
      <c r="E1700" t="s">
        <v>58</v>
      </c>
    </row>
    <row r="1701" spans="1:5">
      <c r="A1701" t="s">
        <v>34</v>
      </c>
      <c r="B1701" s="11" t="s">
        <v>69</v>
      </c>
      <c r="C1701">
        <v>1003</v>
      </c>
      <c r="D1701" s="9">
        <v>-9499.6299999999992</v>
      </c>
      <c r="E1701" t="s">
        <v>58</v>
      </c>
    </row>
    <row r="1702" spans="1:5">
      <c r="A1702" t="s">
        <v>34</v>
      </c>
      <c r="B1702" s="11" t="s">
        <v>77</v>
      </c>
      <c r="C1702">
        <v>1003</v>
      </c>
      <c r="D1702" s="9">
        <v>-12257.04</v>
      </c>
      <c r="E1702" t="s">
        <v>58</v>
      </c>
    </row>
    <row r="1703" spans="1:5">
      <c r="A1703" t="s">
        <v>34</v>
      </c>
      <c r="B1703" s="11" t="s">
        <v>70</v>
      </c>
      <c r="C1703">
        <v>1003</v>
      </c>
      <c r="D1703" s="9">
        <v>-11728.26</v>
      </c>
      <c r="E1703" t="s">
        <v>59</v>
      </c>
    </row>
    <row r="1704" spans="1:5">
      <c r="A1704" t="s">
        <v>34</v>
      </c>
      <c r="B1704" s="11" t="s">
        <v>71</v>
      </c>
      <c r="C1704">
        <v>1003</v>
      </c>
      <c r="D1704" s="9">
        <v>-14731.7</v>
      </c>
      <c r="E1704" t="s">
        <v>59</v>
      </c>
    </row>
    <row r="1705" spans="1:5">
      <c r="A1705" t="s">
        <v>34</v>
      </c>
      <c r="B1705" s="11" t="s">
        <v>72</v>
      </c>
      <c r="C1705">
        <v>1003</v>
      </c>
      <c r="D1705" s="9">
        <v>-14733.22</v>
      </c>
      <c r="E1705" t="s">
        <v>59</v>
      </c>
    </row>
    <row r="1706" spans="1:5">
      <c r="A1706" t="s">
        <v>34</v>
      </c>
      <c r="B1706" s="11" t="s">
        <v>78</v>
      </c>
      <c r="C1706">
        <v>1003</v>
      </c>
      <c r="D1706" s="9">
        <v>-11284.1</v>
      </c>
      <c r="E1706" t="s">
        <v>59</v>
      </c>
    </row>
    <row r="1707" spans="1:5">
      <c r="A1707" t="s">
        <v>34</v>
      </c>
      <c r="B1707" s="11" t="s">
        <v>73</v>
      </c>
      <c r="C1707">
        <v>1003</v>
      </c>
      <c r="D1707" s="9">
        <v>-12833.28</v>
      </c>
      <c r="E1707" t="s">
        <v>60</v>
      </c>
    </row>
    <row r="1708" spans="1:5">
      <c r="A1708" t="s">
        <v>34</v>
      </c>
      <c r="B1708" s="11" t="s">
        <v>74</v>
      </c>
      <c r="C1708">
        <v>1003</v>
      </c>
      <c r="D1708" s="9">
        <v>-12895.58</v>
      </c>
      <c r="E1708" t="s">
        <v>60</v>
      </c>
    </row>
    <row r="1709" spans="1:5">
      <c r="A1709" t="s">
        <v>35</v>
      </c>
      <c r="B1709" s="11" t="s">
        <v>61</v>
      </c>
      <c r="C1709">
        <v>1003</v>
      </c>
      <c r="D1709" s="9">
        <v>-11074.17</v>
      </c>
      <c r="E1709" t="s">
        <v>56</v>
      </c>
    </row>
    <row r="1710" spans="1:5">
      <c r="A1710" t="s">
        <v>35</v>
      </c>
      <c r="B1710" s="11" t="s">
        <v>62</v>
      </c>
      <c r="C1710">
        <v>1003</v>
      </c>
      <c r="D1710" s="9">
        <v>-9487.81</v>
      </c>
      <c r="E1710" t="s">
        <v>56</v>
      </c>
    </row>
    <row r="1711" spans="1:5">
      <c r="A1711" t="s">
        <v>35</v>
      </c>
      <c r="B1711" s="11" t="s">
        <v>63</v>
      </c>
      <c r="C1711">
        <v>1003</v>
      </c>
      <c r="D1711" s="9">
        <v>-12629.84</v>
      </c>
      <c r="E1711" t="s">
        <v>56</v>
      </c>
    </row>
    <row r="1712" spans="1:5">
      <c r="A1712" t="s">
        <v>35</v>
      </c>
      <c r="B1712" s="11" t="s">
        <v>75</v>
      </c>
      <c r="C1712">
        <v>1003</v>
      </c>
      <c r="D1712" s="9">
        <v>-9112.86</v>
      </c>
      <c r="E1712" t="s">
        <v>56</v>
      </c>
    </row>
    <row r="1713" spans="1:5">
      <c r="A1713" t="s">
        <v>35</v>
      </c>
      <c r="B1713" s="11" t="s">
        <v>64</v>
      </c>
      <c r="C1713">
        <v>1003</v>
      </c>
      <c r="D1713" s="9">
        <v>-12145.83</v>
      </c>
      <c r="E1713" t="s">
        <v>57</v>
      </c>
    </row>
    <row r="1714" spans="1:5">
      <c r="A1714" t="s">
        <v>35</v>
      </c>
      <c r="B1714" s="11" t="s">
        <v>65</v>
      </c>
      <c r="C1714">
        <v>1003</v>
      </c>
      <c r="D1714" s="9">
        <v>-9618.56</v>
      </c>
      <c r="E1714" t="s">
        <v>57</v>
      </c>
    </row>
    <row r="1715" spans="1:5">
      <c r="A1715" t="s">
        <v>35</v>
      </c>
      <c r="B1715" s="11" t="s">
        <v>66</v>
      </c>
      <c r="C1715">
        <v>1003</v>
      </c>
      <c r="D1715" s="9">
        <v>-19807.810000000001</v>
      </c>
      <c r="E1715" t="s">
        <v>57</v>
      </c>
    </row>
    <row r="1716" spans="1:5">
      <c r="A1716" t="s">
        <v>35</v>
      </c>
      <c r="B1716" s="11" t="s">
        <v>67</v>
      </c>
      <c r="C1716">
        <v>1003</v>
      </c>
      <c r="D1716" s="9">
        <v>-8059.59</v>
      </c>
      <c r="E1716" t="s">
        <v>57</v>
      </c>
    </row>
    <row r="1717" spans="1:5">
      <c r="A1717" t="s">
        <v>35</v>
      </c>
      <c r="B1717" s="11" t="s">
        <v>76</v>
      </c>
      <c r="C1717">
        <v>1003</v>
      </c>
      <c r="D1717" s="9">
        <v>-6221.71</v>
      </c>
      <c r="E1717" t="s">
        <v>57</v>
      </c>
    </row>
    <row r="1718" spans="1:5">
      <c r="A1718" t="s">
        <v>35</v>
      </c>
      <c r="B1718" s="11" t="s">
        <v>68</v>
      </c>
      <c r="C1718">
        <v>1003</v>
      </c>
      <c r="D1718" s="9">
        <v>-10686.62</v>
      </c>
      <c r="E1718" t="s">
        <v>58</v>
      </c>
    </row>
    <row r="1719" spans="1:5">
      <c r="A1719" t="s">
        <v>35</v>
      </c>
      <c r="B1719" s="11" t="s">
        <v>69</v>
      </c>
      <c r="C1719">
        <v>1003</v>
      </c>
      <c r="D1719" s="9">
        <v>-8877.52</v>
      </c>
      <c r="E1719" t="s">
        <v>58</v>
      </c>
    </row>
    <row r="1720" spans="1:5">
      <c r="A1720" t="s">
        <v>35</v>
      </c>
      <c r="B1720" s="11" t="s">
        <v>77</v>
      </c>
      <c r="C1720">
        <v>1003</v>
      </c>
      <c r="D1720" s="9">
        <v>-12394.68</v>
      </c>
      <c r="E1720" t="s">
        <v>58</v>
      </c>
    </row>
    <row r="1721" spans="1:5">
      <c r="A1721" t="s">
        <v>35</v>
      </c>
      <c r="B1721" s="11" t="s">
        <v>70</v>
      </c>
      <c r="C1721">
        <v>1003</v>
      </c>
      <c r="D1721" s="9">
        <v>-12508.14</v>
      </c>
      <c r="E1721" t="s">
        <v>59</v>
      </c>
    </row>
    <row r="1722" spans="1:5">
      <c r="A1722" t="s">
        <v>35</v>
      </c>
      <c r="B1722" s="11" t="s">
        <v>71</v>
      </c>
      <c r="C1722">
        <v>1003</v>
      </c>
      <c r="D1722" s="9">
        <v>-14878.76</v>
      </c>
      <c r="E1722" t="s">
        <v>59</v>
      </c>
    </row>
    <row r="1723" spans="1:5">
      <c r="A1723" t="s">
        <v>35</v>
      </c>
      <c r="B1723" s="11" t="s">
        <v>72</v>
      </c>
      <c r="C1723">
        <v>1003</v>
      </c>
      <c r="D1723" s="9">
        <v>-14998.45</v>
      </c>
      <c r="E1723" t="s">
        <v>59</v>
      </c>
    </row>
    <row r="1724" spans="1:5">
      <c r="A1724" t="s">
        <v>35</v>
      </c>
      <c r="B1724" s="11" t="s">
        <v>78</v>
      </c>
      <c r="C1724">
        <v>1003</v>
      </c>
      <c r="D1724" s="9">
        <v>-11632.84</v>
      </c>
      <c r="E1724" t="s">
        <v>59</v>
      </c>
    </row>
    <row r="1725" spans="1:5">
      <c r="A1725" t="s">
        <v>35</v>
      </c>
      <c r="B1725" s="11" t="s">
        <v>73</v>
      </c>
      <c r="C1725">
        <v>1003</v>
      </c>
      <c r="D1725" s="9">
        <v>-13319.2</v>
      </c>
      <c r="E1725" t="s">
        <v>60</v>
      </c>
    </row>
    <row r="1726" spans="1:5">
      <c r="A1726" t="s">
        <v>35</v>
      </c>
      <c r="B1726" s="11" t="s">
        <v>74</v>
      </c>
      <c r="C1726">
        <v>1003</v>
      </c>
      <c r="D1726" s="9">
        <v>-13514.66</v>
      </c>
      <c r="E1726" t="s">
        <v>60</v>
      </c>
    </row>
    <row r="1727" spans="1:5">
      <c r="A1727" t="s">
        <v>36</v>
      </c>
      <c r="B1727" s="11" t="s">
        <v>61</v>
      </c>
      <c r="C1727">
        <v>1003</v>
      </c>
      <c r="D1727" s="9">
        <v>-10005.450000000001</v>
      </c>
      <c r="E1727" t="s">
        <v>56</v>
      </c>
    </row>
    <row r="1728" spans="1:5">
      <c r="A1728" t="s">
        <v>36</v>
      </c>
      <c r="B1728" s="11" t="s">
        <v>62</v>
      </c>
      <c r="C1728">
        <v>1003</v>
      </c>
      <c r="D1728" s="9">
        <v>-7179</v>
      </c>
      <c r="E1728" t="s">
        <v>56</v>
      </c>
    </row>
    <row r="1729" spans="1:5">
      <c r="A1729" t="s">
        <v>36</v>
      </c>
      <c r="B1729" s="11" t="s">
        <v>63</v>
      </c>
      <c r="C1729">
        <v>1003</v>
      </c>
      <c r="D1729" s="9">
        <v>-12636.51</v>
      </c>
      <c r="E1729" t="s">
        <v>56</v>
      </c>
    </row>
    <row r="1730" spans="1:5">
      <c r="A1730" t="s">
        <v>36</v>
      </c>
      <c r="B1730" s="11" t="s">
        <v>75</v>
      </c>
      <c r="C1730">
        <v>1003</v>
      </c>
      <c r="D1730" s="9">
        <v>-10390.18</v>
      </c>
      <c r="E1730" t="s">
        <v>56</v>
      </c>
    </row>
    <row r="1731" spans="1:5">
      <c r="A1731" t="s">
        <v>36</v>
      </c>
      <c r="B1731" s="11" t="s">
        <v>64</v>
      </c>
      <c r="C1731">
        <v>1003</v>
      </c>
      <c r="D1731" s="9">
        <v>-11210.29</v>
      </c>
      <c r="E1731" t="s">
        <v>57</v>
      </c>
    </row>
    <row r="1732" spans="1:5">
      <c r="A1732" t="s">
        <v>36</v>
      </c>
      <c r="B1732" s="11" t="s">
        <v>65</v>
      </c>
      <c r="C1732">
        <v>1003</v>
      </c>
      <c r="D1732" s="9">
        <v>-7424.03</v>
      </c>
      <c r="E1732" t="s">
        <v>57</v>
      </c>
    </row>
    <row r="1733" spans="1:5">
      <c r="A1733" t="s">
        <v>36</v>
      </c>
      <c r="B1733" s="11" t="s">
        <v>66</v>
      </c>
      <c r="C1733">
        <v>1003</v>
      </c>
      <c r="D1733" s="9">
        <v>-17042.349999999999</v>
      </c>
      <c r="E1733" t="s">
        <v>57</v>
      </c>
    </row>
    <row r="1734" spans="1:5">
      <c r="A1734" t="s">
        <v>36</v>
      </c>
      <c r="B1734" s="11" t="s">
        <v>67</v>
      </c>
      <c r="C1734">
        <v>1003</v>
      </c>
      <c r="D1734" s="9">
        <v>-7437.38</v>
      </c>
      <c r="E1734" t="s">
        <v>57</v>
      </c>
    </row>
    <row r="1735" spans="1:5">
      <c r="A1735" t="s">
        <v>36</v>
      </c>
      <c r="B1735" s="11" t="s">
        <v>76</v>
      </c>
      <c r="C1735">
        <v>1003</v>
      </c>
      <c r="D1735" s="9">
        <v>-5320.61</v>
      </c>
      <c r="E1735" t="s">
        <v>57</v>
      </c>
    </row>
    <row r="1736" spans="1:5">
      <c r="A1736" t="s">
        <v>36</v>
      </c>
      <c r="B1736" s="11" t="s">
        <v>68</v>
      </c>
      <c r="C1736">
        <v>1003</v>
      </c>
      <c r="D1736" s="9">
        <v>-9275.1</v>
      </c>
      <c r="E1736" t="s">
        <v>58</v>
      </c>
    </row>
    <row r="1737" spans="1:5">
      <c r="A1737" t="s">
        <v>36</v>
      </c>
      <c r="B1737" s="11" t="s">
        <v>69</v>
      </c>
      <c r="C1737">
        <v>1003</v>
      </c>
      <c r="D1737" s="9">
        <v>-8133.44</v>
      </c>
      <c r="E1737" t="s">
        <v>58</v>
      </c>
    </row>
    <row r="1738" spans="1:5">
      <c r="A1738" t="s">
        <v>36</v>
      </c>
      <c r="B1738" s="11" t="s">
        <v>77</v>
      </c>
      <c r="C1738">
        <v>1003</v>
      </c>
      <c r="D1738" s="9">
        <v>-10951.43</v>
      </c>
      <c r="E1738" t="s">
        <v>58</v>
      </c>
    </row>
    <row r="1739" spans="1:5">
      <c r="A1739" t="s">
        <v>36</v>
      </c>
      <c r="B1739" s="11" t="s">
        <v>70</v>
      </c>
      <c r="C1739">
        <v>1003</v>
      </c>
      <c r="D1739" s="9">
        <v>-10691.82</v>
      </c>
      <c r="E1739" t="s">
        <v>59</v>
      </c>
    </row>
    <row r="1740" spans="1:5">
      <c r="A1740" t="s">
        <v>36</v>
      </c>
      <c r="B1740" s="11" t="s">
        <v>71</v>
      </c>
      <c r="C1740">
        <v>1003</v>
      </c>
      <c r="D1740" s="9">
        <v>-13832.38</v>
      </c>
      <c r="E1740" t="s">
        <v>59</v>
      </c>
    </row>
    <row r="1741" spans="1:5">
      <c r="A1741" t="s">
        <v>36</v>
      </c>
      <c r="B1741" s="11" t="s">
        <v>72</v>
      </c>
      <c r="C1741">
        <v>1003</v>
      </c>
      <c r="D1741" s="9">
        <v>-13521.35</v>
      </c>
      <c r="E1741" t="s">
        <v>59</v>
      </c>
    </row>
    <row r="1742" spans="1:5">
      <c r="A1742" t="s">
        <v>36</v>
      </c>
      <c r="B1742" s="11" t="s">
        <v>78</v>
      </c>
      <c r="C1742">
        <v>1003</v>
      </c>
      <c r="D1742" s="9">
        <v>-10302.42</v>
      </c>
      <c r="E1742" t="s">
        <v>59</v>
      </c>
    </row>
    <row r="1743" spans="1:5">
      <c r="A1743" t="s">
        <v>36</v>
      </c>
      <c r="B1743" s="11" t="s">
        <v>73</v>
      </c>
      <c r="C1743">
        <v>1003</v>
      </c>
      <c r="D1743" s="9">
        <v>-11516.38</v>
      </c>
      <c r="E1743" t="s">
        <v>60</v>
      </c>
    </row>
    <row r="1744" spans="1:5">
      <c r="A1744" t="s">
        <v>36</v>
      </c>
      <c r="B1744" s="11" t="s">
        <v>74</v>
      </c>
      <c r="C1744">
        <v>1003</v>
      </c>
      <c r="D1744" s="9">
        <v>-11936.02</v>
      </c>
      <c r="E1744" t="s">
        <v>60</v>
      </c>
    </row>
    <row r="1745" spans="1:5">
      <c r="A1745" t="s">
        <v>37</v>
      </c>
      <c r="B1745" s="11" t="s">
        <v>61</v>
      </c>
      <c r="C1745">
        <v>1003</v>
      </c>
      <c r="D1745" s="9">
        <v>-10771.11</v>
      </c>
      <c r="E1745" t="s">
        <v>56</v>
      </c>
    </row>
    <row r="1746" spans="1:5">
      <c r="A1746" t="s">
        <v>37</v>
      </c>
      <c r="B1746" s="11" t="s">
        <v>62</v>
      </c>
      <c r="C1746">
        <v>1003</v>
      </c>
      <c r="D1746" s="9">
        <v>-7092.66</v>
      </c>
      <c r="E1746" t="s">
        <v>56</v>
      </c>
    </row>
    <row r="1747" spans="1:5">
      <c r="A1747" t="s">
        <v>37</v>
      </c>
      <c r="B1747" s="11" t="s">
        <v>63</v>
      </c>
      <c r="C1747">
        <v>1003</v>
      </c>
      <c r="D1747" s="9">
        <v>-12375.17</v>
      </c>
      <c r="E1747" t="s">
        <v>56</v>
      </c>
    </row>
    <row r="1748" spans="1:5">
      <c r="A1748" t="s">
        <v>37</v>
      </c>
      <c r="B1748" s="11" t="s">
        <v>75</v>
      </c>
      <c r="C1748">
        <v>1003</v>
      </c>
      <c r="D1748" s="9">
        <v>-11900.23</v>
      </c>
      <c r="E1748" t="s">
        <v>56</v>
      </c>
    </row>
    <row r="1749" spans="1:5">
      <c r="A1749" t="s">
        <v>37</v>
      </c>
      <c r="B1749" s="11" t="s">
        <v>64</v>
      </c>
      <c r="C1749">
        <v>1003</v>
      </c>
      <c r="D1749" s="9">
        <v>-11023.73</v>
      </c>
      <c r="E1749" t="s">
        <v>57</v>
      </c>
    </row>
    <row r="1750" spans="1:5">
      <c r="A1750" t="s">
        <v>37</v>
      </c>
      <c r="B1750" s="11" t="s">
        <v>65</v>
      </c>
      <c r="C1750">
        <v>1003</v>
      </c>
      <c r="D1750" s="9">
        <v>-8350.23</v>
      </c>
      <c r="E1750" t="s">
        <v>57</v>
      </c>
    </row>
    <row r="1751" spans="1:5">
      <c r="A1751" t="s">
        <v>37</v>
      </c>
      <c r="B1751" s="11" t="s">
        <v>66</v>
      </c>
      <c r="C1751">
        <v>1003</v>
      </c>
      <c r="D1751" s="9">
        <v>-16037.94</v>
      </c>
      <c r="E1751" t="s">
        <v>57</v>
      </c>
    </row>
    <row r="1752" spans="1:5">
      <c r="A1752" t="s">
        <v>37</v>
      </c>
      <c r="B1752" s="11" t="s">
        <v>67</v>
      </c>
      <c r="C1752">
        <v>1003</v>
      </c>
      <c r="D1752" s="9">
        <v>-7595.4</v>
      </c>
      <c r="E1752" t="s">
        <v>57</v>
      </c>
    </row>
    <row r="1753" spans="1:5">
      <c r="A1753" t="s">
        <v>37</v>
      </c>
      <c r="B1753" s="11" t="s">
        <v>76</v>
      </c>
      <c r="C1753">
        <v>1003</v>
      </c>
      <c r="D1753" s="9">
        <v>-5278.61</v>
      </c>
      <c r="E1753" t="s">
        <v>57</v>
      </c>
    </row>
    <row r="1754" spans="1:5">
      <c r="A1754" t="s">
        <v>37</v>
      </c>
      <c r="B1754" s="11" t="s">
        <v>68</v>
      </c>
      <c r="C1754">
        <v>1003</v>
      </c>
      <c r="D1754" s="9">
        <v>-9288.5</v>
      </c>
      <c r="E1754" t="s">
        <v>58</v>
      </c>
    </row>
    <row r="1755" spans="1:5">
      <c r="A1755" t="s">
        <v>37</v>
      </c>
      <c r="B1755" s="11" t="s">
        <v>69</v>
      </c>
      <c r="C1755">
        <v>1003</v>
      </c>
      <c r="D1755" s="9">
        <v>-8215.26</v>
      </c>
      <c r="E1755" t="s">
        <v>58</v>
      </c>
    </row>
    <row r="1756" spans="1:5">
      <c r="A1756" t="s">
        <v>37</v>
      </c>
      <c r="B1756" s="11" t="s">
        <v>77</v>
      </c>
      <c r="C1756">
        <v>1003</v>
      </c>
      <c r="D1756" s="9">
        <v>-10912.85</v>
      </c>
      <c r="E1756" t="s">
        <v>58</v>
      </c>
    </row>
    <row r="1757" spans="1:5">
      <c r="A1757" t="s">
        <v>37</v>
      </c>
      <c r="B1757" s="11" t="s">
        <v>70</v>
      </c>
      <c r="C1757">
        <v>1003</v>
      </c>
      <c r="D1757" s="9">
        <v>-11062.08</v>
      </c>
      <c r="E1757" t="s">
        <v>59</v>
      </c>
    </row>
    <row r="1758" spans="1:5">
      <c r="A1758" t="s">
        <v>37</v>
      </c>
      <c r="B1758" s="11" t="s">
        <v>71</v>
      </c>
      <c r="C1758">
        <v>1003</v>
      </c>
      <c r="D1758" s="9">
        <v>-14538.46</v>
      </c>
      <c r="E1758" t="s">
        <v>59</v>
      </c>
    </row>
    <row r="1759" spans="1:5">
      <c r="A1759" t="s">
        <v>37</v>
      </c>
      <c r="B1759" s="11" t="s">
        <v>72</v>
      </c>
      <c r="C1759">
        <v>1003</v>
      </c>
      <c r="D1759" s="9">
        <v>-13680.65</v>
      </c>
      <c r="E1759" t="s">
        <v>59</v>
      </c>
    </row>
    <row r="1760" spans="1:5">
      <c r="A1760" t="s">
        <v>37</v>
      </c>
      <c r="B1760" s="11" t="s">
        <v>78</v>
      </c>
      <c r="C1760">
        <v>1003</v>
      </c>
      <c r="D1760" s="9">
        <v>-9569.65</v>
      </c>
      <c r="E1760" t="s">
        <v>59</v>
      </c>
    </row>
    <row r="1761" spans="1:5">
      <c r="A1761" t="s">
        <v>37</v>
      </c>
      <c r="B1761" s="11" t="s">
        <v>73</v>
      </c>
      <c r="C1761">
        <v>1003</v>
      </c>
      <c r="D1761" s="9">
        <v>-11982.98</v>
      </c>
      <c r="E1761" t="s">
        <v>60</v>
      </c>
    </row>
    <row r="1762" spans="1:5">
      <c r="A1762" t="s">
        <v>37</v>
      </c>
      <c r="B1762" s="11" t="s">
        <v>74</v>
      </c>
      <c r="C1762">
        <v>1003</v>
      </c>
      <c r="D1762" s="9">
        <v>-11608.82</v>
      </c>
      <c r="E1762" t="s">
        <v>60</v>
      </c>
    </row>
    <row r="1763" spans="1:5">
      <c r="A1763" t="s">
        <v>38</v>
      </c>
      <c r="B1763" s="11" t="s">
        <v>61</v>
      </c>
      <c r="C1763">
        <v>1003</v>
      </c>
      <c r="D1763" s="9">
        <v>-9960.7199999999993</v>
      </c>
      <c r="E1763" t="s">
        <v>56</v>
      </c>
    </row>
    <row r="1764" spans="1:5">
      <c r="A1764" t="s">
        <v>38</v>
      </c>
      <c r="B1764" s="11" t="s">
        <v>62</v>
      </c>
      <c r="C1764">
        <v>1003</v>
      </c>
      <c r="D1764" s="9">
        <v>-6942.11</v>
      </c>
      <c r="E1764" t="s">
        <v>56</v>
      </c>
    </row>
    <row r="1765" spans="1:5">
      <c r="A1765" t="s">
        <v>38</v>
      </c>
      <c r="B1765" s="11" t="s">
        <v>63</v>
      </c>
      <c r="C1765">
        <v>1003</v>
      </c>
      <c r="D1765" s="9">
        <v>-12574.15</v>
      </c>
      <c r="E1765" t="s">
        <v>56</v>
      </c>
    </row>
    <row r="1766" spans="1:5">
      <c r="A1766" t="s">
        <v>38</v>
      </c>
      <c r="B1766" s="11" t="s">
        <v>75</v>
      </c>
      <c r="C1766">
        <v>1003</v>
      </c>
      <c r="D1766" s="9">
        <v>-12141.26</v>
      </c>
      <c r="E1766" t="s">
        <v>56</v>
      </c>
    </row>
    <row r="1767" spans="1:5">
      <c r="A1767" t="s">
        <v>38</v>
      </c>
      <c r="B1767" s="11" t="s">
        <v>64</v>
      </c>
      <c r="C1767">
        <v>1003</v>
      </c>
      <c r="D1767" s="9">
        <v>-10865.42</v>
      </c>
      <c r="E1767" t="s">
        <v>57</v>
      </c>
    </row>
    <row r="1768" spans="1:5">
      <c r="A1768" t="s">
        <v>38</v>
      </c>
      <c r="B1768" s="11" t="s">
        <v>65</v>
      </c>
      <c r="C1768">
        <v>1003</v>
      </c>
      <c r="D1768" s="9">
        <v>-8200.76</v>
      </c>
      <c r="E1768" t="s">
        <v>57</v>
      </c>
    </row>
    <row r="1769" spans="1:5">
      <c r="A1769" t="s">
        <v>38</v>
      </c>
      <c r="B1769" s="11" t="s">
        <v>66</v>
      </c>
      <c r="C1769">
        <v>1003</v>
      </c>
      <c r="D1769" s="9">
        <v>-14409.72</v>
      </c>
      <c r="E1769" t="s">
        <v>57</v>
      </c>
    </row>
    <row r="1770" spans="1:5">
      <c r="A1770" t="s">
        <v>38</v>
      </c>
      <c r="B1770" s="11" t="s">
        <v>67</v>
      </c>
      <c r="C1770">
        <v>1003</v>
      </c>
      <c r="D1770" s="9">
        <v>-7579.83</v>
      </c>
      <c r="E1770" t="s">
        <v>57</v>
      </c>
    </row>
    <row r="1771" spans="1:5">
      <c r="A1771" t="s">
        <v>38</v>
      </c>
      <c r="B1771" s="11" t="s">
        <v>76</v>
      </c>
      <c r="C1771">
        <v>1003</v>
      </c>
      <c r="D1771" s="9">
        <v>-5295.06</v>
      </c>
      <c r="E1771" t="s">
        <v>57</v>
      </c>
    </row>
    <row r="1772" spans="1:5">
      <c r="A1772" t="s">
        <v>38</v>
      </c>
      <c r="B1772" s="11" t="s">
        <v>68</v>
      </c>
      <c r="C1772">
        <v>1003</v>
      </c>
      <c r="D1772" s="9">
        <v>-9324.2000000000007</v>
      </c>
      <c r="E1772" t="s">
        <v>58</v>
      </c>
    </row>
    <row r="1773" spans="1:5">
      <c r="A1773" t="s">
        <v>38</v>
      </c>
      <c r="B1773" s="11" t="s">
        <v>69</v>
      </c>
      <c r="C1773">
        <v>1003</v>
      </c>
      <c r="D1773" s="9">
        <v>-8179.95</v>
      </c>
      <c r="E1773" t="s">
        <v>58</v>
      </c>
    </row>
    <row r="1774" spans="1:5">
      <c r="A1774" t="s">
        <v>38</v>
      </c>
      <c r="B1774" s="11" t="s">
        <v>77</v>
      </c>
      <c r="C1774">
        <v>1003</v>
      </c>
      <c r="D1774" s="9">
        <v>-10828.63</v>
      </c>
      <c r="E1774" t="s">
        <v>58</v>
      </c>
    </row>
    <row r="1775" spans="1:5">
      <c r="A1775" t="s">
        <v>38</v>
      </c>
      <c r="B1775" s="11" t="s">
        <v>70</v>
      </c>
      <c r="C1775">
        <v>1003</v>
      </c>
      <c r="D1775" s="9">
        <v>-10906.74</v>
      </c>
      <c r="E1775" t="s">
        <v>59</v>
      </c>
    </row>
    <row r="1776" spans="1:5">
      <c r="A1776" t="s">
        <v>38</v>
      </c>
      <c r="B1776" s="11" t="s">
        <v>71</v>
      </c>
      <c r="C1776">
        <v>1003</v>
      </c>
      <c r="D1776" s="9">
        <v>-14214.01</v>
      </c>
      <c r="E1776" t="s">
        <v>59</v>
      </c>
    </row>
    <row r="1777" spans="1:5">
      <c r="A1777" t="s">
        <v>38</v>
      </c>
      <c r="B1777" s="11" t="s">
        <v>72</v>
      </c>
      <c r="C1777">
        <v>1003</v>
      </c>
      <c r="D1777" s="9">
        <v>-13931.84</v>
      </c>
      <c r="E1777" t="s">
        <v>59</v>
      </c>
    </row>
    <row r="1778" spans="1:5">
      <c r="A1778" t="s">
        <v>38</v>
      </c>
      <c r="B1778" s="11" t="s">
        <v>78</v>
      </c>
      <c r="C1778">
        <v>1003</v>
      </c>
      <c r="D1778" s="9">
        <v>-9892.67</v>
      </c>
      <c r="E1778" t="s">
        <v>59</v>
      </c>
    </row>
    <row r="1779" spans="1:5">
      <c r="A1779" t="s">
        <v>38</v>
      </c>
      <c r="B1779" s="11" t="s">
        <v>73</v>
      </c>
      <c r="C1779">
        <v>1003</v>
      </c>
      <c r="D1779" s="9">
        <v>-12516.74</v>
      </c>
      <c r="E1779" t="s">
        <v>60</v>
      </c>
    </row>
    <row r="1780" spans="1:5">
      <c r="A1780" t="s">
        <v>38</v>
      </c>
      <c r="B1780" s="11" t="s">
        <v>74</v>
      </c>
      <c r="C1780">
        <v>1003</v>
      </c>
      <c r="D1780" s="9">
        <v>-10741.19</v>
      </c>
      <c r="E1780" t="s">
        <v>60</v>
      </c>
    </row>
    <row r="1781" spans="1:5">
      <c r="A1781" t="s">
        <v>39</v>
      </c>
      <c r="B1781" s="11" t="s">
        <v>61</v>
      </c>
      <c r="C1781">
        <v>1003</v>
      </c>
      <c r="D1781" s="9">
        <v>-10363.66</v>
      </c>
      <c r="E1781" t="s">
        <v>56</v>
      </c>
    </row>
    <row r="1782" spans="1:5">
      <c r="A1782" t="s">
        <v>39</v>
      </c>
      <c r="B1782" s="11" t="s">
        <v>62</v>
      </c>
      <c r="C1782">
        <v>1003</v>
      </c>
      <c r="D1782" s="9">
        <v>-7674.64</v>
      </c>
      <c r="E1782" t="s">
        <v>56</v>
      </c>
    </row>
    <row r="1783" spans="1:5">
      <c r="A1783" t="s">
        <v>39</v>
      </c>
      <c r="B1783" s="11" t="s">
        <v>63</v>
      </c>
      <c r="C1783">
        <v>1003</v>
      </c>
      <c r="D1783" s="9">
        <v>-11877.52</v>
      </c>
      <c r="E1783" t="s">
        <v>56</v>
      </c>
    </row>
    <row r="1784" spans="1:5">
      <c r="A1784" t="s">
        <v>39</v>
      </c>
      <c r="B1784" s="11" t="s">
        <v>75</v>
      </c>
      <c r="C1784">
        <v>1003</v>
      </c>
      <c r="D1784" s="9">
        <v>-13110.98</v>
      </c>
      <c r="E1784" t="s">
        <v>56</v>
      </c>
    </row>
    <row r="1785" spans="1:5">
      <c r="A1785" t="s">
        <v>39</v>
      </c>
      <c r="B1785" s="11" t="s">
        <v>64</v>
      </c>
      <c r="C1785">
        <v>1003</v>
      </c>
      <c r="D1785" s="9">
        <v>-11687.09</v>
      </c>
      <c r="E1785" t="s">
        <v>57</v>
      </c>
    </row>
    <row r="1786" spans="1:5">
      <c r="A1786" t="s">
        <v>39</v>
      </c>
      <c r="B1786" s="11" t="s">
        <v>65</v>
      </c>
      <c r="C1786">
        <v>1003</v>
      </c>
      <c r="D1786" s="9">
        <v>-8706.11</v>
      </c>
      <c r="E1786" t="s">
        <v>57</v>
      </c>
    </row>
    <row r="1787" spans="1:5">
      <c r="A1787" t="s">
        <v>39</v>
      </c>
      <c r="B1787" s="11" t="s">
        <v>66</v>
      </c>
      <c r="C1787">
        <v>1003</v>
      </c>
      <c r="D1787" s="9">
        <v>-16808.68</v>
      </c>
      <c r="E1787" t="s">
        <v>57</v>
      </c>
    </row>
    <row r="1788" spans="1:5">
      <c r="A1788" t="s">
        <v>39</v>
      </c>
      <c r="B1788" s="11" t="s">
        <v>67</v>
      </c>
      <c r="C1788">
        <v>1003</v>
      </c>
      <c r="D1788" s="9">
        <v>-8386.24</v>
      </c>
      <c r="E1788" t="s">
        <v>57</v>
      </c>
    </row>
    <row r="1789" spans="1:5">
      <c r="A1789" t="s">
        <v>39</v>
      </c>
      <c r="B1789" s="11" t="s">
        <v>76</v>
      </c>
      <c r="C1789">
        <v>1003</v>
      </c>
      <c r="D1789" s="9">
        <v>-5473.32</v>
      </c>
      <c r="E1789" t="s">
        <v>57</v>
      </c>
    </row>
    <row r="1790" spans="1:5">
      <c r="A1790" t="s">
        <v>39</v>
      </c>
      <c r="B1790" s="11" t="s">
        <v>68</v>
      </c>
      <c r="C1790">
        <v>1003</v>
      </c>
      <c r="D1790" s="9">
        <v>-9839.66</v>
      </c>
      <c r="E1790" t="s">
        <v>58</v>
      </c>
    </row>
    <row r="1791" spans="1:5">
      <c r="A1791" t="s">
        <v>39</v>
      </c>
      <c r="B1791" s="11" t="s">
        <v>69</v>
      </c>
      <c r="C1791">
        <v>1003</v>
      </c>
      <c r="D1791" s="9">
        <v>-8952.15</v>
      </c>
      <c r="E1791" t="s">
        <v>58</v>
      </c>
    </row>
    <row r="1792" spans="1:5">
      <c r="A1792" t="s">
        <v>39</v>
      </c>
      <c r="B1792" s="11" t="s">
        <v>77</v>
      </c>
      <c r="C1792">
        <v>1003</v>
      </c>
      <c r="D1792" s="9">
        <v>-11828.06</v>
      </c>
      <c r="E1792" t="s">
        <v>58</v>
      </c>
    </row>
    <row r="1793" spans="1:5">
      <c r="A1793" t="s">
        <v>39</v>
      </c>
      <c r="B1793" s="11" t="s">
        <v>70</v>
      </c>
      <c r="C1793">
        <v>1003</v>
      </c>
      <c r="D1793" s="9">
        <v>-11961.41</v>
      </c>
      <c r="E1793" t="s">
        <v>59</v>
      </c>
    </row>
    <row r="1794" spans="1:5">
      <c r="A1794" t="s">
        <v>39</v>
      </c>
      <c r="B1794" s="11" t="s">
        <v>71</v>
      </c>
      <c r="C1794">
        <v>1003</v>
      </c>
      <c r="D1794" s="9">
        <v>-15119.1</v>
      </c>
      <c r="E1794" t="s">
        <v>59</v>
      </c>
    </row>
    <row r="1795" spans="1:5">
      <c r="A1795" t="s">
        <v>39</v>
      </c>
      <c r="B1795" s="11" t="s">
        <v>72</v>
      </c>
      <c r="C1795">
        <v>1003</v>
      </c>
      <c r="D1795" s="9">
        <v>-15059.69</v>
      </c>
      <c r="E1795" t="s">
        <v>59</v>
      </c>
    </row>
    <row r="1796" spans="1:5">
      <c r="A1796" t="s">
        <v>39</v>
      </c>
      <c r="B1796" s="11" t="s">
        <v>78</v>
      </c>
      <c r="C1796">
        <v>1003</v>
      </c>
      <c r="D1796" s="9">
        <v>-10492.28</v>
      </c>
      <c r="E1796" t="s">
        <v>59</v>
      </c>
    </row>
    <row r="1797" spans="1:5">
      <c r="A1797" t="s">
        <v>39</v>
      </c>
      <c r="B1797" s="11" t="s">
        <v>73</v>
      </c>
      <c r="C1797">
        <v>1003</v>
      </c>
      <c r="D1797" s="9">
        <v>-13292.98</v>
      </c>
      <c r="E1797" t="s">
        <v>60</v>
      </c>
    </row>
    <row r="1798" spans="1:5">
      <c r="A1798" t="s">
        <v>39</v>
      </c>
      <c r="B1798" s="11" t="s">
        <v>74</v>
      </c>
      <c r="C1798">
        <v>1003</v>
      </c>
      <c r="D1798" s="9">
        <v>-11912.12</v>
      </c>
      <c r="E1798" t="s">
        <v>60</v>
      </c>
    </row>
    <row r="1799" spans="1:5">
      <c r="A1799" t="s">
        <v>28</v>
      </c>
      <c r="B1799" s="11" t="s">
        <v>61</v>
      </c>
      <c r="C1799">
        <v>1004</v>
      </c>
      <c r="D1799" s="9">
        <v>-9554.65</v>
      </c>
      <c r="E1799" t="s">
        <v>56</v>
      </c>
    </row>
    <row r="1800" spans="1:5">
      <c r="A1800" t="s">
        <v>28</v>
      </c>
      <c r="B1800" s="11" t="s">
        <v>62</v>
      </c>
      <c r="C1800">
        <v>1004</v>
      </c>
      <c r="D1800" s="9">
        <v>-8711.17</v>
      </c>
      <c r="E1800" t="s">
        <v>56</v>
      </c>
    </row>
    <row r="1801" spans="1:5">
      <c r="A1801" t="s">
        <v>28</v>
      </c>
      <c r="B1801" s="11" t="s">
        <v>63</v>
      </c>
      <c r="C1801">
        <v>1004</v>
      </c>
      <c r="D1801" s="9">
        <v>-10171.64</v>
      </c>
      <c r="E1801" t="s">
        <v>56</v>
      </c>
    </row>
    <row r="1802" spans="1:5">
      <c r="A1802" t="s">
        <v>28</v>
      </c>
      <c r="B1802" s="11" t="s">
        <v>64</v>
      </c>
      <c r="C1802">
        <v>1004</v>
      </c>
      <c r="D1802" s="9">
        <v>-9642.98</v>
      </c>
      <c r="E1802" t="s">
        <v>57</v>
      </c>
    </row>
    <row r="1803" spans="1:5">
      <c r="A1803" t="s">
        <v>28</v>
      </c>
      <c r="B1803" s="11" t="s">
        <v>65</v>
      </c>
      <c r="C1803">
        <v>1004</v>
      </c>
      <c r="D1803" s="9">
        <v>-8017.23</v>
      </c>
      <c r="E1803" t="s">
        <v>57</v>
      </c>
    </row>
    <row r="1804" spans="1:5">
      <c r="A1804" t="s">
        <v>28</v>
      </c>
      <c r="B1804" s="11" t="s">
        <v>66</v>
      </c>
      <c r="C1804">
        <v>1004</v>
      </c>
      <c r="D1804" s="9">
        <v>-16707.900000000001</v>
      </c>
      <c r="E1804" t="s">
        <v>57</v>
      </c>
    </row>
    <row r="1805" spans="1:5">
      <c r="A1805" t="s">
        <v>28</v>
      </c>
      <c r="B1805" s="11" t="s">
        <v>67</v>
      </c>
      <c r="C1805">
        <v>1004</v>
      </c>
      <c r="D1805" s="9">
        <v>-6687.43</v>
      </c>
      <c r="E1805" t="s">
        <v>57</v>
      </c>
    </row>
    <row r="1806" spans="1:5">
      <c r="A1806" t="s">
        <v>28</v>
      </c>
      <c r="B1806" s="11" t="s">
        <v>76</v>
      </c>
      <c r="C1806">
        <v>1004</v>
      </c>
      <c r="D1806" s="9">
        <v>-5248.65</v>
      </c>
      <c r="E1806" t="s">
        <v>57</v>
      </c>
    </row>
    <row r="1807" spans="1:5">
      <c r="A1807" t="s">
        <v>28</v>
      </c>
      <c r="B1807" s="11" t="s">
        <v>68</v>
      </c>
      <c r="C1807">
        <v>1004</v>
      </c>
      <c r="D1807" s="9">
        <v>-8786.17</v>
      </c>
      <c r="E1807" t="s">
        <v>58</v>
      </c>
    </row>
    <row r="1808" spans="1:5">
      <c r="A1808" t="s">
        <v>28</v>
      </c>
      <c r="B1808" s="11" t="s">
        <v>69</v>
      </c>
      <c r="C1808">
        <v>1004</v>
      </c>
      <c r="D1808" s="9">
        <v>-8074.69</v>
      </c>
      <c r="E1808" t="s">
        <v>58</v>
      </c>
    </row>
    <row r="1809" spans="1:5">
      <c r="A1809" t="s">
        <v>28</v>
      </c>
      <c r="B1809" s="11" t="s">
        <v>77</v>
      </c>
      <c r="C1809">
        <v>1004</v>
      </c>
      <c r="D1809" s="9">
        <v>-10418.48</v>
      </c>
      <c r="E1809" t="s">
        <v>58</v>
      </c>
    </row>
    <row r="1810" spans="1:5">
      <c r="A1810" t="s">
        <v>28</v>
      </c>
      <c r="B1810" s="11" t="s">
        <v>70</v>
      </c>
      <c r="C1810">
        <v>1004</v>
      </c>
      <c r="D1810" s="9">
        <v>-9969.02</v>
      </c>
      <c r="E1810" t="s">
        <v>59</v>
      </c>
    </row>
    <row r="1811" spans="1:5">
      <c r="A1811" t="s">
        <v>28</v>
      </c>
      <c r="B1811" s="11" t="s">
        <v>71</v>
      </c>
      <c r="C1811">
        <v>1004</v>
      </c>
      <c r="D1811" s="9">
        <v>-12521.95</v>
      </c>
      <c r="E1811" t="s">
        <v>59</v>
      </c>
    </row>
    <row r="1812" spans="1:5">
      <c r="A1812" t="s">
        <v>28</v>
      </c>
      <c r="B1812" s="11" t="s">
        <v>72</v>
      </c>
      <c r="C1812">
        <v>1004</v>
      </c>
      <c r="D1812" s="9">
        <v>-12523.24</v>
      </c>
      <c r="E1812" t="s">
        <v>59</v>
      </c>
    </row>
    <row r="1813" spans="1:5">
      <c r="A1813" t="s">
        <v>28</v>
      </c>
      <c r="B1813" s="11" t="s">
        <v>78</v>
      </c>
      <c r="C1813">
        <v>1004</v>
      </c>
      <c r="D1813" s="9">
        <v>-9591.49</v>
      </c>
      <c r="E1813" t="s">
        <v>59</v>
      </c>
    </row>
    <row r="1814" spans="1:5">
      <c r="A1814" t="s">
        <v>28</v>
      </c>
      <c r="B1814" s="11" t="s">
        <v>73</v>
      </c>
      <c r="C1814">
        <v>1004</v>
      </c>
      <c r="D1814" s="9">
        <v>-10908.29</v>
      </c>
      <c r="E1814" t="s">
        <v>60</v>
      </c>
    </row>
    <row r="1815" spans="1:5">
      <c r="A1815" t="s">
        <v>28</v>
      </c>
      <c r="B1815" s="11" t="s">
        <v>74</v>
      </c>
      <c r="C1815">
        <v>1004</v>
      </c>
      <c r="D1815" s="9">
        <v>-10961.25</v>
      </c>
      <c r="E1815" t="s">
        <v>60</v>
      </c>
    </row>
    <row r="1816" spans="1:5">
      <c r="A1816" t="s">
        <v>29</v>
      </c>
      <c r="B1816" s="11" t="s">
        <v>61</v>
      </c>
      <c r="C1816">
        <v>1004</v>
      </c>
      <c r="D1816" s="9">
        <v>-9413.0400000000009</v>
      </c>
      <c r="E1816" t="s">
        <v>56</v>
      </c>
    </row>
    <row r="1817" spans="1:5">
      <c r="A1817" t="s">
        <v>29</v>
      </c>
      <c r="B1817" s="11" t="s">
        <v>62</v>
      </c>
      <c r="C1817">
        <v>1004</v>
      </c>
      <c r="D1817" s="9">
        <v>-8064.64</v>
      </c>
      <c r="E1817" t="s">
        <v>56</v>
      </c>
    </row>
    <row r="1818" spans="1:5">
      <c r="A1818" t="s">
        <v>29</v>
      </c>
      <c r="B1818" s="11" t="s">
        <v>63</v>
      </c>
      <c r="C1818">
        <v>1004</v>
      </c>
      <c r="D1818" s="9">
        <v>-10735.36</v>
      </c>
      <c r="E1818" t="s">
        <v>56</v>
      </c>
    </row>
    <row r="1819" spans="1:5">
      <c r="A1819" t="s">
        <v>29</v>
      </c>
      <c r="B1819" s="11" t="s">
        <v>75</v>
      </c>
      <c r="C1819">
        <v>1004</v>
      </c>
      <c r="D1819" s="9">
        <v>-7745.93</v>
      </c>
      <c r="E1819" t="s">
        <v>56</v>
      </c>
    </row>
    <row r="1820" spans="1:5">
      <c r="A1820" t="s">
        <v>29</v>
      </c>
      <c r="B1820" s="11" t="s">
        <v>64</v>
      </c>
      <c r="C1820">
        <v>1004</v>
      </c>
      <c r="D1820" s="9">
        <v>-10323.950000000001</v>
      </c>
      <c r="E1820" t="s">
        <v>57</v>
      </c>
    </row>
    <row r="1821" spans="1:5">
      <c r="A1821" t="s">
        <v>29</v>
      </c>
      <c r="B1821" s="11" t="s">
        <v>65</v>
      </c>
      <c r="C1821">
        <v>1004</v>
      </c>
      <c r="D1821" s="9">
        <v>-8175.78</v>
      </c>
      <c r="E1821" t="s">
        <v>57</v>
      </c>
    </row>
    <row r="1822" spans="1:5">
      <c r="A1822" t="s">
        <v>29</v>
      </c>
      <c r="B1822" s="11" t="s">
        <v>66</v>
      </c>
      <c r="C1822">
        <v>1004</v>
      </c>
      <c r="D1822" s="9">
        <v>-16836.64</v>
      </c>
      <c r="E1822" t="s">
        <v>57</v>
      </c>
    </row>
    <row r="1823" spans="1:5">
      <c r="A1823" t="s">
        <v>29</v>
      </c>
      <c r="B1823" s="11" t="s">
        <v>67</v>
      </c>
      <c r="C1823">
        <v>1004</v>
      </c>
      <c r="D1823" s="9">
        <v>-6850.65</v>
      </c>
      <c r="E1823" t="s">
        <v>57</v>
      </c>
    </row>
    <row r="1824" spans="1:5">
      <c r="A1824" t="s">
        <v>29</v>
      </c>
      <c r="B1824" s="11" t="s">
        <v>76</v>
      </c>
      <c r="C1824">
        <v>1004</v>
      </c>
      <c r="D1824" s="9">
        <v>-5288.45</v>
      </c>
      <c r="E1824" t="s">
        <v>57</v>
      </c>
    </row>
    <row r="1825" spans="1:5">
      <c r="A1825" t="s">
        <v>29</v>
      </c>
      <c r="B1825" s="11" t="s">
        <v>68</v>
      </c>
      <c r="C1825">
        <v>1004</v>
      </c>
      <c r="D1825" s="9">
        <v>-9083.6299999999992</v>
      </c>
      <c r="E1825" t="s">
        <v>58</v>
      </c>
    </row>
    <row r="1826" spans="1:5">
      <c r="A1826" t="s">
        <v>29</v>
      </c>
      <c r="B1826" s="11" t="s">
        <v>69</v>
      </c>
      <c r="C1826">
        <v>1004</v>
      </c>
      <c r="D1826" s="9">
        <v>-7545.89</v>
      </c>
      <c r="E1826" t="s">
        <v>58</v>
      </c>
    </row>
    <row r="1827" spans="1:5">
      <c r="A1827" t="s">
        <v>29</v>
      </c>
      <c r="B1827" s="11" t="s">
        <v>77</v>
      </c>
      <c r="C1827">
        <v>1004</v>
      </c>
      <c r="D1827" s="9">
        <v>-10535.48</v>
      </c>
      <c r="E1827" t="s">
        <v>58</v>
      </c>
    </row>
    <row r="1828" spans="1:5">
      <c r="A1828" t="s">
        <v>29</v>
      </c>
      <c r="B1828" s="11" t="s">
        <v>70</v>
      </c>
      <c r="C1828">
        <v>1004</v>
      </c>
      <c r="D1828" s="9">
        <v>-10631.92</v>
      </c>
      <c r="E1828" t="s">
        <v>59</v>
      </c>
    </row>
    <row r="1829" spans="1:5">
      <c r="A1829" t="s">
        <v>29</v>
      </c>
      <c r="B1829" s="11" t="s">
        <v>71</v>
      </c>
      <c r="C1829">
        <v>1004</v>
      </c>
      <c r="D1829" s="9">
        <v>-12646.95</v>
      </c>
      <c r="E1829" t="s">
        <v>59</v>
      </c>
    </row>
    <row r="1830" spans="1:5">
      <c r="A1830" t="s">
        <v>29</v>
      </c>
      <c r="B1830" s="11" t="s">
        <v>72</v>
      </c>
      <c r="C1830">
        <v>1004</v>
      </c>
      <c r="D1830" s="9">
        <v>-12748.68</v>
      </c>
      <c r="E1830" t="s">
        <v>59</v>
      </c>
    </row>
    <row r="1831" spans="1:5">
      <c r="A1831" t="s">
        <v>29</v>
      </c>
      <c r="B1831" s="11" t="s">
        <v>78</v>
      </c>
      <c r="C1831">
        <v>1004</v>
      </c>
      <c r="D1831" s="9">
        <v>-9887.91</v>
      </c>
      <c r="E1831" t="s">
        <v>59</v>
      </c>
    </row>
    <row r="1832" spans="1:5">
      <c r="A1832" t="s">
        <v>29</v>
      </c>
      <c r="B1832" s="11" t="s">
        <v>73</v>
      </c>
      <c r="C1832">
        <v>1004</v>
      </c>
      <c r="D1832" s="9">
        <v>-11321.32</v>
      </c>
      <c r="E1832" t="s">
        <v>60</v>
      </c>
    </row>
    <row r="1833" spans="1:5">
      <c r="A1833" t="s">
        <v>29</v>
      </c>
      <c r="B1833" s="11" t="s">
        <v>74</v>
      </c>
      <c r="C1833">
        <v>1004</v>
      </c>
      <c r="D1833" s="9">
        <v>-11487.46</v>
      </c>
      <c r="E1833" t="s">
        <v>60</v>
      </c>
    </row>
    <row r="1834" spans="1:5">
      <c r="A1834" t="s">
        <v>30</v>
      </c>
      <c r="B1834" s="11" t="s">
        <v>61</v>
      </c>
      <c r="C1834">
        <v>1004</v>
      </c>
      <c r="D1834" s="9">
        <v>-8504.6299999999992</v>
      </c>
      <c r="E1834" t="s">
        <v>56</v>
      </c>
    </row>
    <row r="1835" spans="1:5">
      <c r="A1835" t="s">
        <v>30</v>
      </c>
      <c r="B1835" s="11" t="s">
        <v>62</v>
      </c>
      <c r="C1835">
        <v>1004</v>
      </c>
      <c r="D1835" s="9">
        <v>-6102.15</v>
      </c>
      <c r="E1835" t="s">
        <v>56</v>
      </c>
    </row>
    <row r="1836" spans="1:5">
      <c r="A1836" t="s">
        <v>30</v>
      </c>
      <c r="B1836" s="11" t="s">
        <v>63</v>
      </c>
      <c r="C1836">
        <v>1004</v>
      </c>
      <c r="D1836" s="9">
        <v>-10741.03</v>
      </c>
      <c r="E1836" t="s">
        <v>56</v>
      </c>
    </row>
    <row r="1837" spans="1:5">
      <c r="A1837" t="s">
        <v>30</v>
      </c>
      <c r="B1837" s="11" t="s">
        <v>75</v>
      </c>
      <c r="C1837">
        <v>1004</v>
      </c>
      <c r="D1837" s="9">
        <v>-8831.65</v>
      </c>
      <c r="E1837" t="s">
        <v>56</v>
      </c>
    </row>
    <row r="1838" spans="1:5">
      <c r="A1838" t="s">
        <v>30</v>
      </c>
      <c r="B1838" s="11" t="s">
        <v>64</v>
      </c>
      <c r="C1838">
        <v>1004</v>
      </c>
      <c r="D1838" s="9">
        <v>-9528.75</v>
      </c>
      <c r="E1838" t="s">
        <v>57</v>
      </c>
    </row>
    <row r="1839" spans="1:5">
      <c r="A1839" t="s">
        <v>30</v>
      </c>
      <c r="B1839" s="11" t="s">
        <v>65</v>
      </c>
      <c r="C1839">
        <v>1004</v>
      </c>
      <c r="D1839" s="9">
        <v>-6310.43</v>
      </c>
      <c r="E1839" t="s">
        <v>57</v>
      </c>
    </row>
    <row r="1840" spans="1:5">
      <c r="A1840" t="s">
        <v>30</v>
      </c>
      <c r="B1840" s="11" t="s">
        <v>66</v>
      </c>
      <c r="C1840">
        <v>1004</v>
      </c>
      <c r="D1840" s="9">
        <v>-14486</v>
      </c>
      <c r="E1840" t="s">
        <v>57</v>
      </c>
    </row>
    <row r="1841" spans="1:5">
      <c r="A1841" t="s">
        <v>30</v>
      </c>
      <c r="B1841" s="11" t="s">
        <v>67</v>
      </c>
      <c r="C1841">
        <v>1004</v>
      </c>
      <c r="D1841" s="9">
        <v>-6321.77</v>
      </c>
      <c r="E1841" t="s">
        <v>57</v>
      </c>
    </row>
    <row r="1842" spans="1:5">
      <c r="A1842" t="s">
        <v>30</v>
      </c>
      <c r="B1842" s="11" t="s">
        <v>76</v>
      </c>
      <c r="C1842">
        <v>1004</v>
      </c>
      <c r="D1842" s="9">
        <v>-4522.5200000000004</v>
      </c>
      <c r="E1842" t="s">
        <v>57</v>
      </c>
    </row>
    <row r="1843" spans="1:5">
      <c r="A1843" t="s">
        <v>30</v>
      </c>
      <c r="B1843" s="11" t="s">
        <v>68</v>
      </c>
      <c r="C1843">
        <v>1004</v>
      </c>
      <c r="D1843" s="9">
        <v>-7883.84</v>
      </c>
      <c r="E1843" t="s">
        <v>58</v>
      </c>
    </row>
    <row r="1844" spans="1:5">
      <c r="A1844" t="s">
        <v>30</v>
      </c>
      <c r="B1844" s="11" t="s">
        <v>69</v>
      </c>
      <c r="C1844">
        <v>1004</v>
      </c>
      <c r="D1844" s="9">
        <v>-6913.43</v>
      </c>
      <c r="E1844" t="s">
        <v>58</v>
      </c>
    </row>
    <row r="1845" spans="1:5">
      <c r="A1845" t="s">
        <v>30</v>
      </c>
      <c r="B1845" s="11" t="s">
        <v>77</v>
      </c>
      <c r="C1845">
        <v>1004</v>
      </c>
      <c r="D1845" s="9">
        <v>-9308.7199999999993</v>
      </c>
      <c r="E1845" t="s">
        <v>58</v>
      </c>
    </row>
    <row r="1846" spans="1:5">
      <c r="A1846" t="s">
        <v>30</v>
      </c>
      <c r="B1846" s="11" t="s">
        <v>70</v>
      </c>
      <c r="C1846">
        <v>1004</v>
      </c>
      <c r="D1846" s="9">
        <v>-9088.0400000000009</v>
      </c>
      <c r="E1846" t="s">
        <v>59</v>
      </c>
    </row>
    <row r="1847" spans="1:5">
      <c r="A1847" t="s">
        <v>30</v>
      </c>
      <c r="B1847" s="11" t="s">
        <v>71</v>
      </c>
      <c r="C1847">
        <v>1004</v>
      </c>
      <c r="D1847" s="9">
        <v>-11757.52</v>
      </c>
      <c r="E1847" t="s">
        <v>59</v>
      </c>
    </row>
    <row r="1848" spans="1:5">
      <c r="A1848" t="s">
        <v>30</v>
      </c>
      <c r="B1848" s="11" t="s">
        <v>72</v>
      </c>
      <c r="C1848">
        <v>1004</v>
      </c>
      <c r="D1848" s="9">
        <v>-11493.15</v>
      </c>
      <c r="E1848" t="s">
        <v>59</v>
      </c>
    </row>
    <row r="1849" spans="1:5">
      <c r="A1849" t="s">
        <v>30</v>
      </c>
      <c r="B1849" s="11" t="s">
        <v>78</v>
      </c>
      <c r="C1849">
        <v>1004</v>
      </c>
      <c r="D1849" s="9">
        <v>-8757.0499999999993</v>
      </c>
      <c r="E1849" t="s">
        <v>59</v>
      </c>
    </row>
    <row r="1850" spans="1:5">
      <c r="A1850" t="s">
        <v>30</v>
      </c>
      <c r="B1850" s="11" t="s">
        <v>73</v>
      </c>
      <c r="C1850">
        <v>1004</v>
      </c>
      <c r="D1850" s="9">
        <v>-9788.92</v>
      </c>
      <c r="E1850" t="s">
        <v>60</v>
      </c>
    </row>
    <row r="1851" spans="1:5">
      <c r="A1851" t="s">
        <v>30</v>
      </c>
      <c r="B1851" s="11" t="s">
        <v>74</v>
      </c>
      <c r="C1851">
        <v>1004</v>
      </c>
      <c r="D1851" s="9">
        <v>-10145.620000000001</v>
      </c>
      <c r="E1851" t="s">
        <v>60</v>
      </c>
    </row>
    <row r="1852" spans="1:5">
      <c r="A1852" t="s">
        <v>31</v>
      </c>
      <c r="B1852" s="11" t="s">
        <v>61</v>
      </c>
      <c r="C1852">
        <v>1004</v>
      </c>
      <c r="D1852" s="9">
        <v>-9155.44</v>
      </c>
      <c r="E1852" t="s">
        <v>56</v>
      </c>
    </row>
    <row r="1853" spans="1:5">
      <c r="A1853" t="s">
        <v>31</v>
      </c>
      <c r="B1853" s="11" t="s">
        <v>62</v>
      </c>
      <c r="C1853">
        <v>1004</v>
      </c>
      <c r="D1853" s="9">
        <v>-6028.76</v>
      </c>
      <c r="E1853" t="s">
        <v>56</v>
      </c>
    </row>
    <row r="1854" spans="1:5">
      <c r="A1854" t="s">
        <v>31</v>
      </c>
      <c r="B1854" s="11" t="s">
        <v>63</v>
      </c>
      <c r="C1854">
        <v>1004</v>
      </c>
      <c r="D1854" s="9">
        <v>-10518.9</v>
      </c>
      <c r="E1854" t="s">
        <v>56</v>
      </c>
    </row>
    <row r="1855" spans="1:5">
      <c r="A1855" t="s">
        <v>31</v>
      </c>
      <c r="B1855" s="11" t="s">
        <v>75</v>
      </c>
      <c r="C1855">
        <v>1004</v>
      </c>
      <c r="D1855" s="9">
        <v>-10115.19</v>
      </c>
      <c r="E1855" t="s">
        <v>56</v>
      </c>
    </row>
    <row r="1856" spans="1:5">
      <c r="A1856" t="s">
        <v>31</v>
      </c>
      <c r="B1856" s="11" t="s">
        <v>64</v>
      </c>
      <c r="C1856">
        <v>1004</v>
      </c>
      <c r="D1856" s="9">
        <v>-9370.17</v>
      </c>
      <c r="E1856" t="s">
        <v>57</v>
      </c>
    </row>
    <row r="1857" spans="1:5">
      <c r="A1857" t="s">
        <v>31</v>
      </c>
      <c r="B1857" s="11" t="s">
        <v>65</v>
      </c>
      <c r="C1857">
        <v>1004</v>
      </c>
      <c r="D1857" s="9">
        <v>-7097.69</v>
      </c>
      <c r="E1857" t="s">
        <v>57</v>
      </c>
    </row>
    <row r="1858" spans="1:5">
      <c r="A1858" t="s">
        <v>31</v>
      </c>
      <c r="B1858" s="11" t="s">
        <v>66</v>
      </c>
      <c r="C1858">
        <v>1004</v>
      </c>
      <c r="D1858" s="9">
        <v>-13632.25</v>
      </c>
      <c r="E1858" t="s">
        <v>57</v>
      </c>
    </row>
    <row r="1859" spans="1:5">
      <c r="A1859" t="s">
        <v>31</v>
      </c>
      <c r="B1859" s="11" t="s">
        <v>67</v>
      </c>
      <c r="C1859">
        <v>1004</v>
      </c>
      <c r="D1859" s="9">
        <v>-6456.09</v>
      </c>
      <c r="E1859" t="s">
        <v>57</v>
      </c>
    </row>
    <row r="1860" spans="1:5">
      <c r="A1860" t="s">
        <v>31</v>
      </c>
      <c r="B1860" s="11" t="s">
        <v>76</v>
      </c>
      <c r="C1860">
        <v>1004</v>
      </c>
      <c r="D1860" s="9">
        <v>-4486.82</v>
      </c>
      <c r="E1860" t="s">
        <v>57</v>
      </c>
    </row>
    <row r="1861" spans="1:5">
      <c r="A1861" t="s">
        <v>31</v>
      </c>
      <c r="B1861" s="11" t="s">
        <v>68</v>
      </c>
      <c r="C1861">
        <v>1004</v>
      </c>
      <c r="D1861" s="9">
        <v>-7895.22</v>
      </c>
      <c r="E1861" t="s">
        <v>58</v>
      </c>
    </row>
    <row r="1862" spans="1:5">
      <c r="A1862" t="s">
        <v>31</v>
      </c>
      <c r="B1862" s="11" t="s">
        <v>69</v>
      </c>
      <c r="C1862">
        <v>1004</v>
      </c>
      <c r="D1862" s="9">
        <v>-6982.97</v>
      </c>
      <c r="E1862" t="s">
        <v>58</v>
      </c>
    </row>
    <row r="1863" spans="1:5">
      <c r="A1863" t="s">
        <v>31</v>
      </c>
      <c r="B1863" s="11" t="s">
        <v>77</v>
      </c>
      <c r="C1863">
        <v>1004</v>
      </c>
      <c r="D1863" s="9">
        <v>-9275.92</v>
      </c>
      <c r="E1863" t="s">
        <v>58</v>
      </c>
    </row>
    <row r="1864" spans="1:5">
      <c r="A1864" t="s">
        <v>31</v>
      </c>
      <c r="B1864" s="11" t="s">
        <v>70</v>
      </c>
      <c r="C1864">
        <v>1004</v>
      </c>
      <c r="D1864" s="9">
        <v>-9402.77</v>
      </c>
      <c r="E1864" t="s">
        <v>59</v>
      </c>
    </row>
    <row r="1865" spans="1:5">
      <c r="A1865" t="s">
        <v>31</v>
      </c>
      <c r="B1865" s="11" t="s">
        <v>71</v>
      </c>
      <c r="C1865">
        <v>1004</v>
      </c>
      <c r="D1865" s="9">
        <v>-12357.69</v>
      </c>
      <c r="E1865" t="s">
        <v>59</v>
      </c>
    </row>
    <row r="1866" spans="1:5">
      <c r="A1866" t="s">
        <v>31</v>
      </c>
      <c r="B1866" s="11" t="s">
        <v>72</v>
      </c>
      <c r="C1866">
        <v>1004</v>
      </c>
      <c r="D1866" s="9">
        <v>-11628.55</v>
      </c>
      <c r="E1866" t="s">
        <v>59</v>
      </c>
    </row>
    <row r="1867" spans="1:5">
      <c r="A1867" t="s">
        <v>31</v>
      </c>
      <c r="B1867" s="11" t="s">
        <v>78</v>
      </c>
      <c r="C1867">
        <v>1004</v>
      </c>
      <c r="D1867" s="9">
        <v>-8134.2</v>
      </c>
      <c r="E1867" t="s">
        <v>59</v>
      </c>
    </row>
    <row r="1868" spans="1:5">
      <c r="A1868" t="s">
        <v>31</v>
      </c>
      <c r="B1868" s="11" t="s">
        <v>73</v>
      </c>
      <c r="C1868">
        <v>1004</v>
      </c>
      <c r="D1868" s="9">
        <v>-10185.540000000001</v>
      </c>
      <c r="E1868" t="s">
        <v>60</v>
      </c>
    </row>
    <row r="1869" spans="1:5">
      <c r="A1869" t="s">
        <v>31</v>
      </c>
      <c r="B1869" s="11" t="s">
        <v>74</v>
      </c>
      <c r="C1869">
        <v>1004</v>
      </c>
      <c r="D1869" s="9">
        <v>-9867.5</v>
      </c>
      <c r="E1869" t="s">
        <v>60</v>
      </c>
    </row>
    <row r="1870" spans="1:5">
      <c r="A1870" t="s">
        <v>32</v>
      </c>
      <c r="B1870" s="11" t="s">
        <v>61</v>
      </c>
      <c r="C1870">
        <v>1004</v>
      </c>
      <c r="D1870" s="9">
        <v>-8466.6200000000008</v>
      </c>
      <c r="E1870" t="s">
        <v>56</v>
      </c>
    </row>
    <row r="1871" spans="1:5">
      <c r="A1871" t="s">
        <v>32</v>
      </c>
      <c r="B1871" s="11" t="s">
        <v>62</v>
      </c>
      <c r="C1871">
        <v>1004</v>
      </c>
      <c r="D1871" s="9">
        <v>-5900.79</v>
      </c>
      <c r="E1871" t="s">
        <v>56</v>
      </c>
    </row>
    <row r="1872" spans="1:5">
      <c r="A1872" t="s">
        <v>32</v>
      </c>
      <c r="B1872" s="11" t="s">
        <v>63</v>
      </c>
      <c r="C1872">
        <v>1004</v>
      </c>
      <c r="D1872" s="9">
        <v>-10688.03</v>
      </c>
      <c r="E1872" t="s">
        <v>56</v>
      </c>
    </row>
    <row r="1873" spans="1:5">
      <c r="A1873" t="s">
        <v>32</v>
      </c>
      <c r="B1873" s="11" t="s">
        <v>75</v>
      </c>
      <c r="C1873">
        <v>1004</v>
      </c>
      <c r="D1873" s="9">
        <v>-10320.07</v>
      </c>
      <c r="E1873" t="s">
        <v>56</v>
      </c>
    </row>
    <row r="1874" spans="1:5">
      <c r="A1874" t="s">
        <v>32</v>
      </c>
      <c r="B1874" s="11" t="s">
        <v>64</v>
      </c>
      <c r="C1874">
        <v>1004</v>
      </c>
      <c r="D1874" s="9">
        <v>-9235.61</v>
      </c>
      <c r="E1874" t="s">
        <v>57</v>
      </c>
    </row>
    <row r="1875" spans="1:5">
      <c r="A1875" t="s">
        <v>32</v>
      </c>
      <c r="B1875" s="11" t="s">
        <v>65</v>
      </c>
      <c r="C1875">
        <v>1004</v>
      </c>
      <c r="D1875" s="9">
        <v>-6970.65</v>
      </c>
      <c r="E1875" t="s">
        <v>57</v>
      </c>
    </row>
    <row r="1876" spans="1:5">
      <c r="A1876" t="s">
        <v>32</v>
      </c>
      <c r="B1876" s="11" t="s">
        <v>66</v>
      </c>
      <c r="C1876">
        <v>1004</v>
      </c>
      <c r="D1876" s="9">
        <v>-12248.26</v>
      </c>
      <c r="E1876" t="s">
        <v>57</v>
      </c>
    </row>
    <row r="1877" spans="1:5">
      <c r="A1877" t="s">
        <v>32</v>
      </c>
      <c r="B1877" s="11" t="s">
        <v>67</v>
      </c>
      <c r="C1877">
        <v>1004</v>
      </c>
      <c r="D1877" s="9">
        <v>-6442.86</v>
      </c>
      <c r="E1877" t="s">
        <v>57</v>
      </c>
    </row>
    <row r="1878" spans="1:5">
      <c r="A1878" t="s">
        <v>32</v>
      </c>
      <c r="B1878" s="11" t="s">
        <v>76</v>
      </c>
      <c r="C1878">
        <v>1004</v>
      </c>
      <c r="D1878" s="9">
        <v>-4500.8</v>
      </c>
      <c r="E1878" t="s">
        <v>57</v>
      </c>
    </row>
    <row r="1879" spans="1:5">
      <c r="A1879" t="s">
        <v>32</v>
      </c>
      <c r="B1879" s="11" t="s">
        <v>68</v>
      </c>
      <c r="C1879">
        <v>1004</v>
      </c>
      <c r="D1879" s="9">
        <v>-7925.57</v>
      </c>
      <c r="E1879" t="s">
        <v>58</v>
      </c>
    </row>
    <row r="1880" spans="1:5">
      <c r="A1880" t="s">
        <v>32</v>
      </c>
      <c r="B1880" s="11" t="s">
        <v>69</v>
      </c>
      <c r="C1880">
        <v>1004</v>
      </c>
      <c r="D1880" s="9">
        <v>-6952.96</v>
      </c>
      <c r="E1880" t="s">
        <v>58</v>
      </c>
    </row>
    <row r="1881" spans="1:5">
      <c r="A1881" t="s">
        <v>32</v>
      </c>
      <c r="B1881" s="11" t="s">
        <v>77</v>
      </c>
      <c r="C1881">
        <v>1004</v>
      </c>
      <c r="D1881" s="9">
        <v>-9204.33</v>
      </c>
      <c r="E1881" t="s">
        <v>58</v>
      </c>
    </row>
    <row r="1882" spans="1:5">
      <c r="A1882" t="s">
        <v>32</v>
      </c>
      <c r="B1882" s="11" t="s">
        <v>70</v>
      </c>
      <c r="C1882">
        <v>1004</v>
      </c>
      <c r="D1882" s="9">
        <v>-9270.73</v>
      </c>
      <c r="E1882" t="s">
        <v>59</v>
      </c>
    </row>
    <row r="1883" spans="1:5">
      <c r="A1883" t="s">
        <v>32</v>
      </c>
      <c r="B1883" s="11" t="s">
        <v>71</v>
      </c>
      <c r="C1883">
        <v>1004</v>
      </c>
      <c r="D1883" s="9">
        <v>-12081.91</v>
      </c>
      <c r="E1883" t="s">
        <v>59</v>
      </c>
    </row>
    <row r="1884" spans="1:5">
      <c r="A1884" t="s">
        <v>32</v>
      </c>
      <c r="B1884" s="11" t="s">
        <v>72</v>
      </c>
      <c r="C1884">
        <v>1004</v>
      </c>
      <c r="D1884" s="9">
        <v>-11842.06</v>
      </c>
      <c r="E1884" t="s">
        <v>59</v>
      </c>
    </row>
    <row r="1885" spans="1:5">
      <c r="A1885" t="s">
        <v>32</v>
      </c>
      <c r="B1885" s="11" t="s">
        <v>78</v>
      </c>
      <c r="C1885">
        <v>1004</v>
      </c>
      <c r="D1885" s="9">
        <v>-8408.77</v>
      </c>
      <c r="E1885" t="s">
        <v>59</v>
      </c>
    </row>
    <row r="1886" spans="1:5">
      <c r="A1886" t="s">
        <v>32</v>
      </c>
      <c r="B1886" s="11" t="s">
        <v>73</v>
      </c>
      <c r="C1886">
        <v>1004</v>
      </c>
      <c r="D1886" s="9">
        <v>-10639.23</v>
      </c>
      <c r="E1886" t="s">
        <v>60</v>
      </c>
    </row>
    <row r="1887" spans="1:5">
      <c r="A1887" t="s">
        <v>32</v>
      </c>
      <c r="B1887" s="11" t="s">
        <v>74</v>
      </c>
      <c r="C1887">
        <v>1004</v>
      </c>
      <c r="D1887" s="9">
        <v>-9130.02</v>
      </c>
      <c r="E1887" t="s">
        <v>60</v>
      </c>
    </row>
    <row r="1888" spans="1:5">
      <c r="A1888" t="s">
        <v>33</v>
      </c>
      <c r="B1888" s="11" t="s">
        <v>61</v>
      </c>
      <c r="C1888">
        <v>1004</v>
      </c>
      <c r="D1888" s="9">
        <v>-9562.5</v>
      </c>
      <c r="E1888" t="s">
        <v>56</v>
      </c>
    </row>
    <row r="1889" spans="1:5">
      <c r="A1889" t="s">
        <v>33</v>
      </c>
      <c r="B1889" s="11" t="s">
        <v>62</v>
      </c>
      <c r="C1889">
        <v>1004</v>
      </c>
      <c r="D1889" s="9">
        <v>-6284.35</v>
      </c>
      <c r="E1889" t="s">
        <v>56</v>
      </c>
    </row>
    <row r="1890" spans="1:5">
      <c r="A1890" t="s">
        <v>33</v>
      </c>
      <c r="B1890" s="11" t="s">
        <v>63</v>
      </c>
      <c r="C1890">
        <v>1004</v>
      </c>
      <c r="D1890" s="9">
        <v>-10749.79</v>
      </c>
      <c r="E1890" t="s">
        <v>56</v>
      </c>
    </row>
    <row r="1891" spans="1:5">
      <c r="A1891" t="s">
        <v>33</v>
      </c>
      <c r="B1891" s="11" t="s">
        <v>75</v>
      </c>
      <c r="C1891">
        <v>1004</v>
      </c>
      <c r="D1891" s="9">
        <v>-11314.27</v>
      </c>
      <c r="E1891" t="s">
        <v>56</v>
      </c>
    </row>
    <row r="1892" spans="1:5">
      <c r="A1892" t="s">
        <v>33</v>
      </c>
      <c r="B1892" s="11" t="s">
        <v>64</v>
      </c>
      <c r="C1892">
        <v>1004</v>
      </c>
      <c r="D1892" s="9">
        <v>-10486.67</v>
      </c>
      <c r="E1892" t="s">
        <v>57</v>
      </c>
    </row>
    <row r="1893" spans="1:5">
      <c r="A1893" t="s">
        <v>33</v>
      </c>
      <c r="B1893" s="11" t="s">
        <v>65</v>
      </c>
      <c r="C1893">
        <v>1004</v>
      </c>
      <c r="D1893" s="9">
        <v>-8554.5300000000007</v>
      </c>
      <c r="E1893" t="s">
        <v>57</v>
      </c>
    </row>
    <row r="1894" spans="1:5">
      <c r="A1894" t="s">
        <v>33</v>
      </c>
      <c r="B1894" s="11" t="s">
        <v>66</v>
      </c>
      <c r="C1894">
        <v>1004</v>
      </c>
      <c r="D1894" s="9">
        <v>-17189.490000000002</v>
      </c>
      <c r="E1894" t="s">
        <v>57</v>
      </c>
    </row>
    <row r="1895" spans="1:5">
      <c r="A1895" t="s">
        <v>33</v>
      </c>
      <c r="B1895" s="11" t="s">
        <v>67</v>
      </c>
      <c r="C1895">
        <v>1004</v>
      </c>
      <c r="D1895" s="9">
        <v>-7083.36</v>
      </c>
      <c r="E1895" t="s">
        <v>57</v>
      </c>
    </row>
    <row r="1896" spans="1:5">
      <c r="A1896" t="s">
        <v>33</v>
      </c>
      <c r="B1896" s="11" t="s">
        <v>76</v>
      </c>
      <c r="C1896">
        <v>1004</v>
      </c>
      <c r="D1896" s="9">
        <v>-5226.13</v>
      </c>
      <c r="E1896" t="s">
        <v>57</v>
      </c>
    </row>
    <row r="1897" spans="1:5">
      <c r="A1897" t="s">
        <v>33</v>
      </c>
      <c r="B1897" s="11" t="s">
        <v>68</v>
      </c>
      <c r="C1897">
        <v>1004</v>
      </c>
      <c r="D1897" s="9">
        <v>-9000.9699999999993</v>
      </c>
      <c r="E1897" t="s">
        <v>58</v>
      </c>
    </row>
    <row r="1898" spans="1:5">
      <c r="A1898" t="s">
        <v>33</v>
      </c>
      <c r="B1898" s="11" t="s">
        <v>69</v>
      </c>
      <c r="C1898">
        <v>1004</v>
      </c>
      <c r="D1898" s="9">
        <v>-7946.05</v>
      </c>
      <c r="E1898" t="s">
        <v>58</v>
      </c>
    </row>
    <row r="1899" spans="1:5">
      <c r="A1899" t="s">
        <v>33</v>
      </c>
      <c r="B1899" s="11" t="s">
        <v>77</v>
      </c>
      <c r="C1899">
        <v>1004</v>
      </c>
      <c r="D1899" s="9">
        <v>-11192.37</v>
      </c>
      <c r="E1899" t="s">
        <v>58</v>
      </c>
    </row>
    <row r="1900" spans="1:5">
      <c r="A1900" t="s">
        <v>33</v>
      </c>
      <c r="B1900" s="11" t="s">
        <v>70</v>
      </c>
      <c r="C1900">
        <v>1004</v>
      </c>
      <c r="D1900" s="9">
        <v>-10876.1</v>
      </c>
      <c r="E1900" t="s">
        <v>59</v>
      </c>
    </row>
    <row r="1901" spans="1:5">
      <c r="A1901" t="s">
        <v>33</v>
      </c>
      <c r="B1901" s="11" t="s">
        <v>71</v>
      </c>
      <c r="C1901">
        <v>1004</v>
      </c>
      <c r="D1901" s="9">
        <v>-12640.76</v>
      </c>
      <c r="E1901" t="s">
        <v>59</v>
      </c>
    </row>
    <row r="1902" spans="1:5">
      <c r="A1902" t="s">
        <v>33</v>
      </c>
      <c r="B1902" s="11" t="s">
        <v>72</v>
      </c>
      <c r="C1902">
        <v>1004</v>
      </c>
      <c r="D1902" s="9">
        <v>-13839.54</v>
      </c>
      <c r="E1902" t="s">
        <v>59</v>
      </c>
    </row>
    <row r="1903" spans="1:5">
      <c r="A1903" t="s">
        <v>33</v>
      </c>
      <c r="B1903" s="11" t="s">
        <v>78</v>
      </c>
      <c r="C1903">
        <v>1004</v>
      </c>
      <c r="D1903" s="9">
        <v>-10993.51</v>
      </c>
      <c r="E1903" t="s">
        <v>59</v>
      </c>
    </row>
    <row r="1904" spans="1:5">
      <c r="A1904" t="s">
        <v>33</v>
      </c>
      <c r="B1904" s="11" t="s">
        <v>73</v>
      </c>
      <c r="C1904">
        <v>1004</v>
      </c>
      <c r="D1904" s="9">
        <v>-11856.34</v>
      </c>
      <c r="E1904" t="s">
        <v>60</v>
      </c>
    </row>
    <row r="1905" spans="1:5">
      <c r="A1905" t="s">
        <v>33</v>
      </c>
      <c r="B1905" s="11" t="s">
        <v>74</v>
      </c>
      <c r="C1905">
        <v>1004</v>
      </c>
      <c r="D1905" s="9">
        <v>-10449.379999999999</v>
      </c>
      <c r="E1905" t="s">
        <v>60</v>
      </c>
    </row>
    <row r="1906" spans="1:5">
      <c r="A1906" t="s">
        <v>34</v>
      </c>
      <c r="B1906" s="11" t="s">
        <v>61</v>
      </c>
      <c r="C1906">
        <v>1004</v>
      </c>
      <c r="D1906" s="9">
        <v>-9554.65</v>
      </c>
      <c r="E1906" t="s">
        <v>56</v>
      </c>
    </row>
    <row r="1907" spans="1:5">
      <c r="A1907" t="s">
        <v>34</v>
      </c>
      <c r="B1907" s="11" t="s">
        <v>62</v>
      </c>
      <c r="C1907">
        <v>1004</v>
      </c>
      <c r="D1907" s="9">
        <v>-8711.17</v>
      </c>
      <c r="E1907" t="s">
        <v>56</v>
      </c>
    </row>
    <row r="1908" spans="1:5">
      <c r="A1908" t="s">
        <v>34</v>
      </c>
      <c r="B1908" s="11" t="s">
        <v>63</v>
      </c>
      <c r="C1908">
        <v>1004</v>
      </c>
      <c r="D1908" s="9">
        <v>-10171.64</v>
      </c>
      <c r="E1908" t="s">
        <v>56</v>
      </c>
    </row>
    <row r="1909" spans="1:5">
      <c r="A1909" t="s">
        <v>34</v>
      </c>
      <c r="B1909" s="11" t="s">
        <v>64</v>
      </c>
      <c r="C1909">
        <v>1004</v>
      </c>
      <c r="D1909" s="9">
        <v>-9642.98</v>
      </c>
      <c r="E1909" t="s">
        <v>57</v>
      </c>
    </row>
    <row r="1910" spans="1:5">
      <c r="A1910" t="s">
        <v>34</v>
      </c>
      <c r="B1910" s="11" t="s">
        <v>65</v>
      </c>
      <c r="C1910">
        <v>1004</v>
      </c>
      <c r="D1910" s="9">
        <v>-8017.23</v>
      </c>
      <c r="E1910" t="s">
        <v>57</v>
      </c>
    </row>
    <row r="1911" spans="1:5">
      <c r="A1911" t="s">
        <v>34</v>
      </c>
      <c r="B1911" s="11" t="s">
        <v>66</v>
      </c>
      <c r="C1911">
        <v>1004</v>
      </c>
      <c r="D1911" s="9">
        <v>-16707.900000000001</v>
      </c>
      <c r="E1911" t="s">
        <v>57</v>
      </c>
    </row>
    <row r="1912" spans="1:5">
      <c r="A1912" t="s">
        <v>34</v>
      </c>
      <c r="B1912" s="11" t="s">
        <v>67</v>
      </c>
      <c r="C1912">
        <v>1004</v>
      </c>
      <c r="D1912" s="9">
        <v>-6687.43</v>
      </c>
      <c r="E1912" t="s">
        <v>57</v>
      </c>
    </row>
    <row r="1913" spans="1:5">
      <c r="A1913" t="s">
        <v>34</v>
      </c>
      <c r="B1913" s="11" t="s">
        <v>76</v>
      </c>
      <c r="C1913">
        <v>1004</v>
      </c>
      <c r="D1913" s="9">
        <v>-5248.65</v>
      </c>
      <c r="E1913" t="s">
        <v>57</v>
      </c>
    </row>
    <row r="1914" spans="1:5">
      <c r="A1914" t="s">
        <v>34</v>
      </c>
      <c r="B1914" s="11" t="s">
        <v>68</v>
      </c>
      <c r="C1914">
        <v>1004</v>
      </c>
      <c r="D1914" s="9">
        <v>-8786.17</v>
      </c>
      <c r="E1914" t="s">
        <v>58</v>
      </c>
    </row>
    <row r="1915" spans="1:5">
      <c r="A1915" t="s">
        <v>34</v>
      </c>
      <c r="B1915" s="11" t="s">
        <v>69</v>
      </c>
      <c r="C1915">
        <v>1004</v>
      </c>
      <c r="D1915" s="9">
        <v>-8074.69</v>
      </c>
      <c r="E1915" t="s">
        <v>58</v>
      </c>
    </row>
    <row r="1916" spans="1:5">
      <c r="A1916" t="s">
        <v>34</v>
      </c>
      <c r="B1916" s="11" t="s">
        <v>77</v>
      </c>
      <c r="C1916">
        <v>1004</v>
      </c>
      <c r="D1916" s="9">
        <v>-10418.48</v>
      </c>
      <c r="E1916" t="s">
        <v>58</v>
      </c>
    </row>
    <row r="1917" spans="1:5">
      <c r="A1917" t="s">
        <v>34</v>
      </c>
      <c r="B1917" s="11" t="s">
        <v>70</v>
      </c>
      <c r="C1917">
        <v>1004</v>
      </c>
      <c r="D1917" s="9">
        <v>-9969.02</v>
      </c>
      <c r="E1917" t="s">
        <v>59</v>
      </c>
    </row>
    <row r="1918" spans="1:5">
      <c r="A1918" t="s">
        <v>34</v>
      </c>
      <c r="B1918" s="11" t="s">
        <v>71</v>
      </c>
      <c r="C1918">
        <v>1004</v>
      </c>
      <c r="D1918" s="9">
        <v>-12521.95</v>
      </c>
      <c r="E1918" t="s">
        <v>59</v>
      </c>
    </row>
    <row r="1919" spans="1:5">
      <c r="A1919" t="s">
        <v>34</v>
      </c>
      <c r="B1919" s="11" t="s">
        <v>72</v>
      </c>
      <c r="C1919">
        <v>1004</v>
      </c>
      <c r="D1919" s="9">
        <v>-12523.24</v>
      </c>
      <c r="E1919" t="s">
        <v>59</v>
      </c>
    </row>
    <row r="1920" spans="1:5">
      <c r="A1920" t="s">
        <v>34</v>
      </c>
      <c r="B1920" s="11" t="s">
        <v>78</v>
      </c>
      <c r="C1920">
        <v>1004</v>
      </c>
      <c r="D1920" s="9">
        <v>-9591.49</v>
      </c>
      <c r="E1920" t="s">
        <v>59</v>
      </c>
    </row>
    <row r="1921" spans="1:5">
      <c r="A1921" t="s">
        <v>34</v>
      </c>
      <c r="B1921" s="11" t="s">
        <v>73</v>
      </c>
      <c r="C1921">
        <v>1004</v>
      </c>
      <c r="D1921" s="9">
        <v>-10908.29</v>
      </c>
      <c r="E1921" t="s">
        <v>60</v>
      </c>
    </row>
    <row r="1922" spans="1:5">
      <c r="A1922" t="s">
        <v>34</v>
      </c>
      <c r="B1922" s="11" t="s">
        <v>74</v>
      </c>
      <c r="C1922">
        <v>1004</v>
      </c>
      <c r="D1922" s="9">
        <v>-10961.25</v>
      </c>
      <c r="E1922" t="s">
        <v>60</v>
      </c>
    </row>
    <row r="1923" spans="1:5">
      <c r="A1923" t="s">
        <v>35</v>
      </c>
      <c r="B1923" s="11" t="s">
        <v>61</v>
      </c>
      <c r="C1923">
        <v>1004</v>
      </c>
      <c r="D1923" s="9">
        <v>-9413.0400000000009</v>
      </c>
      <c r="E1923" t="s">
        <v>56</v>
      </c>
    </row>
    <row r="1924" spans="1:5">
      <c r="A1924" t="s">
        <v>35</v>
      </c>
      <c r="B1924" s="11" t="s">
        <v>62</v>
      </c>
      <c r="C1924">
        <v>1004</v>
      </c>
      <c r="D1924" s="9">
        <v>-8064.64</v>
      </c>
      <c r="E1924" t="s">
        <v>56</v>
      </c>
    </row>
    <row r="1925" spans="1:5">
      <c r="A1925" t="s">
        <v>35</v>
      </c>
      <c r="B1925" s="11" t="s">
        <v>63</v>
      </c>
      <c r="C1925">
        <v>1004</v>
      </c>
      <c r="D1925" s="9">
        <v>-10735.36</v>
      </c>
      <c r="E1925" t="s">
        <v>56</v>
      </c>
    </row>
    <row r="1926" spans="1:5">
      <c r="A1926" t="s">
        <v>35</v>
      </c>
      <c r="B1926" s="11" t="s">
        <v>75</v>
      </c>
      <c r="C1926">
        <v>1004</v>
      </c>
      <c r="D1926" s="9">
        <v>-7745.93</v>
      </c>
      <c r="E1926" t="s">
        <v>56</v>
      </c>
    </row>
    <row r="1927" spans="1:5">
      <c r="A1927" t="s">
        <v>35</v>
      </c>
      <c r="B1927" s="11" t="s">
        <v>64</v>
      </c>
      <c r="C1927">
        <v>1004</v>
      </c>
      <c r="D1927" s="9">
        <v>-10323.950000000001</v>
      </c>
      <c r="E1927" t="s">
        <v>57</v>
      </c>
    </row>
    <row r="1928" spans="1:5">
      <c r="A1928" t="s">
        <v>35</v>
      </c>
      <c r="B1928" s="11" t="s">
        <v>65</v>
      </c>
      <c r="C1928">
        <v>1004</v>
      </c>
      <c r="D1928" s="9">
        <v>-8175.78</v>
      </c>
      <c r="E1928" t="s">
        <v>57</v>
      </c>
    </row>
    <row r="1929" spans="1:5">
      <c r="A1929" t="s">
        <v>35</v>
      </c>
      <c r="B1929" s="11" t="s">
        <v>66</v>
      </c>
      <c r="C1929">
        <v>1004</v>
      </c>
      <c r="D1929" s="9">
        <v>-16836.64</v>
      </c>
      <c r="E1929" t="s">
        <v>57</v>
      </c>
    </row>
    <row r="1930" spans="1:5">
      <c r="A1930" t="s">
        <v>35</v>
      </c>
      <c r="B1930" s="11" t="s">
        <v>67</v>
      </c>
      <c r="C1930">
        <v>1004</v>
      </c>
      <c r="D1930" s="9">
        <v>-6850.65</v>
      </c>
      <c r="E1930" t="s">
        <v>57</v>
      </c>
    </row>
    <row r="1931" spans="1:5">
      <c r="A1931" t="s">
        <v>35</v>
      </c>
      <c r="B1931" s="11" t="s">
        <v>76</v>
      </c>
      <c r="C1931">
        <v>1004</v>
      </c>
      <c r="D1931" s="9">
        <v>-5288.45</v>
      </c>
      <c r="E1931" t="s">
        <v>57</v>
      </c>
    </row>
    <row r="1932" spans="1:5">
      <c r="A1932" t="s">
        <v>35</v>
      </c>
      <c r="B1932" s="11" t="s">
        <v>68</v>
      </c>
      <c r="C1932">
        <v>1004</v>
      </c>
      <c r="D1932" s="9">
        <v>-9083.6299999999992</v>
      </c>
      <c r="E1932" t="s">
        <v>58</v>
      </c>
    </row>
    <row r="1933" spans="1:5">
      <c r="A1933" t="s">
        <v>35</v>
      </c>
      <c r="B1933" s="11" t="s">
        <v>69</v>
      </c>
      <c r="C1933">
        <v>1004</v>
      </c>
      <c r="D1933" s="9">
        <v>-7545.89</v>
      </c>
      <c r="E1933" t="s">
        <v>58</v>
      </c>
    </row>
    <row r="1934" spans="1:5">
      <c r="A1934" t="s">
        <v>35</v>
      </c>
      <c r="B1934" s="11" t="s">
        <v>77</v>
      </c>
      <c r="C1934">
        <v>1004</v>
      </c>
      <c r="D1934" s="9">
        <v>-10535.48</v>
      </c>
      <c r="E1934" t="s">
        <v>58</v>
      </c>
    </row>
    <row r="1935" spans="1:5">
      <c r="A1935" t="s">
        <v>35</v>
      </c>
      <c r="B1935" s="11" t="s">
        <v>70</v>
      </c>
      <c r="C1935">
        <v>1004</v>
      </c>
      <c r="D1935" s="9">
        <v>-10631.92</v>
      </c>
      <c r="E1935" t="s">
        <v>59</v>
      </c>
    </row>
    <row r="1936" spans="1:5">
      <c r="A1936" t="s">
        <v>35</v>
      </c>
      <c r="B1936" s="11" t="s">
        <v>71</v>
      </c>
      <c r="C1936">
        <v>1004</v>
      </c>
      <c r="D1936" s="9">
        <v>-12646.95</v>
      </c>
      <c r="E1936" t="s">
        <v>59</v>
      </c>
    </row>
    <row r="1937" spans="1:5">
      <c r="A1937" t="s">
        <v>35</v>
      </c>
      <c r="B1937" s="11" t="s">
        <v>72</v>
      </c>
      <c r="C1937">
        <v>1004</v>
      </c>
      <c r="D1937" s="9">
        <v>-12748.68</v>
      </c>
      <c r="E1937" t="s">
        <v>59</v>
      </c>
    </row>
    <row r="1938" spans="1:5">
      <c r="A1938" t="s">
        <v>35</v>
      </c>
      <c r="B1938" s="11" t="s">
        <v>78</v>
      </c>
      <c r="C1938">
        <v>1004</v>
      </c>
      <c r="D1938" s="9">
        <v>-9887.91</v>
      </c>
      <c r="E1938" t="s">
        <v>59</v>
      </c>
    </row>
    <row r="1939" spans="1:5">
      <c r="A1939" t="s">
        <v>35</v>
      </c>
      <c r="B1939" s="11" t="s">
        <v>73</v>
      </c>
      <c r="C1939">
        <v>1004</v>
      </c>
      <c r="D1939" s="9">
        <v>-11321.32</v>
      </c>
      <c r="E1939" t="s">
        <v>60</v>
      </c>
    </row>
    <row r="1940" spans="1:5">
      <c r="A1940" t="s">
        <v>35</v>
      </c>
      <c r="B1940" s="11" t="s">
        <v>74</v>
      </c>
      <c r="C1940">
        <v>1004</v>
      </c>
      <c r="D1940" s="9">
        <v>-11487.46</v>
      </c>
      <c r="E1940" t="s">
        <v>60</v>
      </c>
    </row>
    <row r="1941" spans="1:5">
      <c r="A1941" t="s">
        <v>36</v>
      </c>
      <c r="B1941" s="11" t="s">
        <v>61</v>
      </c>
      <c r="C1941">
        <v>1004</v>
      </c>
      <c r="D1941" s="9">
        <v>-8504.6299999999992</v>
      </c>
      <c r="E1941" t="s">
        <v>56</v>
      </c>
    </row>
    <row r="1942" spans="1:5">
      <c r="A1942" t="s">
        <v>36</v>
      </c>
      <c r="B1942" s="11" t="s">
        <v>62</v>
      </c>
      <c r="C1942">
        <v>1004</v>
      </c>
      <c r="D1942" s="9">
        <v>-6102.15</v>
      </c>
      <c r="E1942" t="s">
        <v>56</v>
      </c>
    </row>
    <row r="1943" spans="1:5">
      <c r="A1943" t="s">
        <v>36</v>
      </c>
      <c r="B1943" s="11" t="s">
        <v>63</v>
      </c>
      <c r="C1943">
        <v>1004</v>
      </c>
      <c r="D1943" s="9">
        <v>-10741.03</v>
      </c>
      <c r="E1943" t="s">
        <v>56</v>
      </c>
    </row>
    <row r="1944" spans="1:5">
      <c r="A1944" t="s">
        <v>36</v>
      </c>
      <c r="B1944" s="11" t="s">
        <v>75</v>
      </c>
      <c r="C1944">
        <v>1004</v>
      </c>
      <c r="D1944" s="9">
        <v>-8831.65</v>
      </c>
      <c r="E1944" t="s">
        <v>56</v>
      </c>
    </row>
    <row r="1945" spans="1:5">
      <c r="A1945" t="s">
        <v>36</v>
      </c>
      <c r="B1945" s="11" t="s">
        <v>64</v>
      </c>
      <c r="C1945">
        <v>1004</v>
      </c>
      <c r="D1945" s="9">
        <v>-9528.75</v>
      </c>
      <c r="E1945" t="s">
        <v>57</v>
      </c>
    </row>
    <row r="1946" spans="1:5">
      <c r="A1946" t="s">
        <v>36</v>
      </c>
      <c r="B1946" s="11" t="s">
        <v>65</v>
      </c>
      <c r="C1946">
        <v>1004</v>
      </c>
      <c r="D1946" s="9">
        <v>-6310.43</v>
      </c>
      <c r="E1946" t="s">
        <v>57</v>
      </c>
    </row>
    <row r="1947" spans="1:5">
      <c r="A1947" t="s">
        <v>36</v>
      </c>
      <c r="B1947" s="11" t="s">
        <v>66</v>
      </c>
      <c r="C1947">
        <v>1004</v>
      </c>
      <c r="D1947" s="9">
        <v>-14486</v>
      </c>
      <c r="E1947" t="s">
        <v>57</v>
      </c>
    </row>
    <row r="1948" spans="1:5">
      <c r="A1948" t="s">
        <v>36</v>
      </c>
      <c r="B1948" s="11" t="s">
        <v>67</v>
      </c>
      <c r="C1948">
        <v>1004</v>
      </c>
      <c r="D1948" s="9">
        <v>-6321.77</v>
      </c>
      <c r="E1948" t="s">
        <v>57</v>
      </c>
    </row>
    <row r="1949" spans="1:5">
      <c r="A1949" t="s">
        <v>36</v>
      </c>
      <c r="B1949" s="11" t="s">
        <v>76</v>
      </c>
      <c r="C1949">
        <v>1004</v>
      </c>
      <c r="D1949" s="9">
        <v>-4522.5200000000004</v>
      </c>
      <c r="E1949" t="s">
        <v>57</v>
      </c>
    </row>
    <row r="1950" spans="1:5">
      <c r="A1950" t="s">
        <v>36</v>
      </c>
      <c r="B1950" s="11" t="s">
        <v>68</v>
      </c>
      <c r="C1950">
        <v>1004</v>
      </c>
      <c r="D1950" s="9">
        <v>-7883.84</v>
      </c>
      <c r="E1950" t="s">
        <v>58</v>
      </c>
    </row>
    <row r="1951" spans="1:5">
      <c r="A1951" t="s">
        <v>36</v>
      </c>
      <c r="B1951" s="11" t="s">
        <v>69</v>
      </c>
      <c r="C1951">
        <v>1004</v>
      </c>
      <c r="D1951" s="9">
        <v>-6913.43</v>
      </c>
      <c r="E1951" t="s">
        <v>58</v>
      </c>
    </row>
    <row r="1952" spans="1:5">
      <c r="A1952" t="s">
        <v>36</v>
      </c>
      <c r="B1952" s="11" t="s">
        <v>77</v>
      </c>
      <c r="C1952">
        <v>1004</v>
      </c>
      <c r="D1952" s="9">
        <v>-9308.7199999999993</v>
      </c>
      <c r="E1952" t="s">
        <v>58</v>
      </c>
    </row>
    <row r="1953" spans="1:5">
      <c r="A1953" t="s">
        <v>36</v>
      </c>
      <c r="B1953" s="11" t="s">
        <v>70</v>
      </c>
      <c r="C1953">
        <v>1004</v>
      </c>
      <c r="D1953" s="9">
        <v>-9088.0400000000009</v>
      </c>
      <c r="E1953" t="s">
        <v>59</v>
      </c>
    </row>
    <row r="1954" spans="1:5">
      <c r="A1954" t="s">
        <v>36</v>
      </c>
      <c r="B1954" s="11" t="s">
        <v>71</v>
      </c>
      <c r="C1954">
        <v>1004</v>
      </c>
      <c r="D1954" s="9">
        <v>-11757.52</v>
      </c>
      <c r="E1954" t="s">
        <v>59</v>
      </c>
    </row>
    <row r="1955" spans="1:5">
      <c r="A1955" t="s">
        <v>36</v>
      </c>
      <c r="B1955" s="11" t="s">
        <v>72</v>
      </c>
      <c r="C1955">
        <v>1004</v>
      </c>
      <c r="D1955" s="9">
        <v>-11493.15</v>
      </c>
      <c r="E1955" t="s">
        <v>59</v>
      </c>
    </row>
    <row r="1956" spans="1:5">
      <c r="A1956" t="s">
        <v>36</v>
      </c>
      <c r="B1956" s="11" t="s">
        <v>78</v>
      </c>
      <c r="C1956">
        <v>1004</v>
      </c>
      <c r="D1956" s="9">
        <v>-8757.0499999999993</v>
      </c>
      <c r="E1956" t="s">
        <v>59</v>
      </c>
    </row>
    <row r="1957" spans="1:5">
      <c r="A1957" t="s">
        <v>36</v>
      </c>
      <c r="B1957" s="11" t="s">
        <v>73</v>
      </c>
      <c r="C1957">
        <v>1004</v>
      </c>
      <c r="D1957" s="9">
        <v>-9788.92</v>
      </c>
      <c r="E1957" t="s">
        <v>60</v>
      </c>
    </row>
    <row r="1958" spans="1:5">
      <c r="A1958" t="s">
        <v>36</v>
      </c>
      <c r="B1958" s="11" t="s">
        <v>74</v>
      </c>
      <c r="C1958">
        <v>1004</v>
      </c>
      <c r="D1958" s="9">
        <v>-10145.620000000001</v>
      </c>
      <c r="E1958" t="s">
        <v>60</v>
      </c>
    </row>
    <row r="1959" spans="1:5">
      <c r="A1959" t="s">
        <v>37</v>
      </c>
      <c r="B1959" s="11" t="s">
        <v>61</v>
      </c>
      <c r="C1959">
        <v>1004</v>
      </c>
      <c r="D1959" s="9">
        <v>-9155.44</v>
      </c>
      <c r="E1959" t="s">
        <v>56</v>
      </c>
    </row>
    <row r="1960" spans="1:5">
      <c r="A1960" t="s">
        <v>37</v>
      </c>
      <c r="B1960" s="11" t="s">
        <v>62</v>
      </c>
      <c r="C1960">
        <v>1004</v>
      </c>
      <c r="D1960" s="9">
        <v>-6028.76</v>
      </c>
      <c r="E1960" t="s">
        <v>56</v>
      </c>
    </row>
    <row r="1961" spans="1:5">
      <c r="A1961" t="s">
        <v>37</v>
      </c>
      <c r="B1961" s="11" t="s">
        <v>63</v>
      </c>
      <c r="C1961">
        <v>1004</v>
      </c>
      <c r="D1961" s="9">
        <v>-10518.9</v>
      </c>
      <c r="E1961" t="s">
        <v>56</v>
      </c>
    </row>
    <row r="1962" spans="1:5">
      <c r="A1962" t="s">
        <v>37</v>
      </c>
      <c r="B1962" s="11" t="s">
        <v>75</v>
      </c>
      <c r="C1962">
        <v>1004</v>
      </c>
      <c r="D1962" s="9">
        <v>-10115.19</v>
      </c>
      <c r="E1962" t="s">
        <v>56</v>
      </c>
    </row>
    <row r="1963" spans="1:5">
      <c r="A1963" t="s">
        <v>37</v>
      </c>
      <c r="B1963" s="11" t="s">
        <v>64</v>
      </c>
      <c r="C1963">
        <v>1004</v>
      </c>
      <c r="D1963" s="9">
        <v>-9370.17</v>
      </c>
      <c r="E1963" t="s">
        <v>57</v>
      </c>
    </row>
    <row r="1964" spans="1:5">
      <c r="A1964" t="s">
        <v>37</v>
      </c>
      <c r="B1964" s="11" t="s">
        <v>65</v>
      </c>
      <c r="C1964">
        <v>1004</v>
      </c>
      <c r="D1964" s="9">
        <v>-7097.69</v>
      </c>
      <c r="E1964" t="s">
        <v>57</v>
      </c>
    </row>
    <row r="1965" spans="1:5">
      <c r="A1965" t="s">
        <v>37</v>
      </c>
      <c r="B1965" s="11" t="s">
        <v>66</v>
      </c>
      <c r="C1965">
        <v>1004</v>
      </c>
      <c r="D1965" s="9">
        <v>-13632.25</v>
      </c>
      <c r="E1965" t="s">
        <v>57</v>
      </c>
    </row>
    <row r="1966" spans="1:5">
      <c r="A1966" t="s">
        <v>37</v>
      </c>
      <c r="B1966" s="11" t="s">
        <v>67</v>
      </c>
      <c r="C1966">
        <v>1004</v>
      </c>
      <c r="D1966" s="9">
        <v>-6456.09</v>
      </c>
      <c r="E1966" t="s">
        <v>57</v>
      </c>
    </row>
    <row r="1967" spans="1:5">
      <c r="A1967" t="s">
        <v>37</v>
      </c>
      <c r="B1967" s="11" t="s">
        <v>76</v>
      </c>
      <c r="C1967">
        <v>1004</v>
      </c>
      <c r="D1967" s="9">
        <v>-4486.82</v>
      </c>
      <c r="E1967" t="s">
        <v>57</v>
      </c>
    </row>
    <row r="1968" spans="1:5">
      <c r="A1968" t="s">
        <v>37</v>
      </c>
      <c r="B1968" s="11" t="s">
        <v>68</v>
      </c>
      <c r="C1968">
        <v>1004</v>
      </c>
      <c r="D1968" s="9">
        <v>-7895.22</v>
      </c>
      <c r="E1968" t="s">
        <v>58</v>
      </c>
    </row>
    <row r="1969" spans="1:5">
      <c r="A1969" t="s">
        <v>37</v>
      </c>
      <c r="B1969" s="11" t="s">
        <v>69</v>
      </c>
      <c r="C1969">
        <v>1004</v>
      </c>
      <c r="D1969" s="9">
        <v>-6982.97</v>
      </c>
      <c r="E1969" t="s">
        <v>58</v>
      </c>
    </row>
    <row r="1970" spans="1:5">
      <c r="A1970" t="s">
        <v>37</v>
      </c>
      <c r="B1970" s="11" t="s">
        <v>77</v>
      </c>
      <c r="C1970">
        <v>1004</v>
      </c>
      <c r="D1970" s="9">
        <v>-9275.92</v>
      </c>
      <c r="E1970" t="s">
        <v>58</v>
      </c>
    </row>
    <row r="1971" spans="1:5">
      <c r="A1971" t="s">
        <v>37</v>
      </c>
      <c r="B1971" s="11" t="s">
        <v>70</v>
      </c>
      <c r="C1971">
        <v>1004</v>
      </c>
      <c r="D1971" s="9">
        <v>-9402.77</v>
      </c>
      <c r="E1971" t="s">
        <v>59</v>
      </c>
    </row>
    <row r="1972" spans="1:5">
      <c r="A1972" t="s">
        <v>37</v>
      </c>
      <c r="B1972" s="11" t="s">
        <v>71</v>
      </c>
      <c r="C1972">
        <v>1004</v>
      </c>
      <c r="D1972" s="9">
        <v>-12357.69</v>
      </c>
      <c r="E1972" t="s">
        <v>59</v>
      </c>
    </row>
    <row r="1973" spans="1:5">
      <c r="A1973" t="s">
        <v>37</v>
      </c>
      <c r="B1973" s="11" t="s">
        <v>72</v>
      </c>
      <c r="C1973">
        <v>1004</v>
      </c>
      <c r="D1973" s="9">
        <v>-11628.55</v>
      </c>
      <c r="E1973" t="s">
        <v>59</v>
      </c>
    </row>
    <row r="1974" spans="1:5">
      <c r="A1974" t="s">
        <v>37</v>
      </c>
      <c r="B1974" s="11" t="s">
        <v>78</v>
      </c>
      <c r="C1974">
        <v>1004</v>
      </c>
      <c r="D1974" s="9">
        <v>-8134.2</v>
      </c>
      <c r="E1974" t="s">
        <v>59</v>
      </c>
    </row>
    <row r="1975" spans="1:5">
      <c r="A1975" t="s">
        <v>37</v>
      </c>
      <c r="B1975" s="11" t="s">
        <v>73</v>
      </c>
      <c r="C1975">
        <v>1004</v>
      </c>
      <c r="D1975" s="9">
        <v>-10185.540000000001</v>
      </c>
      <c r="E1975" t="s">
        <v>60</v>
      </c>
    </row>
    <row r="1976" spans="1:5">
      <c r="A1976" t="s">
        <v>37</v>
      </c>
      <c r="B1976" s="11" t="s">
        <v>74</v>
      </c>
      <c r="C1976">
        <v>1004</v>
      </c>
      <c r="D1976" s="9">
        <v>-9867.5</v>
      </c>
      <c r="E1976" t="s">
        <v>60</v>
      </c>
    </row>
    <row r="1977" spans="1:5">
      <c r="A1977" t="s">
        <v>38</v>
      </c>
      <c r="B1977" s="11" t="s">
        <v>61</v>
      </c>
      <c r="C1977">
        <v>1004</v>
      </c>
      <c r="D1977" s="9">
        <v>-8466.6200000000008</v>
      </c>
      <c r="E1977" t="s">
        <v>56</v>
      </c>
    </row>
    <row r="1978" spans="1:5">
      <c r="A1978" t="s">
        <v>38</v>
      </c>
      <c r="B1978" s="11" t="s">
        <v>62</v>
      </c>
      <c r="C1978">
        <v>1004</v>
      </c>
      <c r="D1978" s="9">
        <v>-5900.79</v>
      </c>
      <c r="E1978" t="s">
        <v>56</v>
      </c>
    </row>
    <row r="1979" spans="1:5">
      <c r="A1979" t="s">
        <v>38</v>
      </c>
      <c r="B1979" s="11" t="s">
        <v>63</v>
      </c>
      <c r="C1979">
        <v>1004</v>
      </c>
      <c r="D1979" s="9">
        <v>-10688.03</v>
      </c>
      <c r="E1979" t="s">
        <v>56</v>
      </c>
    </row>
    <row r="1980" spans="1:5">
      <c r="A1980" t="s">
        <v>38</v>
      </c>
      <c r="B1980" s="11" t="s">
        <v>75</v>
      </c>
      <c r="C1980">
        <v>1004</v>
      </c>
      <c r="D1980" s="9">
        <v>-10320.07</v>
      </c>
      <c r="E1980" t="s">
        <v>56</v>
      </c>
    </row>
    <row r="1981" spans="1:5">
      <c r="A1981" t="s">
        <v>38</v>
      </c>
      <c r="B1981" s="11" t="s">
        <v>64</v>
      </c>
      <c r="C1981">
        <v>1004</v>
      </c>
      <c r="D1981" s="9">
        <v>-9235.61</v>
      </c>
      <c r="E1981" t="s">
        <v>57</v>
      </c>
    </row>
    <row r="1982" spans="1:5">
      <c r="A1982" t="s">
        <v>38</v>
      </c>
      <c r="B1982" s="11" t="s">
        <v>65</v>
      </c>
      <c r="C1982">
        <v>1004</v>
      </c>
      <c r="D1982" s="9">
        <v>-6970.65</v>
      </c>
      <c r="E1982" t="s">
        <v>57</v>
      </c>
    </row>
    <row r="1983" spans="1:5">
      <c r="A1983" t="s">
        <v>38</v>
      </c>
      <c r="B1983" s="11" t="s">
        <v>66</v>
      </c>
      <c r="C1983">
        <v>1004</v>
      </c>
      <c r="D1983" s="9">
        <v>-12248.26</v>
      </c>
      <c r="E1983" t="s">
        <v>57</v>
      </c>
    </row>
    <row r="1984" spans="1:5">
      <c r="A1984" t="s">
        <v>38</v>
      </c>
      <c r="B1984" s="11" t="s">
        <v>67</v>
      </c>
      <c r="C1984">
        <v>1004</v>
      </c>
      <c r="D1984" s="9">
        <v>-6442.86</v>
      </c>
      <c r="E1984" t="s">
        <v>57</v>
      </c>
    </row>
    <row r="1985" spans="1:5">
      <c r="A1985" t="s">
        <v>38</v>
      </c>
      <c r="B1985" s="11" t="s">
        <v>76</v>
      </c>
      <c r="C1985">
        <v>1004</v>
      </c>
      <c r="D1985" s="9">
        <v>-4500.8</v>
      </c>
      <c r="E1985" t="s">
        <v>57</v>
      </c>
    </row>
    <row r="1986" spans="1:5">
      <c r="A1986" t="s">
        <v>38</v>
      </c>
      <c r="B1986" s="11" t="s">
        <v>68</v>
      </c>
      <c r="C1986">
        <v>1004</v>
      </c>
      <c r="D1986" s="9">
        <v>-7925.57</v>
      </c>
      <c r="E1986" t="s">
        <v>58</v>
      </c>
    </row>
    <row r="1987" spans="1:5">
      <c r="A1987" t="s">
        <v>38</v>
      </c>
      <c r="B1987" s="11" t="s">
        <v>69</v>
      </c>
      <c r="C1987">
        <v>1004</v>
      </c>
      <c r="D1987" s="9">
        <v>-6952.96</v>
      </c>
      <c r="E1987" t="s">
        <v>58</v>
      </c>
    </row>
    <row r="1988" spans="1:5">
      <c r="A1988" t="s">
        <v>38</v>
      </c>
      <c r="B1988" s="11" t="s">
        <v>77</v>
      </c>
      <c r="C1988">
        <v>1004</v>
      </c>
      <c r="D1988" s="9">
        <v>-9204.33</v>
      </c>
      <c r="E1988" t="s">
        <v>58</v>
      </c>
    </row>
    <row r="1989" spans="1:5">
      <c r="A1989" t="s">
        <v>38</v>
      </c>
      <c r="B1989" s="11" t="s">
        <v>70</v>
      </c>
      <c r="C1989">
        <v>1004</v>
      </c>
      <c r="D1989" s="9">
        <v>-9270.73</v>
      </c>
      <c r="E1989" t="s">
        <v>59</v>
      </c>
    </row>
    <row r="1990" spans="1:5">
      <c r="A1990" t="s">
        <v>38</v>
      </c>
      <c r="B1990" s="11" t="s">
        <v>71</v>
      </c>
      <c r="C1990">
        <v>1004</v>
      </c>
      <c r="D1990" s="9">
        <v>-12081.91</v>
      </c>
      <c r="E1990" t="s">
        <v>59</v>
      </c>
    </row>
    <row r="1991" spans="1:5">
      <c r="A1991" t="s">
        <v>38</v>
      </c>
      <c r="B1991" s="11" t="s">
        <v>72</v>
      </c>
      <c r="C1991">
        <v>1004</v>
      </c>
      <c r="D1991" s="9">
        <v>-11842.06</v>
      </c>
      <c r="E1991" t="s">
        <v>59</v>
      </c>
    </row>
    <row r="1992" spans="1:5">
      <c r="A1992" t="s">
        <v>38</v>
      </c>
      <c r="B1992" s="11" t="s">
        <v>78</v>
      </c>
      <c r="C1992">
        <v>1004</v>
      </c>
      <c r="D1992" s="9">
        <v>-8408.77</v>
      </c>
      <c r="E1992" t="s">
        <v>59</v>
      </c>
    </row>
    <row r="1993" spans="1:5">
      <c r="A1993" t="s">
        <v>38</v>
      </c>
      <c r="B1993" s="11" t="s">
        <v>73</v>
      </c>
      <c r="C1993">
        <v>1004</v>
      </c>
      <c r="D1993" s="9">
        <v>-10639.23</v>
      </c>
      <c r="E1993" t="s">
        <v>60</v>
      </c>
    </row>
    <row r="1994" spans="1:5">
      <c r="A1994" t="s">
        <v>38</v>
      </c>
      <c r="B1994" s="11" t="s">
        <v>74</v>
      </c>
      <c r="C1994">
        <v>1004</v>
      </c>
      <c r="D1994" s="9">
        <v>-9130.02</v>
      </c>
      <c r="E1994" t="s">
        <v>60</v>
      </c>
    </row>
    <row r="1995" spans="1:5">
      <c r="A1995" t="s">
        <v>39</v>
      </c>
      <c r="B1995" s="11" t="s">
        <v>61</v>
      </c>
      <c r="C1995">
        <v>1004</v>
      </c>
      <c r="D1995" s="9">
        <v>-8809.11</v>
      </c>
      <c r="E1995" t="s">
        <v>56</v>
      </c>
    </row>
    <row r="1996" spans="1:5">
      <c r="A1996" t="s">
        <v>39</v>
      </c>
      <c r="B1996" s="11" t="s">
        <v>62</v>
      </c>
      <c r="C1996">
        <v>1004</v>
      </c>
      <c r="D1996" s="9">
        <v>-6523.45</v>
      </c>
      <c r="E1996" t="s">
        <v>56</v>
      </c>
    </row>
    <row r="1997" spans="1:5">
      <c r="A1997" t="s">
        <v>39</v>
      </c>
      <c r="B1997" s="11" t="s">
        <v>63</v>
      </c>
      <c r="C1997">
        <v>1004</v>
      </c>
      <c r="D1997" s="9">
        <v>-10095.89</v>
      </c>
      <c r="E1997" t="s">
        <v>56</v>
      </c>
    </row>
    <row r="1998" spans="1:5">
      <c r="A1998" t="s">
        <v>39</v>
      </c>
      <c r="B1998" s="11" t="s">
        <v>75</v>
      </c>
      <c r="C1998">
        <v>1004</v>
      </c>
      <c r="D1998" s="9">
        <v>-11144.34</v>
      </c>
      <c r="E1998" t="s">
        <v>56</v>
      </c>
    </row>
    <row r="1999" spans="1:5">
      <c r="A1999" t="s">
        <v>39</v>
      </c>
      <c r="B1999" s="11" t="s">
        <v>64</v>
      </c>
      <c r="C1999">
        <v>1004</v>
      </c>
      <c r="D1999" s="9">
        <v>-9934.0300000000007</v>
      </c>
      <c r="E1999" t="s">
        <v>57</v>
      </c>
    </row>
    <row r="2000" spans="1:5">
      <c r="A2000" t="s">
        <v>39</v>
      </c>
      <c r="B2000" s="11" t="s">
        <v>65</v>
      </c>
      <c r="C2000">
        <v>1004</v>
      </c>
      <c r="D2000" s="9">
        <v>-7400.19</v>
      </c>
      <c r="E2000" t="s">
        <v>57</v>
      </c>
    </row>
    <row r="2001" spans="1:5">
      <c r="A2001" t="s">
        <v>39</v>
      </c>
      <c r="B2001" s="11" t="s">
        <v>66</v>
      </c>
      <c r="C2001">
        <v>1004</v>
      </c>
      <c r="D2001" s="9">
        <v>-14287.38</v>
      </c>
      <c r="E2001" t="s">
        <v>57</v>
      </c>
    </row>
    <row r="2002" spans="1:5">
      <c r="A2002" t="s">
        <v>39</v>
      </c>
      <c r="B2002" s="11" t="s">
        <v>67</v>
      </c>
      <c r="C2002">
        <v>1004</v>
      </c>
      <c r="D2002" s="9">
        <v>-7128.3</v>
      </c>
      <c r="E2002" t="s">
        <v>57</v>
      </c>
    </row>
    <row r="2003" spans="1:5">
      <c r="A2003" t="s">
        <v>39</v>
      </c>
      <c r="B2003" s="11" t="s">
        <v>76</v>
      </c>
      <c r="C2003">
        <v>1004</v>
      </c>
      <c r="D2003" s="9">
        <v>-4652.33</v>
      </c>
      <c r="E2003" t="s">
        <v>57</v>
      </c>
    </row>
    <row r="2004" spans="1:5">
      <c r="A2004" t="s">
        <v>39</v>
      </c>
      <c r="B2004" s="11" t="s">
        <v>68</v>
      </c>
      <c r="C2004">
        <v>1004</v>
      </c>
      <c r="D2004" s="9">
        <v>-8363.7099999999991</v>
      </c>
      <c r="E2004" t="s">
        <v>58</v>
      </c>
    </row>
    <row r="2005" spans="1:5">
      <c r="A2005" t="s">
        <v>39</v>
      </c>
      <c r="B2005" s="11" t="s">
        <v>69</v>
      </c>
      <c r="C2005">
        <v>1004</v>
      </c>
      <c r="D2005" s="9">
        <v>-7609.32</v>
      </c>
      <c r="E2005" t="s">
        <v>58</v>
      </c>
    </row>
    <row r="2006" spans="1:5">
      <c r="A2006" t="s">
        <v>39</v>
      </c>
      <c r="B2006" s="11" t="s">
        <v>77</v>
      </c>
      <c r="C2006">
        <v>1004</v>
      </c>
      <c r="D2006" s="9">
        <v>-10053.85</v>
      </c>
      <c r="E2006" t="s">
        <v>58</v>
      </c>
    </row>
    <row r="2007" spans="1:5">
      <c r="A2007" t="s">
        <v>39</v>
      </c>
      <c r="B2007" s="11" t="s">
        <v>70</v>
      </c>
      <c r="C2007">
        <v>1004</v>
      </c>
      <c r="D2007" s="9">
        <v>-10167.200000000001</v>
      </c>
      <c r="E2007" t="s">
        <v>59</v>
      </c>
    </row>
    <row r="2008" spans="1:5">
      <c r="A2008" t="s">
        <v>39</v>
      </c>
      <c r="B2008" s="11" t="s">
        <v>71</v>
      </c>
      <c r="C2008">
        <v>1004</v>
      </c>
      <c r="D2008" s="9">
        <v>-12851.23</v>
      </c>
      <c r="E2008" t="s">
        <v>59</v>
      </c>
    </row>
    <row r="2009" spans="1:5">
      <c r="A2009" t="s">
        <v>39</v>
      </c>
      <c r="B2009" s="11" t="s">
        <v>72</v>
      </c>
      <c r="C2009">
        <v>1004</v>
      </c>
      <c r="D2009" s="9">
        <v>-12800.73</v>
      </c>
      <c r="E2009" t="s">
        <v>59</v>
      </c>
    </row>
    <row r="2010" spans="1:5">
      <c r="A2010" t="s">
        <v>39</v>
      </c>
      <c r="B2010" s="11" t="s">
        <v>78</v>
      </c>
      <c r="C2010">
        <v>1004</v>
      </c>
      <c r="D2010" s="9">
        <v>-8918.43</v>
      </c>
      <c r="E2010" t="s">
        <v>59</v>
      </c>
    </row>
    <row r="2011" spans="1:5">
      <c r="A2011" t="s">
        <v>39</v>
      </c>
      <c r="B2011" s="11" t="s">
        <v>73</v>
      </c>
      <c r="C2011">
        <v>1004</v>
      </c>
      <c r="D2011" s="9">
        <v>-11299.03</v>
      </c>
      <c r="E2011" t="s">
        <v>60</v>
      </c>
    </row>
    <row r="2012" spans="1:5">
      <c r="A2012" t="s">
        <v>39</v>
      </c>
      <c r="B2012" s="11" t="s">
        <v>74</v>
      </c>
      <c r="C2012">
        <v>1004</v>
      </c>
      <c r="D2012" s="9">
        <v>-10125.299999999999</v>
      </c>
      <c r="E2012" t="s">
        <v>60</v>
      </c>
    </row>
    <row r="2013" spans="1:5">
      <c r="A2013" t="s">
        <v>28</v>
      </c>
      <c r="B2013" s="11" t="s">
        <v>61</v>
      </c>
      <c r="C2013">
        <v>1005</v>
      </c>
      <c r="D2013" s="9">
        <v>-1433.2</v>
      </c>
      <c r="E2013" t="s">
        <v>56</v>
      </c>
    </row>
    <row r="2014" spans="1:5">
      <c r="A2014" t="s">
        <v>28</v>
      </c>
      <c r="B2014" s="11" t="s">
        <v>62</v>
      </c>
      <c r="C2014">
        <v>1005</v>
      </c>
      <c r="D2014" s="9">
        <v>-1306.68</v>
      </c>
      <c r="E2014" t="s">
        <v>56</v>
      </c>
    </row>
    <row r="2015" spans="1:5">
      <c r="A2015" t="s">
        <v>28</v>
      </c>
      <c r="B2015" s="11" t="s">
        <v>63</v>
      </c>
      <c r="C2015">
        <v>1005</v>
      </c>
      <c r="D2015" s="9">
        <v>-1525.75</v>
      </c>
      <c r="E2015" t="s">
        <v>56</v>
      </c>
    </row>
    <row r="2016" spans="1:5">
      <c r="A2016" t="s">
        <v>28</v>
      </c>
      <c r="B2016" s="11" t="s">
        <v>64</v>
      </c>
      <c r="C2016">
        <v>1005</v>
      </c>
      <c r="D2016" s="9">
        <v>-1446.45</v>
      </c>
      <c r="E2016" t="s">
        <v>57</v>
      </c>
    </row>
    <row r="2017" spans="1:5">
      <c r="A2017" t="s">
        <v>28</v>
      </c>
      <c r="B2017" s="11" t="s">
        <v>65</v>
      </c>
      <c r="C2017">
        <v>1005</v>
      </c>
      <c r="D2017" s="9">
        <v>-1202.58</v>
      </c>
      <c r="E2017" t="s">
        <v>57</v>
      </c>
    </row>
    <row r="2018" spans="1:5">
      <c r="A2018" t="s">
        <v>28</v>
      </c>
      <c r="B2018" s="11" t="s">
        <v>66</v>
      </c>
      <c r="C2018">
        <v>1005</v>
      </c>
      <c r="D2018" s="9">
        <v>-2506.19</v>
      </c>
      <c r="E2018" t="s">
        <v>57</v>
      </c>
    </row>
    <row r="2019" spans="1:5">
      <c r="A2019" t="s">
        <v>28</v>
      </c>
      <c r="B2019" s="11" t="s">
        <v>67</v>
      </c>
      <c r="C2019">
        <v>1005</v>
      </c>
      <c r="D2019" s="9">
        <v>-1003.12</v>
      </c>
      <c r="E2019" t="s">
        <v>57</v>
      </c>
    </row>
    <row r="2020" spans="1:5">
      <c r="A2020" t="s">
        <v>28</v>
      </c>
      <c r="B2020" s="11" t="s">
        <v>76</v>
      </c>
      <c r="C2020">
        <v>1005</v>
      </c>
      <c r="D2020" s="9">
        <v>-787.3</v>
      </c>
      <c r="E2020" t="s">
        <v>57</v>
      </c>
    </row>
    <row r="2021" spans="1:5">
      <c r="A2021" t="s">
        <v>28</v>
      </c>
      <c r="B2021" s="11" t="s">
        <v>68</v>
      </c>
      <c r="C2021">
        <v>1005</v>
      </c>
      <c r="D2021" s="9">
        <v>-1317.92</v>
      </c>
      <c r="E2021" t="s">
        <v>58</v>
      </c>
    </row>
    <row r="2022" spans="1:5">
      <c r="A2022" t="s">
        <v>28</v>
      </c>
      <c r="B2022" s="11" t="s">
        <v>69</v>
      </c>
      <c r="C2022">
        <v>1005</v>
      </c>
      <c r="D2022" s="9">
        <v>-1211.2</v>
      </c>
      <c r="E2022" t="s">
        <v>58</v>
      </c>
    </row>
    <row r="2023" spans="1:5">
      <c r="A2023" t="s">
        <v>28</v>
      </c>
      <c r="B2023" s="11" t="s">
        <v>77</v>
      </c>
      <c r="C2023">
        <v>1005</v>
      </c>
      <c r="D2023" s="9">
        <v>-1562.77</v>
      </c>
      <c r="E2023" t="s">
        <v>58</v>
      </c>
    </row>
    <row r="2024" spans="1:5">
      <c r="A2024" t="s">
        <v>28</v>
      </c>
      <c r="B2024" s="11" t="s">
        <v>70</v>
      </c>
      <c r="C2024">
        <v>1005</v>
      </c>
      <c r="D2024" s="9">
        <v>-1495.35</v>
      </c>
      <c r="E2024" t="s">
        <v>59</v>
      </c>
    </row>
    <row r="2025" spans="1:5">
      <c r="A2025" t="s">
        <v>28</v>
      </c>
      <c r="B2025" s="11" t="s">
        <v>71</v>
      </c>
      <c r="C2025">
        <v>1005</v>
      </c>
      <c r="D2025" s="9">
        <v>-1878.29</v>
      </c>
      <c r="E2025" t="s">
        <v>59</v>
      </c>
    </row>
    <row r="2026" spans="1:5">
      <c r="A2026" t="s">
        <v>28</v>
      </c>
      <c r="B2026" s="11" t="s">
        <v>72</v>
      </c>
      <c r="C2026">
        <v>1005</v>
      </c>
      <c r="D2026" s="9">
        <v>-1878.49</v>
      </c>
      <c r="E2026" t="s">
        <v>59</v>
      </c>
    </row>
    <row r="2027" spans="1:5">
      <c r="A2027" t="s">
        <v>28</v>
      </c>
      <c r="B2027" s="11" t="s">
        <v>78</v>
      </c>
      <c r="C2027">
        <v>1005</v>
      </c>
      <c r="D2027" s="9">
        <v>-1438.72</v>
      </c>
      <c r="E2027" t="s">
        <v>59</v>
      </c>
    </row>
    <row r="2028" spans="1:5">
      <c r="A2028" t="s">
        <v>28</v>
      </c>
      <c r="B2028" s="11" t="s">
        <v>73</v>
      </c>
      <c r="C2028">
        <v>1005</v>
      </c>
      <c r="D2028" s="9">
        <v>-1636.24</v>
      </c>
      <c r="E2028" t="s">
        <v>60</v>
      </c>
    </row>
    <row r="2029" spans="1:5">
      <c r="A2029" t="s">
        <v>28</v>
      </c>
      <c r="B2029" s="11" t="s">
        <v>74</v>
      </c>
      <c r="C2029">
        <v>1005</v>
      </c>
      <c r="D2029" s="9">
        <v>-1644.19</v>
      </c>
      <c r="E2029" t="s">
        <v>60</v>
      </c>
    </row>
    <row r="2030" spans="1:5">
      <c r="A2030" t="s">
        <v>29</v>
      </c>
      <c r="B2030" s="11" t="s">
        <v>61</v>
      </c>
      <c r="C2030">
        <v>1005</v>
      </c>
      <c r="D2030" s="9">
        <v>-1411.96</v>
      </c>
      <c r="E2030" t="s">
        <v>56</v>
      </c>
    </row>
    <row r="2031" spans="1:5">
      <c r="A2031" t="s">
        <v>29</v>
      </c>
      <c r="B2031" s="11" t="s">
        <v>62</v>
      </c>
      <c r="C2031">
        <v>1005</v>
      </c>
      <c r="D2031" s="9">
        <v>-1209.7</v>
      </c>
      <c r="E2031" t="s">
        <v>56</v>
      </c>
    </row>
    <row r="2032" spans="1:5">
      <c r="A2032" t="s">
        <v>29</v>
      </c>
      <c r="B2032" s="11" t="s">
        <v>63</v>
      </c>
      <c r="C2032">
        <v>1005</v>
      </c>
      <c r="D2032" s="9">
        <v>-1610.3</v>
      </c>
      <c r="E2032" t="s">
        <v>56</v>
      </c>
    </row>
    <row r="2033" spans="1:5">
      <c r="A2033" t="s">
        <v>29</v>
      </c>
      <c r="B2033" s="11" t="s">
        <v>75</v>
      </c>
      <c r="C2033">
        <v>1005</v>
      </c>
      <c r="D2033" s="9">
        <v>-1161.8900000000001</v>
      </c>
      <c r="E2033" t="s">
        <v>56</v>
      </c>
    </row>
    <row r="2034" spans="1:5">
      <c r="A2034" t="s">
        <v>29</v>
      </c>
      <c r="B2034" s="11" t="s">
        <v>64</v>
      </c>
      <c r="C2034">
        <v>1005</v>
      </c>
      <c r="D2034" s="9">
        <v>-1548.59</v>
      </c>
      <c r="E2034" t="s">
        <v>57</v>
      </c>
    </row>
    <row r="2035" spans="1:5">
      <c r="A2035" t="s">
        <v>29</v>
      </c>
      <c r="B2035" s="11" t="s">
        <v>65</v>
      </c>
      <c r="C2035">
        <v>1005</v>
      </c>
      <c r="D2035" s="9">
        <v>-1226.3699999999999</v>
      </c>
      <c r="E2035" t="s">
        <v>57</v>
      </c>
    </row>
    <row r="2036" spans="1:5">
      <c r="A2036" t="s">
        <v>29</v>
      </c>
      <c r="B2036" s="11" t="s">
        <v>66</v>
      </c>
      <c r="C2036">
        <v>1005</v>
      </c>
      <c r="D2036" s="9">
        <v>-2525.5</v>
      </c>
      <c r="E2036" t="s">
        <v>57</v>
      </c>
    </row>
    <row r="2037" spans="1:5">
      <c r="A2037" t="s">
        <v>29</v>
      </c>
      <c r="B2037" s="11" t="s">
        <v>67</v>
      </c>
      <c r="C2037">
        <v>1005</v>
      </c>
      <c r="D2037" s="9">
        <v>-1027.5999999999999</v>
      </c>
      <c r="E2037" t="s">
        <v>57</v>
      </c>
    </row>
    <row r="2038" spans="1:5">
      <c r="A2038" t="s">
        <v>29</v>
      </c>
      <c r="B2038" s="11" t="s">
        <v>76</v>
      </c>
      <c r="C2038">
        <v>1005</v>
      </c>
      <c r="D2038" s="9">
        <v>-793.27</v>
      </c>
      <c r="E2038" t="s">
        <v>57</v>
      </c>
    </row>
    <row r="2039" spans="1:5">
      <c r="A2039" t="s">
        <v>29</v>
      </c>
      <c r="B2039" s="11" t="s">
        <v>68</v>
      </c>
      <c r="C2039">
        <v>1005</v>
      </c>
      <c r="D2039" s="9">
        <v>-1362.54</v>
      </c>
      <c r="E2039" t="s">
        <v>58</v>
      </c>
    </row>
    <row r="2040" spans="1:5">
      <c r="A2040" t="s">
        <v>29</v>
      </c>
      <c r="B2040" s="11" t="s">
        <v>69</v>
      </c>
      <c r="C2040">
        <v>1005</v>
      </c>
      <c r="D2040" s="9">
        <v>-1131.8800000000001</v>
      </c>
      <c r="E2040" t="s">
        <v>58</v>
      </c>
    </row>
    <row r="2041" spans="1:5">
      <c r="A2041" t="s">
        <v>29</v>
      </c>
      <c r="B2041" s="11" t="s">
        <v>77</v>
      </c>
      <c r="C2041">
        <v>1005</v>
      </c>
      <c r="D2041" s="9">
        <v>-1580.32</v>
      </c>
      <c r="E2041" t="s">
        <v>58</v>
      </c>
    </row>
    <row r="2042" spans="1:5">
      <c r="A2042" t="s">
        <v>29</v>
      </c>
      <c r="B2042" s="11" t="s">
        <v>70</v>
      </c>
      <c r="C2042">
        <v>1005</v>
      </c>
      <c r="D2042" s="9">
        <v>-1594.79</v>
      </c>
      <c r="E2042" t="s">
        <v>59</v>
      </c>
    </row>
    <row r="2043" spans="1:5">
      <c r="A2043" t="s">
        <v>29</v>
      </c>
      <c r="B2043" s="11" t="s">
        <v>71</v>
      </c>
      <c r="C2043">
        <v>1005</v>
      </c>
      <c r="D2043" s="9">
        <v>-1897.04</v>
      </c>
      <c r="E2043" t="s">
        <v>59</v>
      </c>
    </row>
    <row r="2044" spans="1:5">
      <c r="A2044" t="s">
        <v>29</v>
      </c>
      <c r="B2044" s="11" t="s">
        <v>72</v>
      </c>
      <c r="C2044">
        <v>1005</v>
      </c>
      <c r="D2044" s="9">
        <v>-1912.3</v>
      </c>
      <c r="E2044" t="s">
        <v>59</v>
      </c>
    </row>
    <row r="2045" spans="1:5">
      <c r="A2045" t="s">
        <v>29</v>
      </c>
      <c r="B2045" s="11" t="s">
        <v>78</v>
      </c>
      <c r="C2045">
        <v>1005</v>
      </c>
      <c r="D2045" s="9">
        <v>-1483.19</v>
      </c>
      <c r="E2045" t="s">
        <v>59</v>
      </c>
    </row>
    <row r="2046" spans="1:5">
      <c r="A2046" t="s">
        <v>29</v>
      </c>
      <c r="B2046" s="11" t="s">
        <v>73</v>
      </c>
      <c r="C2046">
        <v>1005</v>
      </c>
      <c r="D2046" s="9">
        <v>-1698.2</v>
      </c>
      <c r="E2046" t="s">
        <v>60</v>
      </c>
    </row>
    <row r="2047" spans="1:5">
      <c r="A2047" t="s">
        <v>29</v>
      </c>
      <c r="B2047" s="11" t="s">
        <v>74</v>
      </c>
      <c r="C2047">
        <v>1005</v>
      </c>
      <c r="D2047" s="9">
        <v>-1723.12</v>
      </c>
      <c r="E2047" t="s">
        <v>60</v>
      </c>
    </row>
    <row r="2048" spans="1:5">
      <c r="A2048" t="s">
        <v>30</v>
      </c>
      <c r="B2048" s="11" t="s">
        <v>61</v>
      </c>
      <c r="C2048">
        <v>1005</v>
      </c>
      <c r="D2048" s="9">
        <v>-1275.69</v>
      </c>
      <c r="E2048" t="s">
        <v>56</v>
      </c>
    </row>
    <row r="2049" spans="1:5">
      <c r="A2049" t="s">
        <v>30</v>
      </c>
      <c r="B2049" s="11" t="s">
        <v>62</v>
      </c>
      <c r="C2049">
        <v>1005</v>
      </c>
      <c r="D2049" s="9">
        <v>-915.32</v>
      </c>
      <c r="E2049" t="s">
        <v>56</v>
      </c>
    </row>
    <row r="2050" spans="1:5">
      <c r="A2050" t="s">
        <v>30</v>
      </c>
      <c r="B2050" s="11" t="s">
        <v>63</v>
      </c>
      <c r="C2050">
        <v>1005</v>
      </c>
      <c r="D2050" s="9">
        <v>-1611.15</v>
      </c>
      <c r="E2050" t="s">
        <v>56</v>
      </c>
    </row>
    <row r="2051" spans="1:5">
      <c r="A2051" t="s">
        <v>30</v>
      </c>
      <c r="B2051" s="11" t="s">
        <v>75</v>
      </c>
      <c r="C2051">
        <v>1005</v>
      </c>
      <c r="D2051" s="9">
        <v>-1324.75</v>
      </c>
      <c r="E2051" t="s">
        <v>56</v>
      </c>
    </row>
    <row r="2052" spans="1:5">
      <c r="A2052" t="s">
        <v>30</v>
      </c>
      <c r="B2052" s="11" t="s">
        <v>64</v>
      </c>
      <c r="C2052">
        <v>1005</v>
      </c>
      <c r="D2052" s="9">
        <v>-1429.31</v>
      </c>
      <c r="E2052" t="s">
        <v>57</v>
      </c>
    </row>
    <row r="2053" spans="1:5">
      <c r="A2053" t="s">
        <v>30</v>
      </c>
      <c r="B2053" s="11" t="s">
        <v>65</v>
      </c>
      <c r="C2053">
        <v>1005</v>
      </c>
      <c r="D2053" s="9">
        <v>-946.56</v>
      </c>
      <c r="E2053" t="s">
        <v>57</v>
      </c>
    </row>
    <row r="2054" spans="1:5">
      <c r="A2054" t="s">
        <v>30</v>
      </c>
      <c r="B2054" s="11" t="s">
        <v>66</v>
      </c>
      <c r="C2054">
        <v>1005</v>
      </c>
      <c r="D2054" s="9">
        <v>-2172.9</v>
      </c>
      <c r="E2054" t="s">
        <v>57</v>
      </c>
    </row>
    <row r="2055" spans="1:5">
      <c r="A2055" t="s">
        <v>30</v>
      </c>
      <c r="B2055" s="11" t="s">
        <v>67</v>
      </c>
      <c r="C2055">
        <v>1005</v>
      </c>
      <c r="D2055" s="9">
        <v>-948.27</v>
      </c>
      <c r="E2055" t="s">
        <v>57</v>
      </c>
    </row>
    <row r="2056" spans="1:5">
      <c r="A2056" t="s">
        <v>30</v>
      </c>
      <c r="B2056" s="11" t="s">
        <v>76</v>
      </c>
      <c r="C2056">
        <v>1005</v>
      </c>
      <c r="D2056" s="9">
        <v>-678.38</v>
      </c>
      <c r="E2056" t="s">
        <v>57</v>
      </c>
    </row>
    <row r="2057" spans="1:5">
      <c r="A2057" t="s">
        <v>30</v>
      </c>
      <c r="B2057" s="11" t="s">
        <v>68</v>
      </c>
      <c r="C2057">
        <v>1005</v>
      </c>
      <c r="D2057" s="9">
        <v>-1182.58</v>
      </c>
      <c r="E2057" t="s">
        <v>58</v>
      </c>
    </row>
    <row r="2058" spans="1:5">
      <c r="A2058" t="s">
        <v>30</v>
      </c>
      <c r="B2058" s="11" t="s">
        <v>69</v>
      </c>
      <c r="C2058">
        <v>1005</v>
      </c>
      <c r="D2058" s="9">
        <v>-1037.01</v>
      </c>
      <c r="E2058" t="s">
        <v>58</v>
      </c>
    </row>
    <row r="2059" spans="1:5">
      <c r="A2059" t="s">
        <v>30</v>
      </c>
      <c r="B2059" s="11" t="s">
        <v>77</v>
      </c>
      <c r="C2059">
        <v>1005</v>
      </c>
      <c r="D2059" s="9">
        <v>-1396.31</v>
      </c>
      <c r="E2059" t="s">
        <v>58</v>
      </c>
    </row>
    <row r="2060" spans="1:5">
      <c r="A2060" t="s">
        <v>30</v>
      </c>
      <c r="B2060" s="11" t="s">
        <v>70</v>
      </c>
      <c r="C2060">
        <v>1005</v>
      </c>
      <c r="D2060" s="9">
        <v>-1363.21</v>
      </c>
      <c r="E2060" t="s">
        <v>59</v>
      </c>
    </row>
    <row r="2061" spans="1:5">
      <c r="A2061" t="s">
        <v>30</v>
      </c>
      <c r="B2061" s="11" t="s">
        <v>71</v>
      </c>
      <c r="C2061">
        <v>1005</v>
      </c>
      <c r="D2061" s="9">
        <v>-1763.63</v>
      </c>
      <c r="E2061" t="s">
        <v>59</v>
      </c>
    </row>
    <row r="2062" spans="1:5">
      <c r="A2062" t="s">
        <v>30</v>
      </c>
      <c r="B2062" s="11" t="s">
        <v>72</v>
      </c>
      <c r="C2062">
        <v>1005</v>
      </c>
      <c r="D2062" s="9">
        <v>-1723.97</v>
      </c>
      <c r="E2062" t="s">
        <v>59</v>
      </c>
    </row>
    <row r="2063" spans="1:5">
      <c r="A2063" t="s">
        <v>30</v>
      </c>
      <c r="B2063" s="11" t="s">
        <v>78</v>
      </c>
      <c r="C2063">
        <v>1005</v>
      </c>
      <c r="D2063" s="9">
        <v>-1313.56</v>
      </c>
      <c r="E2063" t="s">
        <v>59</v>
      </c>
    </row>
    <row r="2064" spans="1:5">
      <c r="A2064" t="s">
        <v>30</v>
      </c>
      <c r="B2064" s="11" t="s">
        <v>73</v>
      </c>
      <c r="C2064">
        <v>1005</v>
      </c>
      <c r="D2064" s="9">
        <v>-1468.34</v>
      </c>
      <c r="E2064" t="s">
        <v>60</v>
      </c>
    </row>
    <row r="2065" spans="1:5">
      <c r="A2065" t="s">
        <v>30</v>
      </c>
      <c r="B2065" s="11" t="s">
        <v>74</v>
      </c>
      <c r="C2065">
        <v>1005</v>
      </c>
      <c r="D2065" s="9">
        <v>-1521.84</v>
      </c>
      <c r="E2065" t="s">
        <v>60</v>
      </c>
    </row>
    <row r="2066" spans="1:5">
      <c r="A2066" t="s">
        <v>31</v>
      </c>
      <c r="B2066" s="11" t="s">
        <v>61</v>
      </c>
      <c r="C2066">
        <v>1005</v>
      </c>
      <c r="D2066" s="9">
        <v>-1373.32</v>
      </c>
      <c r="E2066" t="s">
        <v>56</v>
      </c>
    </row>
    <row r="2067" spans="1:5">
      <c r="A2067" t="s">
        <v>31</v>
      </c>
      <c r="B2067" s="11" t="s">
        <v>62</v>
      </c>
      <c r="C2067">
        <v>1005</v>
      </c>
      <c r="D2067" s="9">
        <v>-904.31</v>
      </c>
      <c r="E2067" t="s">
        <v>56</v>
      </c>
    </row>
    <row r="2068" spans="1:5">
      <c r="A2068" t="s">
        <v>31</v>
      </c>
      <c r="B2068" s="11" t="s">
        <v>63</v>
      </c>
      <c r="C2068">
        <v>1005</v>
      </c>
      <c r="D2068" s="9">
        <v>-1577.83</v>
      </c>
      <c r="E2068" t="s">
        <v>56</v>
      </c>
    </row>
    <row r="2069" spans="1:5">
      <c r="A2069" t="s">
        <v>31</v>
      </c>
      <c r="B2069" s="11" t="s">
        <v>75</v>
      </c>
      <c r="C2069">
        <v>1005</v>
      </c>
      <c r="D2069" s="9">
        <v>-1517.28</v>
      </c>
      <c r="E2069" t="s">
        <v>56</v>
      </c>
    </row>
    <row r="2070" spans="1:5">
      <c r="A2070" t="s">
        <v>31</v>
      </c>
      <c r="B2070" s="11" t="s">
        <v>64</v>
      </c>
      <c r="C2070">
        <v>1005</v>
      </c>
      <c r="D2070" s="9">
        <v>-1405.53</v>
      </c>
      <c r="E2070" t="s">
        <v>57</v>
      </c>
    </row>
    <row r="2071" spans="1:5">
      <c r="A2071" t="s">
        <v>31</v>
      </c>
      <c r="B2071" s="11" t="s">
        <v>65</v>
      </c>
      <c r="C2071">
        <v>1005</v>
      </c>
      <c r="D2071" s="9">
        <v>-1064.6500000000001</v>
      </c>
      <c r="E2071" t="s">
        <v>57</v>
      </c>
    </row>
    <row r="2072" spans="1:5">
      <c r="A2072" t="s">
        <v>31</v>
      </c>
      <c r="B2072" s="11" t="s">
        <v>66</v>
      </c>
      <c r="C2072">
        <v>1005</v>
      </c>
      <c r="D2072" s="9">
        <v>-2044.84</v>
      </c>
      <c r="E2072" t="s">
        <v>57</v>
      </c>
    </row>
    <row r="2073" spans="1:5">
      <c r="A2073" t="s">
        <v>31</v>
      </c>
      <c r="B2073" s="11" t="s">
        <v>67</v>
      </c>
      <c r="C2073">
        <v>1005</v>
      </c>
      <c r="D2073" s="9">
        <v>-968.41</v>
      </c>
      <c r="E2073" t="s">
        <v>57</v>
      </c>
    </row>
    <row r="2074" spans="1:5">
      <c r="A2074" t="s">
        <v>31</v>
      </c>
      <c r="B2074" s="11" t="s">
        <v>76</v>
      </c>
      <c r="C2074">
        <v>1005</v>
      </c>
      <c r="D2074" s="9">
        <v>-673.02</v>
      </c>
      <c r="E2074" t="s">
        <v>57</v>
      </c>
    </row>
    <row r="2075" spans="1:5">
      <c r="A2075" t="s">
        <v>31</v>
      </c>
      <c r="B2075" s="11" t="s">
        <v>68</v>
      </c>
      <c r="C2075">
        <v>1005</v>
      </c>
      <c r="D2075" s="9">
        <v>-1184.28</v>
      </c>
      <c r="E2075" t="s">
        <v>58</v>
      </c>
    </row>
    <row r="2076" spans="1:5">
      <c r="A2076" t="s">
        <v>31</v>
      </c>
      <c r="B2076" s="11" t="s">
        <v>69</v>
      </c>
      <c r="C2076">
        <v>1005</v>
      </c>
      <c r="D2076" s="9">
        <v>-1047.45</v>
      </c>
      <c r="E2076" t="s">
        <v>58</v>
      </c>
    </row>
    <row r="2077" spans="1:5">
      <c r="A2077" t="s">
        <v>31</v>
      </c>
      <c r="B2077" s="11" t="s">
        <v>77</v>
      </c>
      <c r="C2077">
        <v>1005</v>
      </c>
      <c r="D2077" s="9">
        <v>-1391.39</v>
      </c>
      <c r="E2077" t="s">
        <v>58</v>
      </c>
    </row>
    <row r="2078" spans="1:5">
      <c r="A2078" t="s">
        <v>31</v>
      </c>
      <c r="B2078" s="11" t="s">
        <v>70</v>
      </c>
      <c r="C2078">
        <v>1005</v>
      </c>
      <c r="D2078" s="9">
        <v>-1410.42</v>
      </c>
      <c r="E2078" t="s">
        <v>59</v>
      </c>
    </row>
    <row r="2079" spans="1:5">
      <c r="A2079" t="s">
        <v>31</v>
      </c>
      <c r="B2079" s="11" t="s">
        <v>71</v>
      </c>
      <c r="C2079">
        <v>1005</v>
      </c>
      <c r="D2079" s="9">
        <v>-1853.65</v>
      </c>
      <c r="E2079" t="s">
        <v>59</v>
      </c>
    </row>
    <row r="2080" spans="1:5">
      <c r="A2080" t="s">
        <v>31</v>
      </c>
      <c r="B2080" s="11" t="s">
        <v>72</v>
      </c>
      <c r="C2080">
        <v>1005</v>
      </c>
      <c r="D2080" s="9">
        <v>-1744.28</v>
      </c>
      <c r="E2080" t="s">
        <v>59</v>
      </c>
    </row>
    <row r="2081" spans="1:5">
      <c r="A2081" t="s">
        <v>31</v>
      </c>
      <c r="B2081" s="11" t="s">
        <v>78</v>
      </c>
      <c r="C2081">
        <v>1005</v>
      </c>
      <c r="D2081" s="9">
        <v>-1220.1300000000001</v>
      </c>
      <c r="E2081" t="s">
        <v>59</v>
      </c>
    </row>
    <row r="2082" spans="1:5">
      <c r="A2082" t="s">
        <v>31</v>
      </c>
      <c r="B2082" s="11" t="s">
        <v>73</v>
      </c>
      <c r="C2082">
        <v>1005</v>
      </c>
      <c r="D2082" s="9">
        <v>-1527.83</v>
      </c>
      <c r="E2082" t="s">
        <v>60</v>
      </c>
    </row>
    <row r="2083" spans="1:5">
      <c r="A2083" t="s">
        <v>31</v>
      </c>
      <c r="B2083" s="11" t="s">
        <v>74</v>
      </c>
      <c r="C2083">
        <v>1005</v>
      </c>
      <c r="D2083" s="9">
        <v>-1480.12</v>
      </c>
      <c r="E2083" t="s">
        <v>60</v>
      </c>
    </row>
    <row r="2084" spans="1:5">
      <c r="A2084" t="s">
        <v>32</v>
      </c>
      <c r="B2084" s="11" t="s">
        <v>61</v>
      </c>
      <c r="C2084">
        <v>1005</v>
      </c>
      <c r="D2084" s="9">
        <v>-1269.99</v>
      </c>
      <c r="E2084" t="s">
        <v>56</v>
      </c>
    </row>
    <row r="2085" spans="1:5">
      <c r="A2085" t="s">
        <v>32</v>
      </c>
      <c r="B2085" s="11" t="s">
        <v>62</v>
      </c>
      <c r="C2085">
        <v>1005</v>
      </c>
      <c r="D2085" s="9">
        <v>-885.12</v>
      </c>
      <c r="E2085" t="s">
        <v>56</v>
      </c>
    </row>
    <row r="2086" spans="1:5">
      <c r="A2086" t="s">
        <v>32</v>
      </c>
      <c r="B2086" s="11" t="s">
        <v>63</v>
      </c>
      <c r="C2086">
        <v>1005</v>
      </c>
      <c r="D2086" s="9">
        <v>-1603.2</v>
      </c>
      <c r="E2086" t="s">
        <v>56</v>
      </c>
    </row>
    <row r="2087" spans="1:5">
      <c r="A2087" t="s">
        <v>32</v>
      </c>
      <c r="B2087" s="11" t="s">
        <v>75</v>
      </c>
      <c r="C2087">
        <v>1005</v>
      </c>
      <c r="D2087" s="9">
        <v>-1548.01</v>
      </c>
      <c r="E2087" t="s">
        <v>56</v>
      </c>
    </row>
    <row r="2088" spans="1:5">
      <c r="A2088" t="s">
        <v>32</v>
      </c>
      <c r="B2088" s="11" t="s">
        <v>64</v>
      </c>
      <c r="C2088">
        <v>1005</v>
      </c>
      <c r="D2088" s="9">
        <v>-1385.34</v>
      </c>
      <c r="E2088" t="s">
        <v>57</v>
      </c>
    </row>
    <row r="2089" spans="1:5">
      <c r="A2089" t="s">
        <v>32</v>
      </c>
      <c r="B2089" s="11" t="s">
        <v>65</v>
      </c>
      <c r="C2089">
        <v>1005</v>
      </c>
      <c r="D2089" s="9">
        <v>-1045.5999999999999</v>
      </c>
      <c r="E2089" t="s">
        <v>57</v>
      </c>
    </row>
    <row r="2090" spans="1:5">
      <c r="A2090" t="s">
        <v>32</v>
      </c>
      <c r="B2090" s="11" t="s">
        <v>66</v>
      </c>
      <c r="C2090">
        <v>1005</v>
      </c>
      <c r="D2090" s="9">
        <v>-1837.24</v>
      </c>
      <c r="E2090" t="s">
        <v>57</v>
      </c>
    </row>
    <row r="2091" spans="1:5">
      <c r="A2091" t="s">
        <v>32</v>
      </c>
      <c r="B2091" s="11" t="s">
        <v>67</v>
      </c>
      <c r="C2091">
        <v>1005</v>
      </c>
      <c r="D2091" s="9">
        <v>-966.43</v>
      </c>
      <c r="E2091" t="s">
        <v>57</v>
      </c>
    </row>
    <row r="2092" spans="1:5">
      <c r="A2092" t="s">
        <v>32</v>
      </c>
      <c r="B2092" s="11" t="s">
        <v>76</v>
      </c>
      <c r="C2092">
        <v>1005</v>
      </c>
      <c r="D2092" s="9">
        <v>-675.12</v>
      </c>
      <c r="E2092" t="s">
        <v>57</v>
      </c>
    </row>
    <row r="2093" spans="1:5">
      <c r="A2093" t="s">
        <v>32</v>
      </c>
      <c r="B2093" s="11" t="s">
        <v>68</v>
      </c>
      <c r="C2093">
        <v>1005</v>
      </c>
      <c r="D2093" s="9">
        <v>-1188.8399999999999</v>
      </c>
      <c r="E2093" t="s">
        <v>58</v>
      </c>
    </row>
    <row r="2094" spans="1:5">
      <c r="A2094" t="s">
        <v>32</v>
      </c>
      <c r="B2094" s="11" t="s">
        <v>69</v>
      </c>
      <c r="C2094">
        <v>1005</v>
      </c>
      <c r="D2094" s="9">
        <v>-1042.94</v>
      </c>
      <c r="E2094" t="s">
        <v>58</v>
      </c>
    </row>
    <row r="2095" spans="1:5">
      <c r="A2095" t="s">
        <v>32</v>
      </c>
      <c r="B2095" s="11" t="s">
        <v>77</v>
      </c>
      <c r="C2095">
        <v>1005</v>
      </c>
      <c r="D2095" s="9">
        <v>-1380.65</v>
      </c>
      <c r="E2095" t="s">
        <v>58</v>
      </c>
    </row>
    <row r="2096" spans="1:5">
      <c r="A2096" t="s">
        <v>32</v>
      </c>
      <c r="B2096" s="11" t="s">
        <v>70</v>
      </c>
      <c r="C2096">
        <v>1005</v>
      </c>
      <c r="D2096" s="9">
        <v>-1390.61</v>
      </c>
      <c r="E2096" t="s">
        <v>59</v>
      </c>
    </row>
    <row r="2097" spans="1:5">
      <c r="A2097" t="s">
        <v>32</v>
      </c>
      <c r="B2097" s="11" t="s">
        <v>71</v>
      </c>
      <c r="C2097">
        <v>1005</v>
      </c>
      <c r="D2097" s="9">
        <v>-1812.29</v>
      </c>
      <c r="E2097" t="s">
        <v>59</v>
      </c>
    </row>
    <row r="2098" spans="1:5">
      <c r="A2098" t="s">
        <v>32</v>
      </c>
      <c r="B2098" s="11" t="s">
        <v>72</v>
      </c>
      <c r="C2098">
        <v>1005</v>
      </c>
      <c r="D2098" s="9">
        <v>-1776.31</v>
      </c>
      <c r="E2098" t="s">
        <v>59</v>
      </c>
    </row>
    <row r="2099" spans="1:5">
      <c r="A2099" t="s">
        <v>32</v>
      </c>
      <c r="B2099" s="11" t="s">
        <v>78</v>
      </c>
      <c r="C2099">
        <v>1005</v>
      </c>
      <c r="D2099" s="9">
        <v>-1261.32</v>
      </c>
      <c r="E2099" t="s">
        <v>59</v>
      </c>
    </row>
    <row r="2100" spans="1:5">
      <c r="A2100" t="s">
        <v>32</v>
      </c>
      <c r="B2100" s="11" t="s">
        <v>73</v>
      </c>
      <c r="C2100">
        <v>1005</v>
      </c>
      <c r="D2100" s="9">
        <v>-1595.88</v>
      </c>
      <c r="E2100" t="s">
        <v>60</v>
      </c>
    </row>
    <row r="2101" spans="1:5">
      <c r="A2101" t="s">
        <v>32</v>
      </c>
      <c r="B2101" s="11" t="s">
        <v>74</v>
      </c>
      <c r="C2101">
        <v>1005</v>
      </c>
      <c r="D2101" s="9">
        <v>-1369.5</v>
      </c>
      <c r="E2101" t="s">
        <v>60</v>
      </c>
    </row>
    <row r="2102" spans="1:5">
      <c r="A2102" t="s">
        <v>33</v>
      </c>
      <c r="B2102" s="11" t="s">
        <v>61</v>
      </c>
      <c r="C2102">
        <v>1005</v>
      </c>
      <c r="D2102" s="9">
        <v>-1434.37</v>
      </c>
      <c r="E2102" t="s">
        <v>56</v>
      </c>
    </row>
    <row r="2103" spans="1:5">
      <c r="A2103" t="s">
        <v>33</v>
      </c>
      <c r="B2103" s="11" t="s">
        <v>62</v>
      </c>
      <c r="C2103">
        <v>1005</v>
      </c>
      <c r="D2103" s="9">
        <v>-942.65</v>
      </c>
      <c r="E2103" t="s">
        <v>56</v>
      </c>
    </row>
    <row r="2104" spans="1:5">
      <c r="A2104" t="s">
        <v>33</v>
      </c>
      <c r="B2104" s="11" t="s">
        <v>63</v>
      </c>
      <c r="C2104">
        <v>1005</v>
      </c>
      <c r="D2104" s="9">
        <v>-1612.47</v>
      </c>
      <c r="E2104" t="s">
        <v>56</v>
      </c>
    </row>
    <row r="2105" spans="1:5">
      <c r="A2105" t="s">
        <v>33</v>
      </c>
      <c r="B2105" s="11" t="s">
        <v>75</v>
      </c>
      <c r="C2105">
        <v>1005</v>
      </c>
      <c r="D2105" s="9">
        <v>-1697.14</v>
      </c>
      <c r="E2105" t="s">
        <v>56</v>
      </c>
    </row>
    <row r="2106" spans="1:5">
      <c r="A2106" t="s">
        <v>33</v>
      </c>
      <c r="B2106" s="11" t="s">
        <v>64</v>
      </c>
      <c r="C2106">
        <v>1005</v>
      </c>
      <c r="D2106" s="9">
        <v>-1573</v>
      </c>
      <c r="E2106" t="s">
        <v>57</v>
      </c>
    </row>
    <row r="2107" spans="1:5">
      <c r="A2107" t="s">
        <v>33</v>
      </c>
      <c r="B2107" s="11" t="s">
        <v>65</v>
      </c>
      <c r="C2107">
        <v>1005</v>
      </c>
      <c r="D2107" s="9">
        <v>-1283.18</v>
      </c>
      <c r="E2107" t="s">
        <v>57</v>
      </c>
    </row>
    <row r="2108" spans="1:5">
      <c r="A2108" t="s">
        <v>33</v>
      </c>
      <c r="B2108" s="11" t="s">
        <v>66</v>
      </c>
      <c r="C2108">
        <v>1005</v>
      </c>
      <c r="D2108" s="9">
        <v>-2578.42</v>
      </c>
      <c r="E2108" t="s">
        <v>57</v>
      </c>
    </row>
    <row r="2109" spans="1:5">
      <c r="A2109" t="s">
        <v>33</v>
      </c>
      <c r="B2109" s="11" t="s">
        <v>67</v>
      </c>
      <c r="C2109">
        <v>1005</v>
      </c>
      <c r="D2109" s="9">
        <v>-1062.5</v>
      </c>
      <c r="E2109" t="s">
        <v>57</v>
      </c>
    </row>
    <row r="2110" spans="1:5">
      <c r="A2110" t="s">
        <v>33</v>
      </c>
      <c r="B2110" s="11" t="s">
        <v>76</v>
      </c>
      <c r="C2110">
        <v>1005</v>
      </c>
      <c r="D2110" s="9">
        <v>-783.92</v>
      </c>
      <c r="E2110" t="s">
        <v>57</v>
      </c>
    </row>
    <row r="2111" spans="1:5">
      <c r="A2111" t="s">
        <v>33</v>
      </c>
      <c r="B2111" s="11" t="s">
        <v>68</v>
      </c>
      <c r="C2111">
        <v>1005</v>
      </c>
      <c r="D2111" s="9">
        <v>-1350.15</v>
      </c>
      <c r="E2111" t="s">
        <v>58</v>
      </c>
    </row>
    <row r="2112" spans="1:5">
      <c r="A2112" t="s">
        <v>33</v>
      </c>
      <c r="B2112" s="11" t="s">
        <v>69</v>
      </c>
      <c r="C2112">
        <v>1005</v>
      </c>
      <c r="D2112" s="9">
        <v>-1191.9100000000001</v>
      </c>
      <c r="E2112" t="s">
        <v>58</v>
      </c>
    </row>
    <row r="2113" spans="1:5">
      <c r="A2113" t="s">
        <v>33</v>
      </c>
      <c r="B2113" s="11" t="s">
        <v>77</v>
      </c>
      <c r="C2113">
        <v>1005</v>
      </c>
      <c r="D2113" s="9">
        <v>-1678.86</v>
      </c>
      <c r="E2113" t="s">
        <v>58</v>
      </c>
    </row>
    <row r="2114" spans="1:5">
      <c r="A2114" t="s">
        <v>33</v>
      </c>
      <c r="B2114" s="11" t="s">
        <v>70</v>
      </c>
      <c r="C2114">
        <v>1005</v>
      </c>
      <c r="D2114" s="9">
        <v>-1631.41</v>
      </c>
      <c r="E2114" t="s">
        <v>59</v>
      </c>
    </row>
    <row r="2115" spans="1:5">
      <c r="A2115" t="s">
        <v>33</v>
      </c>
      <c r="B2115" s="11" t="s">
        <v>71</v>
      </c>
      <c r="C2115">
        <v>1005</v>
      </c>
      <c r="D2115" s="9">
        <v>-1896.11</v>
      </c>
      <c r="E2115" t="s">
        <v>59</v>
      </c>
    </row>
    <row r="2116" spans="1:5">
      <c r="A2116" t="s">
        <v>33</v>
      </c>
      <c r="B2116" s="11" t="s">
        <v>72</v>
      </c>
      <c r="C2116">
        <v>1005</v>
      </c>
      <c r="D2116" s="9">
        <v>-2075.9299999999998</v>
      </c>
      <c r="E2116" t="s">
        <v>59</v>
      </c>
    </row>
    <row r="2117" spans="1:5">
      <c r="A2117" t="s">
        <v>33</v>
      </c>
      <c r="B2117" s="11" t="s">
        <v>78</v>
      </c>
      <c r="C2117">
        <v>1005</v>
      </c>
      <c r="D2117" s="9">
        <v>-1649.03</v>
      </c>
      <c r="E2117" t="s">
        <v>59</v>
      </c>
    </row>
    <row r="2118" spans="1:5">
      <c r="A2118" t="s">
        <v>33</v>
      </c>
      <c r="B2118" s="11" t="s">
        <v>73</v>
      </c>
      <c r="C2118">
        <v>1005</v>
      </c>
      <c r="D2118" s="9">
        <v>-1778.45</v>
      </c>
      <c r="E2118" t="s">
        <v>60</v>
      </c>
    </row>
    <row r="2119" spans="1:5">
      <c r="A2119" t="s">
        <v>33</v>
      </c>
      <c r="B2119" s="11" t="s">
        <v>74</v>
      </c>
      <c r="C2119">
        <v>1005</v>
      </c>
      <c r="D2119" s="9">
        <v>-1567.41</v>
      </c>
      <c r="E2119" t="s">
        <v>60</v>
      </c>
    </row>
    <row r="2120" spans="1:5">
      <c r="A2120" t="s">
        <v>34</v>
      </c>
      <c r="B2120" s="11" t="s">
        <v>61</v>
      </c>
      <c r="C2120">
        <v>1005</v>
      </c>
      <c r="D2120" s="9">
        <v>-1433.2</v>
      </c>
      <c r="E2120" t="s">
        <v>56</v>
      </c>
    </row>
    <row r="2121" spans="1:5">
      <c r="A2121" t="s">
        <v>34</v>
      </c>
      <c r="B2121" s="11" t="s">
        <v>62</v>
      </c>
      <c r="C2121">
        <v>1005</v>
      </c>
      <c r="D2121" s="9">
        <v>-1306.68</v>
      </c>
      <c r="E2121" t="s">
        <v>56</v>
      </c>
    </row>
    <row r="2122" spans="1:5">
      <c r="A2122" t="s">
        <v>34</v>
      </c>
      <c r="B2122" s="11" t="s">
        <v>63</v>
      </c>
      <c r="C2122">
        <v>1005</v>
      </c>
      <c r="D2122" s="9">
        <v>-1525.75</v>
      </c>
      <c r="E2122" t="s">
        <v>56</v>
      </c>
    </row>
    <row r="2123" spans="1:5">
      <c r="A2123" t="s">
        <v>34</v>
      </c>
      <c r="B2123" s="11" t="s">
        <v>64</v>
      </c>
      <c r="C2123">
        <v>1005</v>
      </c>
      <c r="D2123" s="9">
        <v>-1446.45</v>
      </c>
      <c r="E2123" t="s">
        <v>57</v>
      </c>
    </row>
    <row r="2124" spans="1:5">
      <c r="A2124" t="s">
        <v>34</v>
      </c>
      <c r="B2124" s="11" t="s">
        <v>65</v>
      </c>
      <c r="C2124">
        <v>1005</v>
      </c>
      <c r="D2124" s="9">
        <v>-1202.58</v>
      </c>
      <c r="E2124" t="s">
        <v>57</v>
      </c>
    </row>
    <row r="2125" spans="1:5">
      <c r="A2125" t="s">
        <v>34</v>
      </c>
      <c r="B2125" s="11" t="s">
        <v>66</v>
      </c>
      <c r="C2125">
        <v>1005</v>
      </c>
      <c r="D2125" s="9">
        <v>-2506.19</v>
      </c>
      <c r="E2125" t="s">
        <v>57</v>
      </c>
    </row>
    <row r="2126" spans="1:5">
      <c r="A2126" t="s">
        <v>34</v>
      </c>
      <c r="B2126" s="11" t="s">
        <v>67</v>
      </c>
      <c r="C2126">
        <v>1005</v>
      </c>
      <c r="D2126" s="9">
        <v>-1003.12</v>
      </c>
      <c r="E2126" t="s">
        <v>57</v>
      </c>
    </row>
    <row r="2127" spans="1:5">
      <c r="A2127" t="s">
        <v>34</v>
      </c>
      <c r="B2127" s="11" t="s">
        <v>76</v>
      </c>
      <c r="C2127">
        <v>1005</v>
      </c>
      <c r="D2127" s="9">
        <v>-787.3</v>
      </c>
      <c r="E2127" t="s">
        <v>57</v>
      </c>
    </row>
    <row r="2128" spans="1:5">
      <c r="A2128" t="s">
        <v>34</v>
      </c>
      <c r="B2128" s="11" t="s">
        <v>68</v>
      </c>
      <c r="C2128">
        <v>1005</v>
      </c>
      <c r="D2128" s="9">
        <v>-1317.92</v>
      </c>
      <c r="E2128" t="s">
        <v>58</v>
      </c>
    </row>
    <row r="2129" spans="1:5">
      <c r="A2129" t="s">
        <v>34</v>
      </c>
      <c r="B2129" s="11" t="s">
        <v>69</v>
      </c>
      <c r="C2129">
        <v>1005</v>
      </c>
      <c r="D2129" s="9">
        <v>-1211.2</v>
      </c>
      <c r="E2129" t="s">
        <v>58</v>
      </c>
    </row>
    <row r="2130" spans="1:5">
      <c r="A2130" t="s">
        <v>34</v>
      </c>
      <c r="B2130" s="11" t="s">
        <v>77</v>
      </c>
      <c r="C2130">
        <v>1005</v>
      </c>
      <c r="D2130" s="9">
        <v>-1562.77</v>
      </c>
      <c r="E2130" t="s">
        <v>58</v>
      </c>
    </row>
    <row r="2131" spans="1:5">
      <c r="A2131" t="s">
        <v>34</v>
      </c>
      <c r="B2131" s="11" t="s">
        <v>70</v>
      </c>
      <c r="C2131">
        <v>1005</v>
      </c>
      <c r="D2131" s="9">
        <v>-1495.35</v>
      </c>
      <c r="E2131" t="s">
        <v>59</v>
      </c>
    </row>
    <row r="2132" spans="1:5">
      <c r="A2132" t="s">
        <v>34</v>
      </c>
      <c r="B2132" s="11" t="s">
        <v>71</v>
      </c>
      <c r="C2132">
        <v>1005</v>
      </c>
      <c r="D2132" s="9">
        <v>-1878.29</v>
      </c>
      <c r="E2132" t="s">
        <v>59</v>
      </c>
    </row>
    <row r="2133" spans="1:5">
      <c r="A2133" t="s">
        <v>34</v>
      </c>
      <c r="B2133" s="11" t="s">
        <v>72</v>
      </c>
      <c r="C2133">
        <v>1005</v>
      </c>
      <c r="D2133" s="9">
        <v>-1878.49</v>
      </c>
      <c r="E2133" t="s">
        <v>59</v>
      </c>
    </row>
    <row r="2134" spans="1:5">
      <c r="A2134" t="s">
        <v>34</v>
      </c>
      <c r="B2134" s="11" t="s">
        <v>78</v>
      </c>
      <c r="C2134">
        <v>1005</v>
      </c>
      <c r="D2134" s="9">
        <v>-1438.72</v>
      </c>
      <c r="E2134" t="s">
        <v>59</v>
      </c>
    </row>
    <row r="2135" spans="1:5">
      <c r="A2135" t="s">
        <v>34</v>
      </c>
      <c r="B2135" s="11" t="s">
        <v>73</v>
      </c>
      <c r="C2135">
        <v>1005</v>
      </c>
      <c r="D2135" s="9">
        <v>-1636.24</v>
      </c>
      <c r="E2135" t="s">
        <v>60</v>
      </c>
    </row>
    <row r="2136" spans="1:5">
      <c r="A2136" t="s">
        <v>34</v>
      </c>
      <c r="B2136" s="11" t="s">
        <v>74</v>
      </c>
      <c r="C2136">
        <v>1005</v>
      </c>
      <c r="D2136" s="9">
        <v>-1644.19</v>
      </c>
      <c r="E2136" t="s">
        <v>60</v>
      </c>
    </row>
    <row r="2137" spans="1:5">
      <c r="A2137" t="s">
        <v>35</v>
      </c>
      <c r="B2137" s="11" t="s">
        <v>61</v>
      </c>
      <c r="C2137">
        <v>1005</v>
      </c>
      <c r="D2137" s="9">
        <v>-1411.96</v>
      </c>
      <c r="E2137" t="s">
        <v>56</v>
      </c>
    </row>
    <row r="2138" spans="1:5">
      <c r="A2138" t="s">
        <v>35</v>
      </c>
      <c r="B2138" s="11" t="s">
        <v>62</v>
      </c>
      <c r="C2138">
        <v>1005</v>
      </c>
      <c r="D2138" s="9">
        <v>-1209.7</v>
      </c>
      <c r="E2138" t="s">
        <v>56</v>
      </c>
    </row>
    <row r="2139" spans="1:5">
      <c r="A2139" t="s">
        <v>35</v>
      </c>
      <c r="B2139" s="11" t="s">
        <v>63</v>
      </c>
      <c r="C2139">
        <v>1005</v>
      </c>
      <c r="D2139" s="9">
        <v>-1610.3</v>
      </c>
      <c r="E2139" t="s">
        <v>56</v>
      </c>
    </row>
    <row r="2140" spans="1:5">
      <c r="A2140" t="s">
        <v>35</v>
      </c>
      <c r="B2140" s="11" t="s">
        <v>75</v>
      </c>
      <c r="C2140">
        <v>1005</v>
      </c>
      <c r="D2140" s="9">
        <v>-1161.8900000000001</v>
      </c>
      <c r="E2140" t="s">
        <v>56</v>
      </c>
    </row>
    <row r="2141" spans="1:5">
      <c r="A2141" t="s">
        <v>35</v>
      </c>
      <c r="B2141" s="11" t="s">
        <v>64</v>
      </c>
      <c r="C2141">
        <v>1005</v>
      </c>
      <c r="D2141" s="9">
        <v>-1548.59</v>
      </c>
      <c r="E2141" t="s">
        <v>57</v>
      </c>
    </row>
    <row r="2142" spans="1:5">
      <c r="A2142" t="s">
        <v>35</v>
      </c>
      <c r="B2142" s="11" t="s">
        <v>65</v>
      </c>
      <c r="C2142">
        <v>1005</v>
      </c>
      <c r="D2142" s="9">
        <v>-1226.3699999999999</v>
      </c>
      <c r="E2142" t="s">
        <v>57</v>
      </c>
    </row>
    <row r="2143" spans="1:5">
      <c r="A2143" t="s">
        <v>35</v>
      </c>
      <c r="B2143" s="11" t="s">
        <v>66</v>
      </c>
      <c r="C2143">
        <v>1005</v>
      </c>
      <c r="D2143" s="9">
        <v>-2525.5</v>
      </c>
      <c r="E2143" t="s">
        <v>57</v>
      </c>
    </row>
    <row r="2144" spans="1:5">
      <c r="A2144" t="s">
        <v>35</v>
      </c>
      <c r="B2144" s="11" t="s">
        <v>67</v>
      </c>
      <c r="C2144">
        <v>1005</v>
      </c>
      <c r="D2144" s="9">
        <v>-1027.5999999999999</v>
      </c>
      <c r="E2144" t="s">
        <v>57</v>
      </c>
    </row>
    <row r="2145" spans="1:5">
      <c r="A2145" t="s">
        <v>35</v>
      </c>
      <c r="B2145" s="11" t="s">
        <v>76</v>
      </c>
      <c r="C2145">
        <v>1005</v>
      </c>
      <c r="D2145" s="9">
        <v>-793.27</v>
      </c>
      <c r="E2145" t="s">
        <v>57</v>
      </c>
    </row>
    <row r="2146" spans="1:5">
      <c r="A2146" t="s">
        <v>35</v>
      </c>
      <c r="B2146" s="11" t="s">
        <v>68</v>
      </c>
      <c r="C2146">
        <v>1005</v>
      </c>
      <c r="D2146" s="9">
        <v>-1362.54</v>
      </c>
      <c r="E2146" t="s">
        <v>58</v>
      </c>
    </row>
    <row r="2147" spans="1:5">
      <c r="A2147" t="s">
        <v>35</v>
      </c>
      <c r="B2147" s="11" t="s">
        <v>69</v>
      </c>
      <c r="C2147">
        <v>1005</v>
      </c>
      <c r="D2147" s="9">
        <v>-1131.8800000000001</v>
      </c>
      <c r="E2147" t="s">
        <v>58</v>
      </c>
    </row>
    <row r="2148" spans="1:5">
      <c r="A2148" t="s">
        <v>35</v>
      </c>
      <c r="B2148" s="11" t="s">
        <v>77</v>
      </c>
      <c r="C2148">
        <v>1005</v>
      </c>
      <c r="D2148" s="9">
        <v>-1580.32</v>
      </c>
      <c r="E2148" t="s">
        <v>58</v>
      </c>
    </row>
    <row r="2149" spans="1:5">
      <c r="A2149" t="s">
        <v>35</v>
      </c>
      <c r="B2149" s="11" t="s">
        <v>70</v>
      </c>
      <c r="C2149">
        <v>1005</v>
      </c>
      <c r="D2149" s="9">
        <v>-1594.79</v>
      </c>
      <c r="E2149" t="s">
        <v>59</v>
      </c>
    </row>
    <row r="2150" spans="1:5">
      <c r="A2150" t="s">
        <v>35</v>
      </c>
      <c r="B2150" s="11" t="s">
        <v>71</v>
      </c>
      <c r="C2150">
        <v>1005</v>
      </c>
      <c r="D2150" s="9">
        <v>-1897.04</v>
      </c>
      <c r="E2150" t="s">
        <v>59</v>
      </c>
    </row>
    <row r="2151" spans="1:5">
      <c r="A2151" t="s">
        <v>35</v>
      </c>
      <c r="B2151" s="11" t="s">
        <v>72</v>
      </c>
      <c r="C2151">
        <v>1005</v>
      </c>
      <c r="D2151" s="9">
        <v>-1912.3</v>
      </c>
      <c r="E2151" t="s">
        <v>59</v>
      </c>
    </row>
    <row r="2152" spans="1:5">
      <c r="A2152" t="s">
        <v>35</v>
      </c>
      <c r="B2152" s="11" t="s">
        <v>78</v>
      </c>
      <c r="C2152">
        <v>1005</v>
      </c>
      <c r="D2152" s="9">
        <v>-1483.19</v>
      </c>
      <c r="E2152" t="s">
        <v>59</v>
      </c>
    </row>
    <row r="2153" spans="1:5">
      <c r="A2153" t="s">
        <v>35</v>
      </c>
      <c r="B2153" s="11" t="s">
        <v>73</v>
      </c>
      <c r="C2153">
        <v>1005</v>
      </c>
      <c r="D2153" s="9">
        <v>-1698.2</v>
      </c>
      <c r="E2153" t="s">
        <v>60</v>
      </c>
    </row>
    <row r="2154" spans="1:5">
      <c r="A2154" t="s">
        <v>35</v>
      </c>
      <c r="B2154" s="11" t="s">
        <v>74</v>
      </c>
      <c r="C2154">
        <v>1005</v>
      </c>
      <c r="D2154" s="9">
        <v>-1723.12</v>
      </c>
      <c r="E2154" t="s">
        <v>60</v>
      </c>
    </row>
    <row r="2155" spans="1:5">
      <c r="A2155" t="s">
        <v>36</v>
      </c>
      <c r="B2155" s="11" t="s">
        <v>61</v>
      </c>
      <c r="C2155">
        <v>1005</v>
      </c>
      <c r="D2155" s="9">
        <v>-1275.69</v>
      </c>
      <c r="E2155" t="s">
        <v>56</v>
      </c>
    </row>
    <row r="2156" spans="1:5">
      <c r="A2156" t="s">
        <v>36</v>
      </c>
      <c r="B2156" s="11" t="s">
        <v>62</v>
      </c>
      <c r="C2156">
        <v>1005</v>
      </c>
      <c r="D2156" s="9">
        <v>-915.32</v>
      </c>
      <c r="E2156" t="s">
        <v>56</v>
      </c>
    </row>
    <row r="2157" spans="1:5">
      <c r="A2157" t="s">
        <v>36</v>
      </c>
      <c r="B2157" s="11" t="s">
        <v>63</v>
      </c>
      <c r="C2157">
        <v>1005</v>
      </c>
      <c r="D2157" s="9">
        <v>-1611.15</v>
      </c>
      <c r="E2157" t="s">
        <v>56</v>
      </c>
    </row>
    <row r="2158" spans="1:5">
      <c r="A2158" t="s">
        <v>36</v>
      </c>
      <c r="B2158" s="11" t="s">
        <v>75</v>
      </c>
      <c r="C2158">
        <v>1005</v>
      </c>
      <c r="D2158" s="9">
        <v>-1324.75</v>
      </c>
      <c r="E2158" t="s">
        <v>56</v>
      </c>
    </row>
    <row r="2159" spans="1:5">
      <c r="A2159" t="s">
        <v>36</v>
      </c>
      <c r="B2159" s="11" t="s">
        <v>64</v>
      </c>
      <c r="C2159">
        <v>1005</v>
      </c>
      <c r="D2159" s="9">
        <v>-1429.31</v>
      </c>
      <c r="E2159" t="s">
        <v>57</v>
      </c>
    </row>
    <row r="2160" spans="1:5">
      <c r="A2160" t="s">
        <v>36</v>
      </c>
      <c r="B2160" s="11" t="s">
        <v>65</v>
      </c>
      <c r="C2160">
        <v>1005</v>
      </c>
      <c r="D2160" s="9">
        <v>-946.56</v>
      </c>
      <c r="E2160" t="s">
        <v>57</v>
      </c>
    </row>
    <row r="2161" spans="1:5">
      <c r="A2161" t="s">
        <v>36</v>
      </c>
      <c r="B2161" s="11" t="s">
        <v>66</v>
      </c>
      <c r="C2161">
        <v>1005</v>
      </c>
      <c r="D2161" s="9">
        <v>-2172.9</v>
      </c>
      <c r="E2161" t="s">
        <v>57</v>
      </c>
    </row>
    <row r="2162" spans="1:5">
      <c r="A2162" t="s">
        <v>36</v>
      </c>
      <c r="B2162" s="11" t="s">
        <v>67</v>
      </c>
      <c r="C2162">
        <v>1005</v>
      </c>
      <c r="D2162" s="9">
        <v>-948.27</v>
      </c>
      <c r="E2162" t="s">
        <v>57</v>
      </c>
    </row>
    <row r="2163" spans="1:5">
      <c r="A2163" t="s">
        <v>36</v>
      </c>
      <c r="B2163" s="11" t="s">
        <v>76</v>
      </c>
      <c r="C2163">
        <v>1005</v>
      </c>
      <c r="D2163" s="9">
        <v>-678.38</v>
      </c>
      <c r="E2163" t="s">
        <v>57</v>
      </c>
    </row>
    <row r="2164" spans="1:5">
      <c r="A2164" t="s">
        <v>36</v>
      </c>
      <c r="B2164" s="11" t="s">
        <v>68</v>
      </c>
      <c r="C2164">
        <v>1005</v>
      </c>
      <c r="D2164" s="9">
        <v>-1182.58</v>
      </c>
      <c r="E2164" t="s">
        <v>58</v>
      </c>
    </row>
    <row r="2165" spans="1:5">
      <c r="A2165" t="s">
        <v>36</v>
      </c>
      <c r="B2165" s="11" t="s">
        <v>69</v>
      </c>
      <c r="C2165">
        <v>1005</v>
      </c>
      <c r="D2165" s="9">
        <v>-1037.01</v>
      </c>
      <c r="E2165" t="s">
        <v>58</v>
      </c>
    </row>
    <row r="2166" spans="1:5">
      <c r="A2166" t="s">
        <v>36</v>
      </c>
      <c r="B2166" s="11" t="s">
        <v>77</v>
      </c>
      <c r="C2166">
        <v>1005</v>
      </c>
      <c r="D2166" s="9">
        <v>-1396.31</v>
      </c>
      <c r="E2166" t="s">
        <v>58</v>
      </c>
    </row>
    <row r="2167" spans="1:5">
      <c r="A2167" t="s">
        <v>36</v>
      </c>
      <c r="B2167" s="11" t="s">
        <v>70</v>
      </c>
      <c r="C2167">
        <v>1005</v>
      </c>
      <c r="D2167" s="9">
        <v>-1363.21</v>
      </c>
      <c r="E2167" t="s">
        <v>59</v>
      </c>
    </row>
    <row r="2168" spans="1:5">
      <c r="A2168" t="s">
        <v>36</v>
      </c>
      <c r="B2168" s="11" t="s">
        <v>71</v>
      </c>
      <c r="C2168">
        <v>1005</v>
      </c>
      <c r="D2168" s="9">
        <v>-1763.63</v>
      </c>
      <c r="E2168" t="s">
        <v>59</v>
      </c>
    </row>
    <row r="2169" spans="1:5">
      <c r="A2169" t="s">
        <v>36</v>
      </c>
      <c r="B2169" s="11" t="s">
        <v>72</v>
      </c>
      <c r="C2169">
        <v>1005</v>
      </c>
      <c r="D2169" s="9">
        <v>-1723.97</v>
      </c>
      <c r="E2169" t="s">
        <v>59</v>
      </c>
    </row>
    <row r="2170" spans="1:5">
      <c r="A2170" t="s">
        <v>36</v>
      </c>
      <c r="B2170" s="11" t="s">
        <v>78</v>
      </c>
      <c r="C2170">
        <v>1005</v>
      </c>
      <c r="D2170" s="9">
        <v>-1313.56</v>
      </c>
      <c r="E2170" t="s">
        <v>59</v>
      </c>
    </row>
    <row r="2171" spans="1:5">
      <c r="A2171" t="s">
        <v>36</v>
      </c>
      <c r="B2171" s="11" t="s">
        <v>73</v>
      </c>
      <c r="C2171">
        <v>1005</v>
      </c>
      <c r="D2171" s="9">
        <v>-1468.34</v>
      </c>
      <c r="E2171" t="s">
        <v>60</v>
      </c>
    </row>
    <row r="2172" spans="1:5">
      <c r="A2172" t="s">
        <v>36</v>
      </c>
      <c r="B2172" s="11" t="s">
        <v>74</v>
      </c>
      <c r="C2172">
        <v>1005</v>
      </c>
      <c r="D2172" s="9">
        <v>-1521.84</v>
      </c>
      <c r="E2172" t="s">
        <v>60</v>
      </c>
    </row>
    <row r="2173" spans="1:5">
      <c r="A2173" t="s">
        <v>37</v>
      </c>
      <c r="B2173" s="11" t="s">
        <v>61</v>
      </c>
      <c r="C2173">
        <v>1005</v>
      </c>
      <c r="D2173" s="9">
        <v>-1373.32</v>
      </c>
      <c r="E2173" t="s">
        <v>56</v>
      </c>
    </row>
    <row r="2174" spans="1:5">
      <c r="A2174" t="s">
        <v>37</v>
      </c>
      <c r="B2174" s="11" t="s">
        <v>62</v>
      </c>
      <c r="C2174">
        <v>1005</v>
      </c>
      <c r="D2174" s="9">
        <v>-904.31</v>
      </c>
      <c r="E2174" t="s">
        <v>56</v>
      </c>
    </row>
    <row r="2175" spans="1:5">
      <c r="A2175" t="s">
        <v>37</v>
      </c>
      <c r="B2175" s="11" t="s">
        <v>63</v>
      </c>
      <c r="C2175">
        <v>1005</v>
      </c>
      <c r="D2175" s="9">
        <v>-1577.83</v>
      </c>
      <c r="E2175" t="s">
        <v>56</v>
      </c>
    </row>
    <row r="2176" spans="1:5">
      <c r="A2176" t="s">
        <v>37</v>
      </c>
      <c r="B2176" s="11" t="s">
        <v>75</v>
      </c>
      <c r="C2176">
        <v>1005</v>
      </c>
      <c r="D2176" s="9">
        <v>-1517.28</v>
      </c>
      <c r="E2176" t="s">
        <v>56</v>
      </c>
    </row>
    <row r="2177" spans="1:5">
      <c r="A2177" t="s">
        <v>37</v>
      </c>
      <c r="B2177" s="11" t="s">
        <v>64</v>
      </c>
      <c r="C2177">
        <v>1005</v>
      </c>
      <c r="D2177" s="9">
        <v>-1405.53</v>
      </c>
      <c r="E2177" t="s">
        <v>57</v>
      </c>
    </row>
    <row r="2178" spans="1:5">
      <c r="A2178" t="s">
        <v>37</v>
      </c>
      <c r="B2178" s="11" t="s">
        <v>65</v>
      </c>
      <c r="C2178">
        <v>1005</v>
      </c>
      <c r="D2178" s="9">
        <v>-1064.6500000000001</v>
      </c>
      <c r="E2178" t="s">
        <v>57</v>
      </c>
    </row>
    <row r="2179" spans="1:5">
      <c r="A2179" t="s">
        <v>37</v>
      </c>
      <c r="B2179" s="11" t="s">
        <v>66</v>
      </c>
      <c r="C2179">
        <v>1005</v>
      </c>
      <c r="D2179" s="9">
        <v>-2044.84</v>
      </c>
      <c r="E2179" t="s">
        <v>57</v>
      </c>
    </row>
    <row r="2180" spans="1:5">
      <c r="A2180" t="s">
        <v>37</v>
      </c>
      <c r="B2180" s="11" t="s">
        <v>67</v>
      </c>
      <c r="C2180">
        <v>1005</v>
      </c>
      <c r="D2180" s="9">
        <v>-968.41</v>
      </c>
      <c r="E2180" t="s">
        <v>57</v>
      </c>
    </row>
    <row r="2181" spans="1:5">
      <c r="A2181" t="s">
        <v>37</v>
      </c>
      <c r="B2181" s="11" t="s">
        <v>76</v>
      </c>
      <c r="C2181">
        <v>1005</v>
      </c>
      <c r="D2181" s="9">
        <v>-673.02</v>
      </c>
      <c r="E2181" t="s">
        <v>57</v>
      </c>
    </row>
    <row r="2182" spans="1:5">
      <c r="A2182" t="s">
        <v>37</v>
      </c>
      <c r="B2182" s="11" t="s">
        <v>68</v>
      </c>
      <c r="C2182">
        <v>1005</v>
      </c>
      <c r="D2182" s="9">
        <v>-1184.28</v>
      </c>
      <c r="E2182" t="s">
        <v>58</v>
      </c>
    </row>
    <row r="2183" spans="1:5">
      <c r="A2183" t="s">
        <v>37</v>
      </c>
      <c r="B2183" s="11" t="s">
        <v>69</v>
      </c>
      <c r="C2183">
        <v>1005</v>
      </c>
      <c r="D2183" s="9">
        <v>-1047.45</v>
      </c>
      <c r="E2183" t="s">
        <v>58</v>
      </c>
    </row>
    <row r="2184" spans="1:5">
      <c r="A2184" t="s">
        <v>37</v>
      </c>
      <c r="B2184" s="11" t="s">
        <v>77</v>
      </c>
      <c r="C2184">
        <v>1005</v>
      </c>
      <c r="D2184" s="9">
        <v>-1391.39</v>
      </c>
      <c r="E2184" t="s">
        <v>58</v>
      </c>
    </row>
    <row r="2185" spans="1:5">
      <c r="A2185" t="s">
        <v>37</v>
      </c>
      <c r="B2185" s="11" t="s">
        <v>70</v>
      </c>
      <c r="C2185">
        <v>1005</v>
      </c>
      <c r="D2185" s="9">
        <v>-1410.42</v>
      </c>
      <c r="E2185" t="s">
        <v>59</v>
      </c>
    </row>
    <row r="2186" spans="1:5">
      <c r="A2186" t="s">
        <v>37</v>
      </c>
      <c r="B2186" s="11" t="s">
        <v>71</v>
      </c>
      <c r="C2186">
        <v>1005</v>
      </c>
      <c r="D2186" s="9">
        <v>-1853.65</v>
      </c>
      <c r="E2186" t="s">
        <v>59</v>
      </c>
    </row>
    <row r="2187" spans="1:5">
      <c r="A2187" t="s">
        <v>37</v>
      </c>
      <c r="B2187" s="11" t="s">
        <v>72</v>
      </c>
      <c r="C2187">
        <v>1005</v>
      </c>
      <c r="D2187" s="9">
        <v>-1744.28</v>
      </c>
      <c r="E2187" t="s">
        <v>59</v>
      </c>
    </row>
    <row r="2188" spans="1:5">
      <c r="A2188" t="s">
        <v>37</v>
      </c>
      <c r="B2188" s="11" t="s">
        <v>78</v>
      </c>
      <c r="C2188">
        <v>1005</v>
      </c>
      <c r="D2188" s="9">
        <v>-1220.1300000000001</v>
      </c>
      <c r="E2188" t="s">
        <v>59</v>
      </c>
    </row>
    <row r="2189" spans="1:5">
      <c r="A2189" t="s">
        <v>37</v>
      </c>
      <c r="B2189" s="11" t="s">
        <v>73</v>
      </c>
      <c r="C2189">
        <v>1005</v>
      </c>
      <c r="D2189" s="9">
        <v>-1527.83</v>
      </c>
      <c r="E2189" t="s">
        <v>60</v>
      </c>
    </row>
    <row r="2190" spans="1:5">
      <c r="A2190" t="s">
        <v>37</v>
      </c>
      <c r="B2190" s="11" t="s">
        <v>74</v>
      </c>
      <c r="C2190">
        <v>1005</v>
      </c>
      <c r="D2190" s="9">
        <v>-1480.12</v>
      </c>
      <c r="E2190" t="s">
        <v>60</v>
      </c>
    </row>
    <row r="2191" spans="1:5">
      <c r="A2191" t="s">
        <v>38</v>
      </c>
      <c r="B2191" s="11" t="s">
        <v>61</v>
      </c>
      <c r="C2191">
        <v>1005</v>
      </c>
      <c r="D2191" s="9">
        <v>-1269.99</v>
      </c>
      <c r="E2191" t="s">
        <v>56</v>
      </c>
    </row>
    <row r="2192" spans="1:5">
      <c r="A2192" t="s">
        <v>38</v>
      </c>
      <c r="B2192" s="11" t="s">
        <v>62</v>
      </c>
      <c r="C2192">
        <v>1005</v>
      </c>
      <c r="D2192" s="9">
        <v>-885.12</v>
      </c>
      <c r="E2192" t="s">
        <v>56</v>
      </c>
    </row>
    <row r="2193" spans="1:5">
      <c r="A2193" t="s">
        <v>38</v>
      </c>
      <c r="B2193" s="11" t="s">
        <v>63</v>
      </c>
      <c r="C2193">
        <v>1005</v>
      </c>
      <c r="D2193" s="9">
        <v>-1603.2</v>
      </c>
      <c r="E2193" t="s">
        <v>56</v>
      </c>
    </row>
    <row r="2194" spans="1:5">
      <c r="A2194" t="s">
        <v>38</v>
      </c>
      <c r="B2194" s="11" t="s">
        <v>75</v>
      </c>
      <c r="C2194">
        <v>1005</v>
      </c>
      <c r="D2194" s="9">
        <v>-1548.01</v>
      </c>
      <c r="E2194" t="s">
        <v>56</v>
      </c>
    </row>
    <row r="2195" spans="1:5">
      <c r="A2195" t="s">
        <v>38</v>
      </c>
      <c r="B2195" s="11" t="s">
        <v>64</v>
      </c>
      <c r="C2195">
        <v>1005</v>
      </c>
      <c r="D2195" s="9">
        <v>-1385.34</v>
      </c>
      <c r="E2195" t="s">
        <v>57</v>
      </c>
    </row>
    <row r="2196" spans="1:5">
      <c r="A2196" t="s">
        <v>38</v>
      </c>
      <c r="B2196" s="11" t="s">
        <v>65</v>
      </c>
      <c r="C2196">
        <v>1005</v>
      </c>
      <c r="D2196" s="9">
        <v>-1045.5999999999999</v>
      </c>
      <c r="E2196" t="s">
        <v>57</v>
      </c>
    </row>
    <row r="2197" spans="1:5">
      <c r="A2197" t="s">
        <v>38</v>
      </c>
      <c r="B2197" s="11" t="s">
        <v>66</v>
      </c>
      <c r="C2197">
        <v>1005</v>
      </c>
      <c r="D2197" s="9">
        <v>-1837.24</v>
      </c>
      <c r="E2197" t="s">
        <v>57</v>
      </c>
    </row>
    <row r="2198" spans="1:5">
      <c r="A2198" t="s">
        <v>38</v>
      </c>
      <c r="B2198" s="11" t="s">
        <v>67</v>
      </c>
      <c r="C2198">
        <v>1005</v>
      </c>
      <c r="D2198" s="9">
        <v>-966.43</v>
      </c>
      <c r="E2198" t="s">
        <v>57</v>
      </c>
    </row>
    <row r="2199" spans="1:5">
      <c r="A2199" t="s">
        <v>38</v>
      </c>
      <c r="B2199" s="11" t="s">
        <v>76</v>
      </c>
      <c r="C2199">
        <v>1005</v>
      </c>
      <c r="D2199" s="9">
        <v>-675.12</v>
      </c>
      <c r="E2199" t="s">
        <v>57</v>
      </c>
    </row>
    <row r="2200" spans="1:5">
      <c r="A2200" t="s">
        <v>38</v>
      </c>
      <c r="B2200" s="11" t="s">
        <v>68</v>
      </c>
      <c r="C2200">
        <v>1005</v>
      </c>
      <c r="D2200" s="9">
        <v>-1188.8399999999999</v>
      </c>
      <c r="E2200" t="s">
        <v>58</v>
      </c>
    </row>
    <row r="2201" spans="1:5">
      <c r="A2201" t="s">
        <v>38</v>
      </c>
      <c r="B2201" s="11" t="s">
        <v>69</v>
      </c>
      <c r="C2201">
        <v>1005</v>
      </c>
      <c r="D2201" s="9">
        <v>-1042.94</v>
      </c>
      <c r="E2201" t="s">
        <v>58</v>
      </c>
    </row>
    <row r="2202" spans="1:5">
      <c r="A2202" t="s">
        <v>38</v>
      </c>
      <c r="B2202" s="11" t="s">
        <v>77</v>
      </c>
      <c r="C2202">
        <v>1005</v>
      </c>
      <c r="D2202" s="9">
        <v>-1380.65</v>
      </c>
      <c r="E2202" t="s">
        <v>58</v>
      </c>
    </row>
    <row r="2203" spans="1:5">
      <c r="A2203" t="s">
        <v>38</v>
      </c>
      <c r="B2203" s="11" t="s">
        <v>70</v>
      </c>
      <c r="C2203">
        <v>1005</v>
      </c>
      <c r="D2203" s="9">
        <v>-1390.61</v>
      </c>
      <c r="E2203" t="s">
        <v>59</v>
      </c>
    </row>
    <row r="2204" spans="1:5">
      <c r="A2204" t="s">
        <v>38</v>
      </c>
      <c r="B2204" s="11" t="s">
        <v>71</v>
      </c>
      <c r="C2204">
        <v>1005</v>
      </c>
      <c r="D2204" s="9">
        <v>-1812.29</v>
      </c>
      <c r="E2204" t="s">
        <v>59</v>
      </c>
    </row>
    <row r="2205" spans="1:5">
      <c r="A2205" t="s">
        <v>38</v>
      </c>
      <c r="B2205" s="11" t="s">
        <v>72</v>
      </c>
      <c r="C2205">
        <v>1005</v>
      </c>
      <c r="D2205" s="9">
        <v>-1776.31</v>
      </c>
      <c r="E2205" t="s">
        <v>59</v>
      </c>
    </row>
    <row r="2206" spans="1:5">
      <c r="A2206" t="s">
        <v>38</v>
      </c>
      <c r="B2206" s="11" t="s">
        <v>78</v>
      </c>
      <c r="C2206">
        <v>1005</v>
      </c>
      <c r="D2206" s="9">
        <v>-1261.32</v>
      </c>
      <c r="E2206" t="s">
        <v>59</v>
      </c>
    </row>
    <row r="2207" spans="1:5">
      <c r="A2207" t="s">
        <v>38</v>
      </c>
      <c r="B2207" s="11" t="s">
        <v>73</v>
      </c>
      <c r="C2207">
        <v>1005</v>
      </c>
      <c r="D2207" s="9">
        <v>-1595.88</v>
      </c>
      <c r="E2207" t="s">
        <v>60</v>
      </c>
    </row>
    <row r="2208" spans="1:5">
      <c r="A2208" t="s">
        <v>38</v>
      </c>
      <c r="B2208" s="11" t="s">
        <v>74</v>
      </c>
      <c r="C2208">
        <v>1005</v>
      </c>
      <c r="D2208" s="9">
        <v>-1369.5</v>
      </c>
      <c r="E2208" t="s">
        <v>60</v>
      </c>
    </row>
    <row r="2209" spans="1:5">
      <c r="A2209" t="s">
        <v>39</v>
      </c>
      <c r="B2209" s="11" t="s">
        <v>61</v>
      </c>
      <c r="C2209">
        <v>1005</v>
      </c>
      <c r="D2209" s="9">
        <v>-1321.37</v>
      </c>
      <c r="E2209" t="s">
        <v>56</v>
      </c>
    </row>
    <row r="2210" spans="1:5">
      <c r="A2210" t="s">
        <v>39</v>
      </c>
      <c r="B2210" s="11" t="s">
        <v>62</v>
      </c>
      <c r="C2210">
        <v>1005</v>
      </c>
      <c r="D2210" s="9">
        <v>-978.52</v>
      </c>
      <c r="E2210" t="s">
        <v>56</v>
      </c>
    </row>
    <row r="2211" spans="1:5">
      <c r="A2211" t="s">
        <v>39</v>
      </c>
      <c r="B2211" s="11" t="s">
        <v>63</v>
      </c>
      <c r="C2211">
        <v>1005</v>
      </c>
      <c r="D2211" s="9">
        <v>-1514.38</v>
      </c>
      <c r="E2211" t="s">
        <v>56</v>
      </c>
    </row>
    <row r="2212" spans="1:5">
      <c r="A2212" t="s">
        <v>39</v>
      </c>
      <c r="B2212" s="11" t="s">
        <v>75</v>
      </c>
      <c r="C2212">
        <v>1005</v>
      </c>
      <c r="D2212" s="9">
        <v>-1671.65</v>
      </c>
      <c r="E2212" t="s">
        <v>56</v>
      </c>
    </row>
    <row r="2213" spans="1:5">
      <c r="A2213" t="s">
        <v>39</v>
      </c>
      <c r="B2213" s="11" t="s">
        <v>64</v>
      </c>
      <c r="C2213">
        <v>1005</v>
      </c>
      <c r="D2213" s="9">
        <v>-1490.1</v>
      </c>
      <c r="E2213" t="s">
        <v>57</v>
      </c>
    </row>
    <row r="2214" spans="1:5">
      <c r="A2214" t="s">
        <v>39</v>
      </c>
      <c r="B2214" s="11" t="s">
        <v>65</v>
      </c>
      <c r="C2214">
        <v>1005</v>
      </c>
      <c r="D2214" s="9">
        <v>-1110.03</v>
      </c>
      <c r="E2214" t="s">
        <v>57</v>
      </c>
    </row>
    <row r="2215" spans="1:5">
      <c r="A2215" t="s">
        <v>39</v>
      </c>
      <c r="B2215" s="11" t="s">
        <v>66</v>
      </c>
      <c r="C2215">
        <v>1005</v>
      </c>
      <c r="D2215" s="9">
        <v>-2143.11</v>
      </c>
      <c r="E2215" t="s">
        <v>57</v>
      </c>
    </row>
    <row r="2216" spans="1:5">
      <c r="A2216" t="s">
        <v>39</v>
      </c>
      <c r="B2216" s="11" t="s">
        <v>67</v>
      </c>
      <c r="C2216">
        <v>1005</v>
      </c>
      <c r="D2216" s="9">
        <v>-1069.25</v>
      </c>
      <c r="E2216" t="s">
        <v>57</v>
      </c>
    </row>
    <row r="2217" spans="1:5">
      <c r="A2217" t="s">
        <v>39</v>
      </c>
      <c r="B2217" s="11" t="s">
        <v>76</v>
      </c>
      <c r="C2217">
        <v>1005</v>
      </c>
      <c r="D2217" s="9">
        <v>-697.85</v>
      </c>
      <c r="E2217" t="s">
        <v>57</v>
      </c>
    </row>
    <row r="2218" spans="1:5">
      <c r="A2218" t="s">
        <v>39</v>
      </c>
      <c r="B2218" s="11" t="s">
        <v>68</v>
      </c>
      <c r="C2218">
        <v>1005</v>
      </c>
      <c r="D2218" s="9">
        <v>-1254.56</v>
      </c>
      <c r="E2218" t="s">
        <v>58</v>
      </c>
    </row>
    <row r="2219" spans="1:5">
      <c r="A2219" t="s">
        <v>39</v>
      </c>
      <c r="B2219" s="11" t="s">
        <v>69</v>
      </c>
      <c r="C2219">
        <v>1005</v>
      </c>
      <c r="D2219" s="9">
        <v>-1141.4000000000001</v>
      </c>
      <c r="E2219" t="s">
        <v>58</v>
      </c>
    </row>
    <row r="2220" spans="1:5">
      <c r="A2220" t="s">
        <v>39</v>
      </c>
      <c r="B2220" s="11" t="s">
        <v>77</v>
      </c>
      <c r="C2220">
        <v>1005</v>
      </c>
      <c r="D2220" s="9">
        <v>-1508.08</v>
      </c>
      <c r="E2220" t="s">
        <v>58</v>
      </c>
    </row>
    <row r="2221" spans="1:5">
      <c r="A2221" t="s">
        <v>39</v>
      </c>
      <c r="B2221" s="11" t="s">
        <v>70</v>
      </c>
      <c r="C2221">
        <v>1005</v>
      </c>
      <c r="D2221" s="9">
        <v>-1525.08</v>
      </c>
      <c r="E2221" t="s">
        <v>59</v>
      </c>
    </row>
    <row r="2222" spans="1:5">
      <c r="A2222" t="s">
        <v>39</v>
      </c>
      <c r="B2222" s="11" t="s">
        <v>71</v>
      </c>
      <c r="C2222">
        <v>1005</v>
      </c>
      <c r="D2222" s="9">
        <v>-1927.69</v>
      </c>
      <c r="E2222" t="s">
        <v>59</v>
      </c>
    </row>
    <row r="2223" spans="1:5">
      <c r="A2223" t="s">
        <v>39</v>
      </c>
      <c r="B2223" s="11" t="s">
        <v>72</v>
      </c>
      <c r="C2223">
        <v>1005</v>
      </c>
      <c r="D2223" s="9">
        <v>-1920.11</v>
      </c>
      <c r="E2223" t="s">
        <v>59</v>
      </c>
    </row>
    <row r="2224" spans="1:5">
      <c r="A2224" t="s">
        <v>39</v>
      </c>
      <c r="B2224" s="11" t="s">
        <v>78</v>
      </c>
      <c r="C2224">
        <v>1005</v>
      </c>
      <c r="D2224" s="9">
        <v>-1337.77</v>
      </c>
      <c r="E2224" t="s">
        <v>59</v>
      </c>
    </row>
    <row r="2225" spans="1:5">
      <c r="A2225" t="s">
        <v>39</v>
      </c>
      <c r="B2225" s="11" t="s">
        <v>73</v>
      </c>
      <c r="C2225">
        <v>1005</v>
      </c>
      <c r="D2225" s="9">
        <v>-1694.85</v>
      </c>
      <c r="E2225" t="s">
        <v>60</v>
      </c>
    </row>
    <row r="2226" spans="1:5">
      <c r="A2226" t="s">
        <v>39</v>
      </c>
      <c r="B2226" s="11" t="s">
        <v>74</v>
      </c>
      <c r="C2226">
        <v>1005</v>
      </c>
      <c r="D2226" s="9">
        <v>-1518.79</v>
      </c>
      <c r="E2226" t="s">
        <v>60</v>
      </c>
    </row>
    <row r="2227" spans="1:5">
      <c r="A2227" t="s">
        <v>28</v>
      </c>
      <c r="B2227" s="11" t="s">
        <v>61</v>
      </c>
      <c r="C2227">
        <v>2001</v>
      </c>
      <c r="D2227" s="9">
        <v>6434.85</v>
      </c>
      <c r="E2227" t="s">
        <v>56</v>
      </c>
    </row>
    <row r="2228" spans="1:5">
      <c r="A2228" t="s">
        <v>28</v>
      </c>
      <c r="B2228" s="11" t="s">
        <v>62</v>
      </c>
      <c r="C2228">
        <v>2001</v>
      </c>
      <c r="D2228" s="9">
        <v>6037</v>
      </c>
      <c r="E2228" t="s">
        <v>56</v>
      </c>
    </row>
    <row r="2229" spans="1:5">
      <c r="A2229" t="s">
        <v>28</v>
      </c>
      <c r="B2229" s="11" t="s">
        <v>63</v>
      </c>
      <c r="C2229">
        <v>2001</v>
      </c>
      <c r="D2229" s="9">
        <v>6890.13</v>
      </c>
      <c r="E2229" t="s">
        <v>56</v>
      </c>
    </row>
    <row r="2230" spans="1:5">
      <c r="A2230" t="s">
        <v>28</v>
      </c>
      <c r="B2230" s="11" t="s">
        <v>64</v>
      </c>
      <c r="C2230">
        <v>2001</v>
      </c>
      <c r="D2230" s="9">
        <v>7489.85</v>
      </c>
      <c r="E2230" t="s">
        <v>57</v>
      </c>
    </row>
    <row r="2231" spans="1:5">
      <c r="A2231" t="s">
        <v>28</v>
      </c>
      <c r="B2231" s="11" t="s">
        <v>65</v>
      </c>
      <c r="C2231">
        <v>2001</v>
      </c>
      <c r="D2231" s="9">
        <v>5482.98</v>
      </c>
      <c r="E2231" t="s">
        <v>57</v>
      </c>
    </row>
    <row r="2232" spans="1:5">
      <c r="A2232" t="s">
        <v>28</v>
      </c>
      <c r="B2232" s="11" t="s">
        <v>66</v>
      </c>
      <c r="C2232">
        <v>2001</v>
      </c>
      <c r="D2232" s="9">
        <v>14985.08</v>
      </c>
      <c r="E2232" t="s">
        <v>57</v>
      </c>
    </row>
    <row r="2233" spans="1:5">
      <c r="A2233" t="s">
        <v>28</v>
      </c>
      <c r="B2233" s="11" t="s">
        <v>67</v>
      </c>
      <c r="C2233">
        <v>2001</v>
      </c>
      <c r="D2233" s="9">
        <v>5718.01</v>
      </c>
      <c r="E2233" t="s">
        <v>57</v>
      </c>
    </row>
    <row r="2234" spans="1:5">
      <c r="A2234" t="s">
        <v>28</v>
      </c>
      <c r="B2234" s="11" t="s">
        <v>76</v>
      </c>
      <c r="C2234">
        <v>2001</v>
      </c>
      <c r="D2234" s="9">
        <v>3027.19</v>
      </c>
      <c r="E2234" t="s">
        <v>57</v>
      </c>
    </row>
    <row r="2235" spans="1:5">
      <c r="A2235" t="s">
        <v>28</v>
      </c>
      <c r="B2235" s="11" t="s">
        <v>68</v>
      </c>
      <c r="C2235">
        <v>2001</v>
      </c>
      <c r="D2235" s="9">
        <v>8412.4</v>
      </c>
      <c r="E2235" t="s">
        <v>58</v>
      </c>
    </row>
    <row r="2236" spans="1:5">
      <c r="A2236" t="s">
        <v>28</v>
      </c>
      <c r="B2236" s="11" t="s">
        <v>69</v>
      </c>
      <c r="C2236">
        <v>2001</v>
      </c>
      <c r="D2236" s="9">
        <v>6002.19</v>
      </c>
      <c r="E2236" t="s">
        <v>58</v>
      </c>
    </row>
    <row r="2237" spans="1:5">
      <c r="A2237" t="s">
        <v>28</v>
      </c>
      <c r="B2237" s="11" t="s">
        <v>77</v>
      </c>
      <c r="C2237">
        <v>2001</v>
      </c>
      <c r="D2237" s="9">
        <v>11926.22</v>
      </c>
      <c r="E2237" t="s">
        <v>58</v>
      </c>
    </row>
    <row r="2238" spans="1:5">
      <c r="A2238" t="s">
        <v>28</v>
      </c>
      <c r="B2238" s="11" t="s">
        <v>70</v>
      </c>
      <c r="C2238">
        <v>2001</v>
      </c>
      <c r="D2238" s="9">
        <v>11051.34</v>
      </c>
      <c r="E2238" t="s">
        <v>59</v>
      </c>
    </row>
    <row r="2239" spans="1:5">
      <c r="A2239" t="s">
        <v>28</v>
      </c>
      <c r="B2239" s="11" t="s">
        <v>71</v>
      </c>
      <c r="C2239">
        <v>2001</v>
      </c>
      <c r="D2239" s="9">
        <v>11875.08</v>
      </c>
      <c r="E2239" t="s">
        <v>59</v>
      </c>
    </row>
    <row r="2240" spans="1:5">
      <c r="A2240" t="s">
        <v>28</v>
      </c>
      <c r="B2240" s="11" t="s">
        <v>72</v>
      </c>
      <c r="C2240">
        <v>2001</v>
      </c>
      <c r="D2240" s="9">
        <v>9182.52</v>
      </c>
      <c r="E2240" t="s">
        <v>59</v>
      </c>
    </row>
    <row r="2241" spans="1:5">
      <c r="A2241" t="s">
        <v>28</v>
      </c>
      <c r="B2241" s="11" t="s">
        <v>78</v>
      </c>
      <c r="C2241">
        <v>2001</v>
      </c>
      <c r="D2241" s="9">
        <v>9979.98</v>
      </c>
      <c r="E2241" t="s">
        <v>59</v>
      </c>
    </row>
    <row r="2242" spans="1:5">
      <c r="A2242" t="s">
        <v>28</v>
      </c>
      <c r="B2242" s="11" t="s">
        <v>73</v>
      </c>
      <c r="C2242">
        <v>2001</v>
      </c>
      <c r="D2242" s="9">
        <v>7460.18</v>
      </c>
      <c r="E2242" t="s">
        <v>60</v>
      </c>
    </row>
    <row r="2243" spans="1:5">
      <c r="A2243" t="s">
        <v>28</v>
      </c>
      <c r="B2243" s="11" t="s">
        <v>74</v>
      </c>
      <c r="C2243">
        <v>2001</v>
      </c>
      <c r="D2243" s="9">
        <v>10960.8</v>
      </c>
      <c r="E2243" t="s">
        <v>60</v>
      </c>
    </row>
    <row r="2244" spans="1:5">
      <c r="A2244" t="s">
        <v>29</v>
      </c>
      <c r="B2244" s="11" t="s">
        <v>61</v>
      </c>
      <c r="C2244">
        <v>2001</v>
      </c>
      <c r="D2244" s="9">
        <v>9527.6200000000008</v>
      </c>
      <c r="E2244" t="s">
        <v>56</v>
      </c>
    </row>
    <row r="2245" spans="1:5">
      <c r="A2245" t="s">
        <v>29</v>
      </c>
      <c r="B2245" s="11" t="s">
        <v>62</v>
      </c>
      <c r="C2245">
        <v>2001</v>
      </c>
      <c r="D2245" s="9">
        <v>5667.74</v>
      </c>
      <c r="E2245" t="s">
        <v>56</v>
      </c>
    </row>
    <row r="2246" spans="1:5">
      <c r="A2246" t="s">
        <v>29</v>
      </c>
      <c r="B2246" s="11" t="s">
        <v>63</v>
      </c>
      <c r="C2246">
        <v>2001</v>
      </c>
      <c r="D2246" s="9">
        <v>8147.78</v>
      </c>
      <c r="E2246" t="s">
        <v>56</v>
      </c>
    </row>
    <row r="2247" spans="1:5">
      <c r="A2247" t="s">
        <v>29</v>
      </c>
      <c r="B2247" s="11" t="s">
        <v>75</v>
      </c>
      <c r="C2247">
        <v>2001</v>
      </c>
      <c r="D2247" s="9">
        <v>7050.64</v>
      </c>
      <c r="E2247" t="s">
        <v>56</v>
      </c>
    </row>
    <row r="2248" spans="1:5">
      <c r="A2248" t="s">
        <v>29</v>
      </c>
      <c r="B2248" s="11" t="s">
        <v>64</v>
      </c>
      <c r="C2248">
        <v>2001</v>
      </c>
      <c r="D2248" s="9">
        <v>7474.09</v>
      </c>
      <c r="E2248" t="s">
        <v>57</v>
      </c>
    </row>
    <row r="2249" spans="1:5">
      <c r="A2249" t="s">
        <v>29</v>
      </c>
      <c r="B2249" s="11" t="s">
        <v>65</v>
      </c>
      <c r="C2249">
        <v>2001</v>
      </c>
      <c r="D2249" s="9">
        <v>8419.07</v>
      </c>
      <c r="E2249" t="s">
        <v>57</v>
      </c>
    </row>
    <row r="2250" spans="1:5">
      <c r="A2250" t="s">
        <v>29</v>
      </c>
      <c r="B2250" s="11" t="s">
        <v>66</v>
      </c>
      <c r="C2250">
        <v>2001</v>
      </c>
      <c r="D2250" s="9">
        <v>11728.42</v>
      </c>
      <c r="E2250" t="s">
        <v>57</v>
      </c>
    </row>
    <row r="2251" spans="1:5">
      <c r="A2251" t="s">
        <v>29</v>
      </c>
      <c r="B2251" s="11" t="s">
        <v>67</v>
      </c>
      <c r="C2251">
        <v>2001</v>
      </c>
      <c r="D2251" s="9">
        <v>6768.94</v>
      </c>
      <c r="E2251" t="s">
        <v>57</v>
      </c>
    </row>
    <row r="2252" spans="1:5">
      <c r="A2252" t="s">
        <v>29</v>
      </c>
      <c r="B2252" s="11" t="s">
        <v>76</v>
      </c>
      <c r="C2252">
        <v>2001</v>
      </c>
      <c r="D2252" s="9">
        <v>4244.54</v>
      </c>
      <c r="E2252" t="s">
        <v>57</v>
      </c>
    </row>
    <row r="2253" spans="1:5">
      <c r="A2253" t="s">
        <v>29</v>
      </c>
      <c r="B2253" s="11" t="s">
        <v>68</v>
      </c>
      <c r="C2253">
        <v>2001</v>
      </c>
      <c r="D2253" s="9">
        <v>8646.92</v>
      </c>
      <c r="E2253" t="s">
        <v>58</v>
      </c>
    </row>
    <row r="2254" spans="1:5">
      <c r="A2254" t="s">
        <v>29</v>
      </c>
      <c r="B2254" s="11" t="s">
        <v>69</v>
      </c>
      <c r="C2254">
        <v>2001</v>
      </c>
      <c r="D2254" s="9">
        <v>6475.37</v>
      </c>
      <c r="E2254" t="s">
        <v>58</v>
      </c>
    </row>
    <row r="2255" spans="1:5">
      <c r="A2255" t="s">
        <v>29</v>
      </c>
      <c r="B2255" s="11" t="s">
        <v>77</v>
      </c>
      <c r="C2255">
        <v>2001</v>
      </c>
      <c r="D2255" s="9">
        <v>11205.82</v>
      </c>
      <c r="E2255" t="s">
        <v>58</v>
      </c>
    </row>
    <row r="2256" spans="1:5">
      <c r="A2256" t="s">
        <v>29</v>
      </c>
      <c r="B2256" s="11" t="s">
        <v>70</v>
      </c>
      <c r="C2256">
        <v>2001</v>
      </c>
      <c r="D2256" s="9">
        <v>9940.7199999999993</v>
      </c>
      <c r="E2256" t="s">
        <v>59</v>
      </c>
    </row>
    <row r="2257" spans="1:5">
      <c r="A2257" t="s">
        <v>29</v>
      </c>
      <c r="B2257" s="11" t="s">
        <v>71</v>
      </c>
      <c r="C2257">
        <v>2001</v>
      </c>
      <c r="D2257" s="9">
        <v>8087.05</v>
      </c>
      <c r="E2257" t="s">
        <v>59</v>
      </c>
    </row>
    <row r="2258" spans="1:5">
      <c r="A2258" t="s">
        <v>29</v>
      </c>
      <c r="B2258" s="11" t="s">
        <v>72</v>
      </c>
      <c r="C2258">
        <v>2001</v>
      </c>
      <c r="D2258" s="9">
        <v>9910.39</v>
      </c>
      <c r="E2258" t="s">
        <v>59</v>
      </c>
    </row>
    <row r="2259" spans="1:5">
      <c r="A2259" t="s">
        <v>29</v>
      </c>
      <c r="B2259" s="11" t="s">
        <v>78</v>
      </c>
      <c r="C2259">
        <v>2001</v>
      </c>
      <c r="D2259" s="9">
        <v>6118.31</v>
      </c>
      <c r="E2259" t="s">
        <v>59</v>
      </c>
    </row>
    <row r="2260" spans="1:5">
      <c r="A2260" t="s">
        <v>29</v>
      </c>
      <c r="B2260" s="11" t="s">
        <v>73</v>
      </c>
      <c r="C2260">
        <v>2001</v>
      </c>
      <c r="D2260" s="9">
        <v>8415.52</v>
      </c>
      <c r="E2260" t="s">
        <v>60</v>
      </c>
    </row>
    <row r="2261" spans="1:5">
      <c r="A2261" t="s">
        <v>29</v>
      </c>
      <c r="B2261" s="11" t="s">
        <v>74</v>
      </c>
      <c r="C2261">
        <v>2001</v>
      </c>
      <c r="D2261" s="9">
        <v>10684.53</v>
      </c>
      <c r="E2261" t="s">
        <v>60</v>
      </c>
    </row>
    <row r="2262" spans="1:5">
      <c r="A2262" t="s">
        <v>30</v>
      </c>
      <c r="B2262" s="11" t="s">
        <v>61</v>
      </c>
      <c r="C2262">
        <v>2001</v>
      </c>
      <c r="D2262" s="9">
        <v>7025.28</v>
      </c>
      <c r="E2262" t="s">
        <v>56</v>
      </c>
    </row>
    <row r="2263" spans="1:5">
      <c r="A2263" t="s">
        <v>30</v>
      </c>
      <c r="B2263" s="11" t="s">
        <v>62</v>
      </c>
      <c r="C2263">
        <v>2001</v>
      </c>
      <c r="D2263" s="9">
        <v>3700.3</v>
      </c>
      <c r="E2263" t="s">
        <v>56</v>
      </c>
    </row>
    <row r="2264" spans="1:5">
      <c r="A2264" t="s">
        <v>30</v>
      </c>
      <c r="B2264" s="11" t="s">
        <v>63</v>
      </c>
      <c r="C2264">
        <v>2001</v>
      </c>
      <c r="D2264" s="9">
        <v>7555.67</v>
      </c>
      <c r="E2264" t="s">
        <v>56</v>
      </c>
    </row>
    <row r="2265" spans="1:5">
      <c r="A2265" t="s">
        <v>30</v>
      </c>
      <c r="B2265" s="11" t="s">
        <v>75</v>
      </c>
      <c r="C2265">
        <v>2001</v>
      </c>
      <c r="D2265" s="9">
        <v>5556.77</v>
      </c>
      <c r="E2265" t="s">
        <v>56</v>
      </c>
    </row>
    <row r="2266" spans="1:5">
      <c r="A2266" t="s">
        <v>30</v>
      </c>
      <c r="B2266" s="11" t="s">
        <v>64</v>
      </c>
      <c r="C2266">
        <v>2001</v>
      </c>
      <c r="D2266" s="9">
        <v>6251.39</v>
      </c>
      <c r="E2266" t="s">
        <v>57</v>
      </c>
    </row>
    <row r="2267" spans="1:5">
      <c r="A2267" t="s">
        <v>30</v>
      </c>
      <c r="B2267" s="11" t="s">
        <v>65</v>
      </c>
      <c r="C2267">
        <v>2001</v>
      </c>
      <c r="D2267" s="9">
        <v>5153.1499999999996</v>
      </c>
      <c r="E2267" t="s">
        <v>57</v>
      </c>
    </row>
    <row r="2268" spans="1:5">
      <c r="A2268" t="s">
        <v>30</v>
      </c>
      <c r="B2268" s="11" t="s">
        <v>66</v>
      </c>
      <c r="C2268">
        <v>2001</v>
      </c>
      <c r="D2268" s="9">
        <v>9935.27</v>
      </c>
      <c r="E2268" t="s">
        <v>57</v>
      </c>
    </row>
    <row r="2269" spans="1:5">
      <c r="A2269" t="s">
        <v>30</v>
      </c>
      <c r="B2269" s="11" t="s">
        <v>67</v>
      </c>
      <c r="C2269">
        <v>2001</v>
      </c>
      <c r="D2269" s="9">
        <v>6687.99</v>
      </c>
      <c r="E2269" t="s">
        <v>57</v>
      </c>
    </row>
    <row r="2270" spans="1:5">
      <c r="A2270" t="s">
        <v>30</v>
      </c>
      <c r="B2270" s="11" t="s">
        <v>76</v>
      </c>
      <c r="C2270">
        <v>2001</v>
      </c>
      <c r="D2270" s="9">
        <v>3618.75</v>
      </c>
      <c r="E2270" t="s">
        <v>57</v>
      </c>
    </row>
    <row r="2271" spans="1:5">
      <c r="A2271" t="s">
        <v>30</v>
      </c>
      <c r="B2271" s="11" t="s">
        <v>68</v>
      </c>
      <c r="C2271">
        <v>2001</v>
      </c>
      <c r="D2271" s="9">
        <v>7009.28</v>
      </c>
      <c r="E2271" t="s">
        <v>58</v>
      </c>
    </row>
    <row r="2272" spans="1:5">
      <c r="A2272" t="s">
        <v>30</v>
      </c>
      <c r="B2272" s="11" t="s">
        <v>69</v>
      </c>
      <c r="C2272">
        <v>2001</v>
      </c>
      <c r="D2272" s="9">
        <v>6713.89</v>
      </c>
      <c r="E2272" t="s">
        <v>58</v>
      </c>
    </row>
    <row r="2273" spans="1:5">
      <c r="A2273" t="s">
        <v>30</v>
      </c>
      <c r="B2273" s="11" t="s">
        <v>77</v>
      </c>
      <c r="C2273">
        <v>2001</v>
      </c>
      <c r="D2273" s="9">
        <v>6610.27</v>
      </c>
      <c r="E2273" t="s">
        <v>58</v>
      </c>
    </row>
    <row r="2274" spans="1:5">
      <c r="A2274" t="s">
        <v>30</v>
      </c>
      <c r="B2274" s="11" t="s">
        <v>70</v>
      </c>
      <c r="C2274">
        <v>2001</v>
      </c>
      <c r="D2274" s="9">
        <v>7365.15</v>
      </c>
      <c r="E2274" t="s">
        <v>59</v>
      </c>
    </row>
    <row r="2275" spans="1:5">
      <c r="A2275" t="s">
        <v>30</v>
      </c>
      <c r="B2275" s="11" t="s">
        <v>71</v>
      </c>
      <c r="C2275">
        <v>2001</v>
      </c>
      <c r="D2275" s="9">
        <v>9201.17</v>
      </c>
      <c r="E2275" t="s">
        <v>59</v>
      </c>
    </row>
    <row r="2276" spans="1:5">
      <c r="A2276" t="s">
        <v>30</v>
      </c>
      <c r="B2276" s="11" t="s">
        <v>72</v>
      </c>
      <c r="C2276">
        <v>2001</v>
      </c>
      <c r="D2276" s="9">
        <v>8833.32</v>
      </c>
      <c r="E2276" t="s">
        <v>59</v>
      </c>
    </row>
    <row r="2277" spans="1:5">
      <c r="A2277" t="s">
        <v>30</v>
      </c>
      <c r="B2277" s="11" t="s">
        <v>78</v>
      </c>
      <c r="C2277">
        <v>2001</v>
      </c>
      <c r="D2277" s="9">
        <v>7811.3</v>
      </c>
      <c r="E2277" t="s">
        <v>59</v>
      </c>
    </row>
    <row r="2278" spans="1:5">
      <c r="A2278" t="s">
        <v>30</v>
      </c>
      <c r="B2278" s="11" t="s">
        <v>73</v>
      </c>
      <c r="C2278">
        <v>2001</v>
      </c>
      <c r="D2278" s="9">
        <v>10185.42</v>
      </c>
      <c r="E2278" t="s">
        <v>60</v>
      </c>
    </row>
    <row r="2279" spans="1:5">
      <c r="A2279" t="s">
        <v>30</v>
      </c>
      <c r="B2279" s="11" t="s">
        <v>74</v>
      </c>
      <c r="C2279">
        <v>2001</v>
      </c>
      <c r="D2279" s="9">
        <v>9664.4599999999991</v>
      </c>
      <c r="E2279" t="s">
        <v>60</v>
      </c>
    </row>
    <row r="2280" spans="1:5">
      <c r="A2280" t="s">
        <v>31</v>
      </c>
      <c r="B2280" s="11" t="s">
        <v>61</v>
      </c>
      <c r="C2280">
        <v>2001</v>
      </c>
      <c r="D2280" s="9">
        <v>6198.79</v>
      </c>
      <c r="E2280" t="s">
        <v>56</v>
      </c>
    </row>
    <row r="2281" spans="1:5">
      <c r="A2281" t="s">
        <v>31</v>
      </c>
      <c r="B2281" s="11" t="s">
        <v>62</v>
      </c>
      <c r="C2281">
        <v>2001</v>
      </c>
      <c r="D2281" s="9">
        <v>3730.4</v>
      </c>
      <c r="E2281" t="s">
        <v>56</v>
      </c>
    </row>
    <row r="2282" spans="1:5">
      <c r="A2282" t="s">
        <v>31</v>
      </c>
      <c r="B2282" s="11" t="s">
        <v>63</v>
      </c>
      <c r="C2282">
        <v>2001</v>
      </c>
      <c r="D2282" s="9">
        <v>8016.03</v>
      </c>
      <c r="E2282" t="s">
        <v>56</v>
      </c>
    </row>
    <row r="2283" spans="1:5">
      <c r="A2283" t="s">
        <v>31</v>
      </c>
      <c r="B2283" s="11" t="s">
        <v>75</v>
      </c>
      <c r="C2283">
        <v>2001</v>
      </c>
      <c r="D2283" s="9">
        <v>9821.6</v>
      </c>
      <c r="E2283" t="s">
        <v>56</v>
      </c>
    </row>
    <row r="2284" spans="1:5">
      <c r="A2284" t="s">
        <v>31</v>
      </c>
      <c r="B2284" s="11" t="s">
        <v>64</v>
      </c>
      <c r="C2284">
        <v>2001</v>
      </c>
      <c r="D2284" s="9">
        <v>8371.93</v>
      </c>
      <c r="E2284" t="s">
        <v>57</v>
      </c>
    </row>
    <row r="2285" spans="1:5">
      <c r="A2285" t="s">
        <v>31</v>
      </c>
      <c r="B2285" s="11" t="s">
        <v>65</v>
      </c>
      <c r="C2285">
        <v>2001</v>
      </c>
      <c r="D2285" s="9">
        <v>7387.5</v>
      </c>
      <c r="E2285" t="s">
        <v>57</v>
      </c>
    </row>
    <row r="2286" spans="1:5">
      <c r="A2286" t="s">
        <v>31</v>
      </c>
      <c r="B2286" s="11" t="s">
        <v>66</v>
      </c>
      <c r="C2286">
        <v>2001</v>
      </c>
      <c r="D2286" s="9">
        <v>9087.7999999999993</v>
      </c>
      <c r="E2286" t="s">
        <v>57</v>
      </c>
    </row>
    <row r="2287" spans="1:5">
      <c r="A2287" t="s">
        <v>31</v>
      </c>
      <c r="B2287" s="11" t="s">
        <v>67</v>
      </c>
      <c r="C2287">
        <v>2001</v>
      </c>
      <c r="D2287" s="9">
        <v>5336.23</v>
      </c>
      <c r="E2287" t="s">
        <v>57</v>
      </c>
    </row>
    <row r="2288" spans="1:5">
      <c r="A2288" t="s">
        <v>31</v>
      </c>
      <c r="B2288" s="11" t="s">
        <v>76</v>
      </c>
      <c r="C2288">
        <v>2001</v>
      </c>
      <c r="D2288" s="9">
        <v>3373.2</v>
      </c>
      <c r="E2288" t="s">
        <v>57</v>
      </c>
    </row>
    <row r="2289" spans="1:5">
      <c r="A2289" t="s">
        <v>31</v>
      </c>
      <c r="B2289" s="11" t="s">
        <v>68</v>
      </c>
      <c r="C2289">
        <v>2001</v>
      </c>
      <c r="D2289" s="9">
        <v>7127.4</v>
      </c>
      <c r="E2289" t="s">
        <v>58</v>
      </c>
    </row>
    <row r="2290" spans="1:5">
      <c r="A2290" t="s">
        <v>31</v>
      </c>
      <c r="B2290" s="11" t="s">
        <v>69</v>
      </c>
      <c r="C2290">
        <v>2001</v>
      </c>
      <c r="D2290" s="9">
        <v>5638.68</v>
      </c>
      <c r="E2290" t="s">
        <v>58</v>
      </c>
    </row>
    <row r="2291" spans="1:5">
      <c r="A2291" t="s">
        <v>31</v>
      </c>
      <c r="B2291" s="11" t="s">
        <v>77</v>
      </c>
      <c r="C2291">
        <v>2001</v>
      </c>
      <c r="D2291" s="9">
        <v>5931.46</v>
      </c>
      <c r="E2291" t="s">
        <v>58</v>
      </c>
    </row>
    <row r="2292" spans="1:5">
      <c r="A2292" t="s">
        <v>31</v>
      </c>
      <c r="B2292" s="11" t="s">
        <v>70</v>
      </c>
      <c r="C2292">
        <v>2001</v>
      </c>
      <c r="D2292" s="9">
        <v>6583.66</v>
      </c>
      <c r="E2292" t="s">
        <v>59</v>
      </c>
    </row>
    <row r="2293" spans="1:5">
      <c r="A2293" t="s">
        <v>31</v>
      </c>
      <c r="B2293" s="11" t="s">
        <v>71</v>
      </c>
      <c r="C2293">
        <v>2001</v>
      </c>
      <c r="D2293" s="9">
        <v>9171.81</v>
      </c>
      <c r="E2293" t="s">
        <v>59</v>
      </c>
    </row>
    <row r="2294" spans="1:5">
      <c r="A2294" t="s">
        <v>31</v>
      </c>
      <c r="B2294" s="11" t="s">
        <v>72</v>
      </c>
      <c r="C2294">
        <v>2001</v>
      </c>
      <c r="D2294" s="9">
        <v>11770.09</v>
      </c>
      <c r="E2294" t="s">
        <v>59</v>
      </c>
    </row>
    <row r="2295" spans="1:5">
      <c r="A2295" t="s">
        <v>31</v>
      </c>
      <c r="B2295" s="11" t="s">
        <v>78</v>
      </c>
      <c r="C2295">
        <v>2001</v>
      </c>
      <c r="D2295" s="9">
        <v>6437.16</v>
      </c>
      <c r="E2295" t="s">
        <v>59</v>
      </c>
    </row>
    <row r="2296" spans="1:5">
      <c r="A2296" t="s">
        <v>31</v>
      </c>
      <c r="B2296" s="11" t="s">
        <v>73</v>
      </c>
      <c r="C2296">
        <v>2001</v>
      </c>
      <c r="D2296" s="9">
        <v>10064.049999999999</v>
      </c>
      <c r="E2296" t="s">
        <v>60</v>
      </c>
    </row>
    <row r="2297" spans="1:5">
      <c r="A2297" t="s">
        <v>31</v>
      </c>
      <c r="B2297" s="11" t="s">
        <v>74</v>
      </c>
      <c r="C2297">
        <v>2001</v>
      </c>
      <c r="D2297" s="9">
        <v>9512</v>
      </c>
      <c r="E2297" t="s">
        <v>60</v>
      </c>
    </row>
    <row r="2298" spans="1:5">
      <c r="A2298" t="s">
        <v>32</v>
      </c>
      <c r="B2298" s="11" t="s">
        <v>61</v>
      </c>
      <c r="C2298">
        <v>2001</v>
      </c>
      <c r="D2298" s="9">
        <v>6293.52</v>
      </c>
      <c r="E2298" t="s">
        <v>56</v>
      </c>
    </row>
    <row r="2299" spans="1:5">
      <c r="A2299" t="s">
        <v>32</v>
      </c>
      <c r="B2299" s="11" t="s">
        <v>62</v>
      </c>
      <c r="C2299">
        <v>2001</v>
      </c>
      <c r="D2299" s="9">
        <v>4627.43</v>
      </c>
      <c r="E2299" t="s">
        <v>56</v>
      </c>
    </row>
    <row r="2300" spans="1:5">
      <c r="A2300" t="s">
        <v>32</v>
      </c>
      <c r="B2300" s="11" t="s">
        <v>63</v>
      </c>
      <c r="C2300">
        <v>2001</v>
      </c>
      <c r="D2300" s="9">
        <v>7930.85</v>
      </c>
      <c r="E2300" t="s">
        <v>56</v>
      </c>
    </row>
    <row r="2301" spans="1:5">
      <c r="A2301" t="s">
        <v>32</v>
      </c>
      <c r="B2301" s="11" t="s">
        <v>75</v>
      </c>
      <c r="C2301">
        <v>2001</v>
      </c>
      <c r="D2301" s="9">
        <v>8751.7900000000009</v>
      </c>
      <c r="E2301" t="s">
        <v>56</v>
      </c>
    </row>
    <row r="2302" spans="1:5">
      <c r="A2302" t="s">
        <v>32</v>
      </c>
      <c r="B2302" s="11" t="s">
        <v>64</v>
      </c>
      <c r="C2302">
        <v>2001</v>
      </c>
      <c r="D2302" s="9">
        <v>8714.89</v>
      </c>
      <c r="E2302" t="s">
        <v>57</v>
      </c>
    </row>
    <row r="2303" spans="1:5">
      <c r="A2303" t="s">
        <v>32</v>
      </c>
      <c r="B2303" s="11" t="s">
        <v>65</v>
      </c>
      <c r="C2303">
        <v>2001</v>
      </c>
      <c r="D2303" s="9">
        <v>4511.84</v>
      </c>
      <c r="E2303" t="s">
        <v>57</v>
      </c>
    </row>
    <row r="2304" spans="1:5">
      <c r="A2304" t="s">
        <v>32</v>
      </c>
      <c r="B2304" s="11" t="s">
        <v>66</v>
      </c>
      <c r="C2304">
        <v>2001</v>
      </c>
      <c r="D2304" s="9">
        <v>12748.36</v>
      </c>
      <c r="E2304" t="s">
        <v>57</v>
      </c>
    </row>
    <row r="2305" spans="1:5">
      <c r="A2305" t="s">
        <v>32</v>
      </c>
      <c r="B2305" s="11" t="s">
        <v>67</v>
      </c>
      <c r="C2305">
        <v>2001</v>
      </c>
      <c r="D2305" s="9">
        <v>4511.18</v>
      </c>
      <c r="E2305" t="s">
        <v>57</v>
      </c>
    </row>
    <row r="2306" spans="1:5">
      <c r="A2306" t="s">
        <v>32</v>
      </c>
      <c r="B2306" s="11" t="s">
        <v>76</v>
      </c>
      <c r="C2306">
        <v>2001</v>
      </c>
      <c r="D2306" s="9">
        <v>4527</v>
      </c>
      <c r="E2306" t="s">
        <v>57</v>
      </c>
    </row>
    <row r="2307" spans="1:5">
      <c r="A2307" t="s">
        <v>32</v>
      </c>
      <c r="B2307" s="11" t="s">
        <v>68</v>
      </c>
      <c r="C2307">
        <v>2001</v>
      </c>
      <c r="D2307" s="9">
        <v>6277.22</v>
      </c>
      <c r="E2307" t="s">
        <v>58</v>
      </c>
    </row>
    <row r="2308" spans="1:5">
      <c r="A2308" t="s">
        <v>32</v>
      </c>
      <c r="B2308" s="11" t="s">
        <v>69</v>
      </c>
      <c r="C2308">
        <v>2001</v>
      </c>
      <c r="D2308" s="9">
        <v>6752.28</v>
      </c>
      <c r="E2308" t="s">
        <v>58</v>
      </c>
    </row>
    <row r="2309" spans="1:5">
      <c r="A2309" t="s">
        <v>32</v>
      </c>
      <c r="B2309" s="11" t="s">
        <v>77</v>
      </c>
      <c r="C2309">
        <v>2001</v>
      </c>
      <c r="D2309" s="9">
        <v>5860.2</v>
      </c>
      <c r="E2309" t="s">
        <v>58</v>
      </c>
    </row>
    <row r="2310" spans="1:5">
      <c r="A2310" t="s">
        <v>32</v>
      </c>
      <c r="B2310" s="11" t="s">
        <v>70</v>
      </c>
      <c r="C2310">
        <v>2001</v>
      </c>
      <c r="D2310" s="9">
        <v>6944.09</v>
      </c>
      <c r="E2310" t="s">
        <v>59</v>
      </c>
    </row>
    <row r="2311" spans="1:5">
      <c r="A2311" t="s">
        <v>32</v>
      </c>
      <c r="B2311" s="11" t="s">
        <v>71</v>
      </c>
      <c r="C2311">
        <v>2001</v>
      </c>
      <c r="D2311" s="9">
        <v>10092.44</v>
      </c>
      <c r="E2311" t="s">
        <v>59</v>
      </c>
    </row>
    <row r="2312" spans="1:5">
      <c r="A2312" t="s">
        <v>32</v>
      </c>
      <c r="B2312" s="11" t="s">
        <v>72</v>
      </c>
      <c r="C2312">
        <v>2001</v>
      </c>
      <c r="D2312" s="9">
        <v>12634.1</v>
      </c>
      <c r="E2312" t="s">
        <v>59</v>
      </c>
    </row>
    <row r="2313" spans="1:5">
      <c r="A2313" t="s">
        <v>32</v>
      </c>
      <c r="B2313" s="11" t="s">
        <v>78</v>
      </c>
      <c r="C2313">
        <v>2001</v>
      </c>
      <c r="D2313" s="9">
        <v>6139.62</v>
      </c>
      <c r="E2313" t="s">
        <v>59</v>
      </c>
    </row>
    <row r="2314" spans="1:5">
      <c r="A2314" t="s">
        <v>32</v>
      </c>
      <c r="B2314" s="11" t="s">
        <v>73</v>
      </c>
      <c r="C2314">
        <v>2001</v>
      </c>
      <c r="D2314" s="9">
        <v>10259.4</v>
      </c>
      <c r="E2314" t="s">
        <v>60</v>
      </c>
    </row>
    <row r="2315" spans="1:5">
      <c r="A2315" t="s">
        <v>32</v>
      </c>
      <c r="B2315" s="11" t="s">
        <v>74</v>
      </c>
      <c r="C2315">
        <v>2001</v>
      </c>
      <c r="D2315" s="9">
        <v>6018.04</v>
      </c>
      <c r="E2315" t="s">
        <v>60</v>
      </c>
    </row>
    <row r="2316" spans="1:5">
      <c r="A2316" t="s">
        <v>33</v>
      </c>
      <c r="B2316" s="11" t="s">
        <v>61</v>
      </c>
      <c r="C2316">
        <v>2001</v>
      </c>
      <c r="D2316" s="9">
        <v>8979.76</v>
      </c>
      <c r="E2316" t="s">
        <v>56</v>
      </c>
    </row>
    <row r="2317" spans="1:5">
      <c r="A2317" t="s">
        <v>33</v>
      </c>
      <c r="B2317" s="11" t="s">
        <v>62</v>
      </c>
      <c r="C2317">
        <v>2001</v>
      </c>
      <c r="D2317" s="9">
        <v>6409.97</v>
      </c>
      <c r="E2317" t="s">
        <v>56</v>
      </c>
    </row>
    <row r="2318" spans="1:5">
      <c r="A2318" t="s">
        <v>33</v>
      </c>
      <c r="B2318" s="11" t="s">
        <v>63</v>
      </c>
      <c r="C2318">
        <v>2001</v>
      </c>
      <c r="D2318" s="9">
        <v>9583.57</v>
      </c>
      <c r="E2318" t="s">
        <v>56</v>
      </c>
    </row>
    <row r="2319" spans="1:5">
      <c r="A2319" t="s">
        <v>33</v>
      </c>
      <c r="B2319" s="11" t="s">
        <v>75</v>
      </c>
      <c r="C2319">
        <v>2001</v>
      </c>
      <c r="D2319" s="9">
        <v>10022.33</v>
      </c>
      <c r="E2319" t="s">
        <v>56</v>
      </c>
    </row>
    <row r="2320" spans="1:5">
      <c r="A2320" t="s">
        <v>33</v>
      </c>
      <c r="B2320" s="11" t="s">
        <v>64</v>
      </c>
      <c r="C2320">
        <v>2001</v>
      </c>
      <c r="D2320" s="9">
        <v>7725.09</v>
      </c>
      <c r="E2320" t="s">
        <v>57</v>
      </c>
    </row>
    <row r="2321" spans="1:5">
      <c r="A2321" t="s">
        <v>33</v>
      </c>
      <c r="B2321" s="11" t="s">
        <v>65</v>
      </c>
      <c r="C2321">
        <v>2001</v>
      </c>
      <c r="D2321" s="9">
        <v>8550</v>
      </c>
      <c r="E2321" t="s">
        <v>57</v>
      </c>
    </row>
    <row r="2322" spans="1:5">
      <c r="A2322" t="s">
        <v>33</v>
      </c>
      <c r="B2322" s="11" t="s">
        <v>66</v>
      </c>
      <c r="C2322">
        <v>2001</v>
      </c>
      <c r="D2322" s="9">
        <v>15920.84</v>
      </c>
      <c r="E2322" t="s">
        <v>57</v>
      </c>
    </row>
    <row r="2323" spans="1:5">
      <c r="A2323" t="s">
        <v>33</v>
      </c>
      <c r="B2323" s="11" t="s">
        <v>67</v>
      </c>
      <c r="C2323">
        <v>2001</v>
      </c>
      <c r="D2323" s="9">
        <v>8218.02</v>
      </c>
      <c r="E2323" t="s">
        <v>57</v>
      </c>
    </row>
    <row r="2324" spans="1:5">
      <c r="A2324" t="s">
        <v>33</v>
      </c>
      <c r="B2324" s="11" t="s">
        <v>76</v>
      </c>
      <c r="C2324">
        <v>2001</v>
      </c>
      <c r="D2324" s="9">
        <v>4557.05</v>
      </c>
      <c r="E2324" t="s">
        <v>57</v>
      </c>
    </row>
    <row r="2325" spans="1:5">
      <c r="A2325" t="s">
        <v>33</v>
      </c>
      <c r="B2325" s="11" t="s">
        <v>68</v>
      </c>
      <c r="C2325">
        <v>2001</v>
      </c>
      <c r="D2325" s="9">
        <v>9607.39</v>
      </c>
      <c r="E2325" t="s">
        <v>58</v>
      </c>
    </row>
    <row r="2326" spans="1:5">
      <c r="A2326" t="s">
        <v>33</v>
      </c>
      <c r="B2326" s="11" t="s">
        <v>69</v>
      </c>
      <c r="C2326">
        <v>2001</v>
      </c>
      <c r="D2326" s="9">
        <v>6754.06</v>
      </c>
      <c r="E2326" t="s">
        <v>58</v>
      </c>
    </row>
    <row r="2327" spans="1:5">
      <c r="A2327" t="s">
        <v>33</v>
      </c>
      <c r="B2327" s="11" t="s">
        <v>77</v>
      </c>
      <c r="C2327">
        <v>2001</v>
      </c>
      <c r="D2327" s="9">
        <v>11600.16</v>
      </c>
      <c r="E2327" t="s">
        <v>58</v>
      </c>
    </row>
    <row r="2328" spans="1:5">
      <c r="A2328" t="s">
        <v>33</v>
      </c>
      <c r="B2328" s="11" t="s">
        <v>70</v>
      </c>
      <c r="C2328">
        <v>2001</v>
      </c>
      <c r="D2328" s="9">
        <v>8279.3799999999992</v>
      </c>
      <c r="E2328" t="s">
        <v>59</v>
      </c>
    </row>
    <row r="2329" spans="1:5">
      <c r="A2329" t="s">
        <v>33</v>
      </c>
      <c r="B2329" s="11" t="s">
        <v>71</v>
      </c>
      <c r="C2329">
        <v>2001</v>
      </c>
      <c r="D2329" s="9">
        <v>7718.77</v>
      </c>
      <c r="E2329" t="s">
        <v>59</v>
      </c>
    </row>
    <row r="2330" spans="1:5">
      <c r="A2330" t="s">
        <v>33</v>
      </c>
      <c r="B2330" s="11" t="s">
        <v>72</v>
      </c>
      <c r="C2330">
        <v>2001</v>
      </c>
      <c r="D2330" s="9">
        <v>10663.74</v>
      </c>
      <c r="E2330" t="s">
        <v>59</v>
      </c>
    </row>
    <row r="2331" spans="1:5">
      <c r="A2331" t="s">
        <v>33</v>
      </c>
      <c r="B2331" s="11" t="s">
        <v>78</v>
      </c>
      <c r="C2331">
        <v>2001</v>
      </c>
      <c r="D2331" s="9">
        <v>7647.35</v>
      </c>
      <c r="E2331" t="s">
        <v>59</v>
      </c>
    </row>
    <row r="2332" spans="1:5">
      <c r="A2332" t="s">
        <v>33</v>
      </c>
      <c r="B2332" s="11" t="s">
        <v>73</v>
      </c>
      <c r="C2332">
        <v>2001</v>
      </c>
      <c r="D2332" s="9">
        <v>12018.03</v>
      </c>
      <c r="E2332" t="s">
        <v>60</v>
      </c>
    </row>
    <row r="2333" spans="1:5">
      <c r="A2333" t="s">
        <v>33</v>
      </c>
      <c r="B2333" s="11" t="s">
        <v>74</v>
      </c>
      <c r="C2333">
        <v>2001</v>
      </c>
      <c r="D2333" s="9">
        <v>6652.89</v>
      </c>
      <c r="E2333" t="s">
        <v>60</v>
      </c>
    </row>
    <row r="2334" spans="1:5">
      <c r="A2334" t="s">
        <v>34</v>
      </c>
      <c r="B2334" s="11" t="s">
        <v>61</v>
      </c>
      <c r="C2334">
        <v>2001</v>
      </c>
      <c r="D2334" s="9">
        <v>7701.28</v>
      </c>
      <c r="E2334" t="s">
        <v>56</v>
      </c>
    </row>
    <row r="2335" spans="1:5">
      <c r="A2335" t="s">
        <v>34</v>
      </c>
      <c r="B2335" s="11" t="s">
        <v>62</v>
      </c>
      <c r="C2335">
        <v>2001</v>
      </c>
      <c r="D2335" s="9">
        <v>9237.07</v>
      </c>
      <c r="E2335" t="s">
        <v>56</v>
      </c>
    </row>
    <row r="2336" spans="1:5">
      <c r="A2336" t="s">
        <v>34</v>
      </c>
      <c r="B2336" s="11" t="s">
        <v>63</v>
      </c>
      <c r="C2336">
        <v>2001</v>
      </c>
      <c r="D2336" s="9">
        <v>9189.0499999999993</v>
      </c>
      <c r="E2336" t="s">
        <v>56</v>
      </c>
    </row>
    <row r="2337" spans="1:5">
      <c r="A2337" t="s">
        <v>34</v>
      </c>
      <c r="B2337" s="11" t="s">
        <v>64</v>
      </c>
      <c r="C2337">
        <v>2001</v>
      </c>
      <c r="D2337" s="9">
        <v>9491.85</v>
      </c>
      <c r="E2337" t="s">
        <v>57</v>
      </c>
    </row>
    <row r="2338" spans="1:5">
      <c r="A2338" t="s">
        <v>34</v>
      </c>
      <c r="B2338" s="11" t="s">
        <v>65</v>
      </c>
      <c r="C2338">
        <v>2001</v>
      </c>
      <c r="D2338" s="9">
        <v>7976.43</v>
      </c>
      <c r="E2338" t="s">
        <v>57</v>
      </c>
    </row>
    <row r="2339" spans="1:5">
      <c r="A2339" t="s">
        <v>34</v>
      </c>
      <c r="B2339" s="11" t="s">
        <v>66</v>
      </c>
      <c r="C2339">
        <v>2001</v>
      </c>
      <c r="D2339" s="9">
        <v>17675.759999999998</v>
      </c>
      <c r="E2339" t="s">
        <v>57</v>
      </c>
    </row>
    <row r="2340" spans="1:5">
      <c r="A2340" t="s">
        <v>34</v>
      </c>
      <c r="B2340" s="11" t="s">
        <v>67</v>
      </c>
      <c r="C2340">
        <v>2001</v>
      </c>
      <c r="D2340" s="9">
        <v>4001.84</v>
      </c>
      <c r="E2340" t="s">
        <v>57</v>
      </c>
    </row>
    <row r="2341" spans="1:5">
      <c r="A2341" t="s">
        <v>34</v>
      </c>
      <c r="B2341" s="11" t="s">
        <v>76</v>
      </c>
      <c r="C2341">
        <v>2001</v>
      </c>
      <c r="D2341" s="9">
        <v>5307.41</v>
      </c>
      <c r="E2341" t="s">
        <v>57</v>
      </c>
    </row>
    <row r="2342" spans="1:5">
      <c r="A2342" t="s">
        <v>34</v>
      </c>
      <c r="B2342" s="11" t="s">
        <v>68</v>
      </c>
      <c r="C2342">
        <v>2001</v>
      </c>
      <c r="D2342" s="9">
        <v>7996.07</v>
      </c>
      <c r="E2342" t="s">
        <v>58</v>
      </c>
    </row>
    <row r="2343" spans="1:5">
      <c r="A2343" t="s">
        <v>34</v>
      </c>
      <c r="B2343" s="11" t="s">
        <v>69</v>
      </c>
      <c r="C2343">
        <v>2001</v>
      </c>
      <c r="D2343" s="9">
        <v>6290.13</v>
      </c>
      <c r="E2343" t="s">
        <v>58</v>
      </c>
    </row>
    <row r="2344" spans="1:5">
      <c r="A2344" t="s">
        <v>34</v>
      </c>
      <c r="B2344" s="11" t="s">
        <v>77</v>
      </c>
      <c r="C2344">
        <v>2001</v>
      </c>
      <c r="D2344" s="9">
        <v>9676.7000000000007</v>
      </c>
      <c r="E2344" t="s">
        <v>58</v>
      </c>
    </row>
    <row r="2345" spans="1:5">
      <c r="A2345" t="s">
        <v>34</v>
      </c>
      <c r="B2345" s="11" t="s">
        <v>70</v>
      </c>
      <c r="C2345">
        <v>2001</v>
      </c>
      <c r="D2345" s="9">
        <v>10226.719999999999</v>
      </c>
      <c r="E2345" t="s">
        <v>59</v>
      </c>
    </row>
    <row r="2346" spans="1:5">
      <c r="A2346" t="s">
        <v>34</v>
      </c>
      <c r="B2346" s="11" t="s">
        <v>71</v>
      </c>
      <c r="C2346">
        <v>2001</v>
      </c>
      <c r="D2346" s="9">
        <v>8429.19</v>
      </c>
      <c r="E2346" t="s">
        <v>59</v>
      </c>
    </row>
    <row r="2347" spans="1:5">
      <c r="A2347" t="s">
        <v>34</v>
      </c>
      <c r="B2347" s="11" t="s">
        <v>72</v>
      </c>
      <c r="C2347">
        <v>2001</v>
      </c>
      <c r="D2347" s="9">
        <v>11872.22</v>
      </c>
      <c r="E2347" t="s">
        <v>59</v>
      </c>
    </row>
    <row r="2348" spans="1:5">
      <c r="A2348" t="s">
        <v>34</v>
      </c>
      <c r="B2348" s="11" t="s">
        <v>78</v>
      </c>
      <c r="C2348">
        <v>2001</v>
      </c>
      <c r="D2348" s="9">
        <v>9477.08</v>
      </c>
      <c r="E2348" t="s">
        <v>59</v>
      </c>
    </row>
    <row r="2349" spans="1:5">
      <c r="A2349" t="s">
        <v>34</v>
      </c>
      <c r="B2349" s="11" t="s">
        <v>73</v>
      </c>
      <c r="C2349">
        <v>2001</v>
      </c>
      <c r="D2349" s="9">
        <v>8776.3700000000008</v>
      </c>
      <c r="E2349" t="s">
        <v>60</v>
      </c>
    </row>
    <row r="2350" spans="1:5">
      <c r="A2350" t="s">
        <v>34</v>
      </c>
      <c r="B2350" s="11" t="s">
        <v>74</v>
      </c>
      <c r="C2350">
        <v>2001</v>
      </c>
      <c r="D2350" s="9">
        <v>8986.75</v>
      </c>
      <c r="E2350" t="s">
        <v>60</v>
      </c>
    </row>
    <row r="2351" spans="1:5">
      <c r="A2351" t="s">
        <v>35</v>
      </c>
      <c r="B2351" s="11" t="s">
        <v>61</v>
      </c>
      <c r="C2351">
        <v>2001</v>
      </c>
      <c r="D2351" s="9">
        <v>7890.63</v>
      </c>
      <c r="E2351" t="s">
        <v>56</v>
      </c>
    </row>
    <row r="2352" spans="1:5">
      <c r="A2352" t="s">
        <v>35</v>
      </c>
      <c r="B2352" s="11" t="s">
        <v>62</v>
      </c>
      <c r="C2352">
        <v>2001</v>
      </c>
      <c r="D2352" s="9">
        <v>7682.18</v>
      </c>
      <c r="E2352" t="s">
        <v>56</v>
      </c>
    </row>
    <row r="2353" spans="1:5">
      <c r="A2353" t="s">
        <v>35</v>
      </c>
      <c r="B2353" s="11" t="s">
        <v>63</v>
      </c>
      <c r="C2353">
        <v>2001</v>
      </c>
      <c r="D2353" s="9">
        <v>11096.78</v>
      </c>
      <c r="E2353" t="s">
        <v>56</v>
      </c>
    </row>
    <row r="2354" spans="1:5">
      <c r="A2354" t="s">
        <v>35</v>
      </c>
      <c r="B2354" s="11" t="s">
        <v>75</v>
      </c>
      <c r="C2354">
        <v>2001</v>
      </c>
      <c r="D2354" s="9">
        <v>8513.74</v>
      </c>
      <c r="E2354" t="s">
        <v>56</v>
      </c>
    </row>
    <row r="2355" spans="1:5">
      <c r="A2355" t="s">
        <v>35</v>
      </c>
      <c r="B2355" s="11" t="s">
        <v>64</v>
      </c>
      <c r="C2355">
        <v>2001</v>
      </c>
      <c r="D2355" s="9">
        <v>11290.16</v>
      </c>
      <c r="E2355" t="s">
        <v>57</v>
      </c>
    </row>
    <row r="2356" spans="1:5">
      <c r="A2356" t="s">
        <v>35</v>
      </c>
      <c r="B2356" s="11" t="s">
        <v>65</v>
      </c>
      <c r="C2356">
        <v>2001</v>
      </c>
      <c r="D2356" s="9">
        <v>8767.86</v>
      </c>
      <c r="E2356" t="s">
        <v>57</v>
      </c>
    </row>
    <row r="2357" spans="1:5">
      <c r="A2357" t="s">
        <v>35</v>
      </c>
      <c r="B2357" s="11" t="s">
        <v>66</v>
      </c>
      <c r="C2357">
        <v>2001</v>
      </c>
      <c r="D2357" s="9">
        <v>18491.86</v>
      </c>
      <c r="E2357" t="s">
        <v>57</v>
      </c>
    </row>
    <row r="2358" spans="1:5">
      <c r="A2358" t="s">
        <v>35</v>
      </c>
      <c r="B2358" s="11" t="s">
        <v>67</v>
      </c>
      <c r="C2358">
        <v>2001</v>
      </c>
      <c r="D2358" s="9">
        <v>6395.24</v>
      </c>
      <c r="E2358" t="s">
        <v>57</v>
      </c>
    </row>
    <row r="2359" spans="1:5">
      <c r="A2359" t="s">
        <v>35</v>
      </c>
      <c r="B2359" s="11" t="s">
        <v>76</v>
      </c>
      <c r="C2359">
        <v>2001</v>
      </c>
      <c r="D2359" s="9">
        <v>3761.44</v>
      </c>
      <c r="E2359" t="s">
        <v>57</v>
      </c>
    </row>
    <row r="2360" spans="1:5">
      <c r="A2360" t="s">
        <v>35</v>
      </c>
      <c r="B2360" s="11" t="s">
        <v>68</v>
      </c>
      <c r="C2360">
        <v>2001</v>
      </c>
      <c r="D2360" s="9">
        <v>6349.85</v>
      </c>
      <c r="E2360" t="s">
        <v>58</v>
      </c>
    </row>
    <row r="2361" spans="1:5">
      <c r="A2361" t="s">
        <v>35</v>
      </c>
      <c r="B2361" s="11" t="s">
        <v>69</v>
      </c>
      <c r="C2361">
        <v>2001</v>
      </c>
      <c r="D2361" s="9">
        <v>5131.1499999999996</v>
      </c>
      <c r="E2361" t="s">
        <v>58</v>
      </c>
    </row>
    <row r="2362" spans="1:5">
      <c r="A2362" t="s">
        <v>35</v>
      </c>
      <c r="B2362" s="11" t="s">
        <v>77</v>
      </c>
      <c r="C2362">
        <v>2001</v>
      </c>
      <c r="D2362" s="9">
        <v>9618.9599999999991</v>
      </c>
      <c r="E2362" t="s">
        <v>58</v>
      </c>
    </row>
    <row r="2363" spans="1:5">
      <c r="A2363" t="s">
        <v>35</v>
      </c>
      <c r="B2363" s="11" t="s">
        <v>70</v>
      </c>
      <c r="C2363">
        <v>2001</v>
      </c>
      <c r="D2363" s="9">
        <v>8012.14</v>
      </c>
      <c r="E2363" t="s">
        <v>59</v>
      </c>
    </row>
    <row r="2364" spans="1:5">
      <c r="A2364" t="s">
        <v>35</v>
      </c>
      <c r="B2364" s="11" t="s">
        <v>71</v>
      </c>
      <c r="C2364">
        <v>2001</v>
      </c>
      <c r="D2364" s="9">
        <v>9963.11</v>
      </c>
      <c r="E2364" t="s">
        <v>59</v>
      </c>
    </row>
    <row r="2365" spans="1:5">
      <c r="A2365" t="s">
        <v>35</v>
      </c>
      <c r="B2365" s="11" t="s">
        <v>72</v>
      </c>
      <c r="C2365">
        <v>2001</v>
      </c>
      <c r="D2365" s="9">
        <v>12795.9</v>
      </c>
      <c r="E2365" t="s">
        <v>59</v>
      </c>
    </row>
    <row r="2366" spans="1:5">
      <c r="A2366" t="s">
        <v>35</v>
      </c>
      <c r="B2366" s="11" t="s">
        <v>78</v>
      </c>
      <c r="C2366">
        <v>2001</v>
      </c>
      <c r="D2366" s="9">
        <v>8937.57</v>
      </c>
      <c r="E2366" t="s">
        <v>59</v>
      </c>
    </row>
    <row r="2367" spans="1:5">
      <c r="A2367" t="s">
        <v>35</v>
      </c>
      <c r="B2367" s="11" t="s">
        <v>73</v>
      </c>
      <c r="C2367">
        <v>2001</v>
      </c>
      <c r="D2367" s="9">
        <v>11208.4</v>
      </c>
      <c r="E2367" t="s">
        <v>60</v>
      </c>
    </row>
    <row r="2368" spans="1:5">
      <c r="A2368" t="s">
        <v>35</v>
      </c>
      <c r="B2368" s="11" t="s">
        <v>74</v>
      </c>
      <c r="C2368">
        <v>2001</v>
      </c>
      <c r="D2368" s="9">
        <v>7684.19</v>
      </c>
      <c r="E2368" t="s">
        <v>60</v>
      </c>
    </row>
    <row r="2369" spans="1:5">
      <c r="A2369" t="s">
        <v>36</v>
      </c>
      <c r="B2369" s="11" t="s">
        <v>61</v>
      </c>
      <c r="C2369">
        <v>2001</v>
      </c>
      <c r="D2369" s="9">
        <v>6735.85</v>
      </c>
      <c r="E2369" t="s">
        <v>56</v>
      </c>
    </row>
    <row r="2370" spans="1:5">
      <c r="A2370" t="s">
        <v>36</v>
      </c>
      <c r="B2370" s="11" t="s">
        <v>62</v>
      </c>
      <c r="C2370">
        <v>2001</v>
      </c>
      <c r="D2370" s="9">
        <v>4754.54</v>
      </c>
      <c r="E2370" t="s">
        <v>56</v>
      </c>
    </row>
    <row r="2371" spans="1:5">
      <c r="A2371" t="s">
        <v>36</v>
      </c>
      <c r="B2371" s="11" t="s">
        <v>63</v>
      </c>
      <c r="C2371">
        <v>2001</v>
      </c>
      <c r="D2371" s="9">
        <v>6821.09</v>
      </c>
      <c r="E2371" t="s">
        <v>56</v>
      </c>
    </row>
    <row r="2372" spans="1:5">
      <c r="A2372" t="s">
        <v>36</v>
      </c>
      <c r="B2372" s="11" t="s">
        <v>75</v>
      </c>
      <c r="C2372">
        <v>2001</v>
      </c>
      <c r="D2372" s="9">
        <v>7657.82</v>
      </c>
      <c r="E2372" t="s">
        <v>56</v>
      </c>
    </row>
    <row r="2373" spans="1:5">
      <c r="A2373" t="s">
        <v>36</v>
      </c>
      <c r="B2373" s="11" t="s">
        <v>64</v>
      </c>
      <c r="C2373">
        <v>2001</v>
      </c>
      <c r="D2373" s="9">
        <v>7851.09</v>
      </c>
      <c r="E2373" t="s">
        <v>57</v>
      </c>
    </row>
    <row r="2374" spans="1:5">
      <c r="A2374" t="s">
        <v>36</v>
      </c>
      <c r="B2374" s="11" t="s">
        <v>65</v>
      </c>
      <c r="C2374">
        <v>2001</v>
      </c>
      <c r="D2374" s="9">
        <v>4298.2299999999996</v>
      </c>
      <c r="E2374" t="s">
        <v>57</v>
      </c>
    </row>
    <row r="2375" spans="1:5">
      <c r="A2375" t="s">
        <v>36</v>
      </c>
      <c r="B2375" s="11" t="s">
        <v>66</v>
      </c>
      <c r="C2375">
        <v>2001</v>
      </c>
      <c r="D2375" s="9">
        <v>14810.92</v>
      </c>
      <c r="E2375" t="s">
        <v>57</v>
      </c>
    </row>
    <row r="2376" spans="1:5">
      <c r="A2376" t="s">
        <v>36</v>
      </c>
      <c r="B2376" s="11" t="s">
        <v>67</v>
      </c>
      <c r="C2376">
        <v>2001</v>
      </c>
      <c r="D2376" s="9">
        <v>5706.97</v>
      </c>
      <c r="E2376" t="s">
        <v>57</v>
      </c>
    </row>
    <row r="2377" spans="1:5">
      <c r="A2377" t="s">
        <v>36</v>
      </c>
      <c r="B2377" s="11" t="s">
        <v>76</v>
      </c>
      <c r="C2377">
        <v>2001</v>
      </c>
      <c r="D2377" s="9">
        <v>3855.88</v>
      </c>
      <c r="E2377" t="s">
        <v>57</v>
      </c>
    </row>
    <row r="2378" spans="1:5">
      <c r="A2378" t="s">
        <v>36</v>
      </c>
      <c r="B2378" s="11" t="s">
        <v>68</v>
      </c>
      <c r="C2378">
        <v>2001</v>
      </c>
      <c r="D2378" s="9">
        <v>6731.99</v>
      </c>
      <c r="E2378" t="s">
        <v>58</v>
      </c>
    </row>
    <row r="2379" spans="1:5">
      <c r="A2379" t="s">
        <v>36</v>
      </c>
      <c r="B2379" s="11" t="s">
        <v>69</v>
      </c>
      <c r="C2379">
        <v>2001</v>
      </c>
      <c r="D2379" s="9">
        <v>5190.7700000000004</v>
      </c>
      <c r="E2379" t="s">
        <v>58</v>
      </c>
    </row>
    <row r="2380" spans="1:5">
      <c r="A2380" t="s">
        <v>36</v>
      </c>
      <c r="B2380" s="11" t="s">
        <v>77</v>
      </c>
      <c r="C2380">
        <v>2001</v>
      </c>
      <c r="D2380" s="9">
        <v>7503.06</v>
      </c>
      <c r="E2380" t="s">
        <v>58</v>
      </c>
    </row>
    <row r="2381" spans="1:5">
      <c r="A2381" t="s">
        <v>36</v>
      </c>
      <c r="B2381" s="11" t="s">
        <v>70</v>
      </c>
      <c r="C2381">
        <v>2001</v>
      </c>
      <c r="D2381" s="9">
        <v>5581.95</v>
      </c>
      <c r="E2381" t="s">
        <v>59</v>
      </c>
    </row>
    <row r="2382" spans="1:5">
      <c r="A2382" t="s">
        <v>36</v>
      </c>
      <c r="B2382" s="11" t="s">
        <v>71</v>
      </c>
      <c r="C2382">
        <v>2001</v>
      </c>
      <c r="D2382" s="9">
        <v>8875.7000000000007</v>
      </c>
      <c r="E2382" t="s">
        <v>59</v>
      </c>
    </row>
    <row r="2383" spans="1:5">
      <c r="A2383" t="s">
        <v>36</v>
      </c>
      <c r="B2383" s="11" t="s">
        <v>72</v>
      </c>
      <c r="C2383">
        <v>2001</v>
      </c>
      <c r="D2383" s="9">
        <v>9926.26</v>
      </c>
      <c r="E2383" t="s">
        <v>59</v>
      </c>
    </row>
    <row r="2384" spans="1:5">
      <c r="A2384" t="s">
        <v>36</v>
      </c>
      <c r="B2384" s="11" t="s">
        <v>78</v>
      </c>
      <c r="C2384">
        <v>2001</v>
      </c>
      <c r="D2384" s="9">
        <v>5632.46</v>
      </c>
      <c r="E2384" t="s">
        <v>59</v>
      </c>
    </row>
    <row r="2385" spans="1:5">
      <c r="A2385" t="s">
        <v>36</v>
      </c>
      <c r="B2385" s="11" t="s">
        <v>73</v>
      </c>
      <c r="C2385">
        <v>2001</v>
      </c>
      <c r="D2385" s="9">
        <v>10228.459999999999</v>
      </c>
      <c r="E2385" t="s">
        <v>60</v>
      </c>
    </row>
    <row r="2386" spans="1:5">
      <c r="A2386" t="s">
        <v>36</v>
      </c>
      <c r="B2386" s="11" t="s">
        <v>74</v>
      </c>
      <c r="C2386">
        <v>2001</v>
      </c>
      <c r="D2386" s="9">
        <v>10870.45</v>
      </c>
      <c r="E2386" t="s">
        <v>60</v>
      </c>
    </row>
    <row r="2387" spans="1:5">
      <c r="A2387" t="s">
        <v>37</v>
      </c>
      <c r="B2387" s="11" t="s">
        <v>61</v>
      </c>
      <c r="C2387">
        <v>2001</v>
      </c>
      <c r="D2387" s="9">
        <v>8682.48</v>
      </c>
      <c r="E2387" t="s">
        <v>56</v>
      </c>
    </row>
    <row r="2388" spans="1:5">
      <c r="A2388" t="s">
        <v>37</v>
      </c>
      <c r="B2388" s="11" t="s">
        <v>62</v>
      </c>
      <c r="C2388">
        <v>2001</v>
      </c>
      <c r="D2388" s="9">
        <v>4664.96</v>
      </c>
      <c r="E2388" t="s">
        <v>56</v>
      </c>
    </row>
    <row r="2389" spans="1:5">
      <c r="A2389" t="s">
        <v>37</v>
      </c>
      <c r="B2389" s="11" t="s">
        <v>63</v>
      </c>
      <c r="C2389">
        <v>2001</v>
      </c>
      <c r="D2389" s="9">
        <v>8742.26</v>
      </c>
      <c r="E2389" t="s">
        <v>56</v>
      </c>
    </row>
    <row r="2390" spans="1:5">
      <c r="A2390" t="s">
        <v>37</v>
      </c>
      <c r="B2390" s="11" t="s">
        <v>75</v>
      </c>
      <c r="C2390">
        <v>2001</v>
      </c>
      <c r="D2390" s="9">
        <v>9072.17</v>
      </c>
      <c r="E2390" t="s">
        <v>56</v>
      </c>
    </row>
    <row r="2391" spans="1:5">
      <c r="A2391" t="s">
        <v>37</v>
      </c>
      <c r="B2391" s="11" t="s">
        <v>64</v>
      </c>
      <c r="C2391">
        <v>2001</v>
      </c>
      <c r="D2391" s="9">
        <v>7598.37</v>
      </c>
      <c r="E2391" t="s">
        <v>57</v>
      </c>
    </row>
    <row r="2392" spans="1:5">
      <c r="A2392" t="s">
        <v>37</v>
      </c>
      <c r="B2392" s="11" t="s">
        <v>65</v>
      </c>
      <c r="C2392">
        <v>2001</v>
      </c>
      <c r="D2392" s="9">
        <v>4738.54</v>
      </c>
      <c r="E2392" t="s">
        <v>57</v>
      </c>
    </row>
    <row r="2393" spans="1:5">
      <c r="A2393" t="s">
        <v>37</v>
      </c>
      <c r="B2393" s="11" t="s">
        <v>66</v>
      </c>
      <c r="C2393">
        <v>2001</v>
      </c>
      <c r="D2393" s="9">
        <v>14037.91</v>
      </c>
      <c r="E2393" t="s">
        <v>57</v>
      </c>
    </row>
    <row r="2394" spans="1:5">
      <c r="A2394" t="s">
        <v>37</v>
      </c>
      <c r="B2394" s="11" t="s">
        <v>67</v>
      </c>
      <c r="C2394">
        <v>2001</v>
      </c>
      <c r="D2394" s="9">
        <v>6620.87</v>
      </c>
      <c r="E2394" t="s">
        <v>57</v>
      </c>
    </row>
    <row r="2395" spans="1:5">
      <c r="A2395" t="s">
        <v>37</v>
      </c>
      <c r="B2395" s="11" t="s">
        <v>76</v>
      </c>
      <c r="C2395">
        <v>2001</v>
      </c>
      <c r="D2395" s="9">
        <v>3273.1</v>
      </c>
      <c r="E2395" t="s">
        <v>57</v>
      </c>
    </row>
    <row r="2396" spans="1:5">
      <c r="A2396" t="s">
        <v>37</v>
      </c>
      <c r="B2396" s="11" t="s">
        <v>68</v>
      </c>
      <c r="C2396">
        <v>2001</v>
      </c>
      <c r="D2396" s="9">
        <v>6942.27</v>
      </c>
      <c r="E2396" t="s">
        <v>58</v>
      </c>
    </row>
    <row r="2397" spans="1:5">
      <c r="A2397" t="s">
        <v>37</v>
      </c>
      <c r="B2397" s="11" t="s">
        <v>69</v>
      </c>
      <c r="C2397">
        <v>2001</v>
      </c>
      <c r="D2397" s="9">
        <v>6282.26</v>
      </c>
      <c r="E2397" t="s">
        <v>58</v>
      </c>
    </row>
    <row r="2398" spans="1:5">
      <c r="A2398" t="s">
        <v>37</v>
      </c>
      <c r="B2398" s="11" t="s">
        <v>77</v>
      </c>
      <c r="C2398">
        <v>2001</v>
      </c>
      <c r="D2398" s="9">
        <v>5698.85</v>
      </c>
      <c r="E2398" t="s">
        <v>58</v>
      </c>
    </row>
    <row r="2399" spans="1:5">
      <c r="A2399" t="s">
        <v>37</v>
      </c>
      <c r="B2399" s="11" t="s">
        <v>70</v>
      </c>
      <c r="C2399">
        <v>2001</v>
      </c>
      <c r="D2399" s="9">
        <v>6583.66</v>
      </c>
      <c r="E2399" t="s">
        <v>59</v>
      </c>
    </row>
    <row r="2400" spans="1:5">
      <c r="A2400" t="s">
        <v>37</v>
      </c>
      <c r="B2400" s="11" t="s">
        <v>71</v>
      </c>
      <c r="C2400">
        <v>2001</v>
      </c>
      <c r="D2400" s="9">
        <v>11010.99</v>
      </c>
      <c r="E2400" t="s">
        <v>59</v>
      </c>
    </row>
    <row r="2401" spans="1:5">
      <c r="A2401" t="s">
        <v>37</v>
      </c>
      <c r="B2401" s="11" t="s">
        <v>72</v>
      </c>
      <c r="C2401">
        <v>2001</v>
      </c>
      <c r="D2401" s="9">
        <v>7526.72</v>
      </c>
      <c r="E2401" t="s">
        <v>59</v>
      </c>
    </row>
    <row r="2402" spans="1:5">
      <c r="A2402" t="s">
        <v>37</v>
      </c>
      <c r="B2402" s="11" t="s">
        <v>78</v>
      </c>
      <c r="C2402">
        <v>2001</v>
      </c>
      <c r="D2402" s="9">
        <v>6291.46</v>
      </c>
      <c r="E2402" t="s">
        <v>59</v>
      </c>
    </row>
    <row r="2403" spans="1:5">
      <c r="A2403" t="s">
        <v>37</v>
      </c>
      <c r="B2403" s="11" t="s">
        <v>73</v>
      </c>
      <c r="C2403">
        <v>2001</v>
      </c>
      <c r="D2403" s="9">
        <v>9977.7999999999993</v>
      </c>
      <c r="E2403" t="s">
        <v>60</v>
      </c>
    </row>
    <row r="2404" spans="1:5">
      <c r="A2404" t="s">
        <v>37</v>
      </c>
      <c r="B2404" s="11" t="s">
        <v>74</v>
      </c>
      <c r="C2404">
        <v>2001</v>
      </c>
      <c r="D2404" s="9">
        <v>6266.36</v>
      </c>
      <c r="E2404" t="s">
        <v>60</v>
      </c>
    </row>
    <row r="2405" spans="1:5">
      <c r="A2405" t="s">
        <v>38</v>
      </c>
      <c r="B2405" s="11" t="s">
        <v>61</v>
      </c>
      <c r="C2405">
        <v>2001</v>
      </c>
      <c r="D2405" s="9">
        <v>8007.18</v>
      </c>
      <c r="E2405" t="s">
        <v>56</v>
      </c>
    </row>
    <row r="2406" spans="1:5">
      <c r="A2406" t="s">
        <v>38</v>
      </c>
      <c r="B2406" s="11" t="s">
        <v>62</v>
      </c>
      <c r="C2406">
        <v>2001</v>
      </c>
      <c r="D2406" s="9">
        <v>4950.2700000000004</v>
      </c>
      <c r="E2406" t="s">
        <v>56</v>
      </c>
    </row>
    <row r="2407" spans="1:5">
      <c r="A2407" t="s">
        <v>38</v>
      </c>
      <c r="B2407" s="11" t="s">
        <v>63</v>
      </c>
      <c r="C2407">
        <v>2001</v>
      </c>
      <c r="D2407" s="9">
        <v>7873.42</v>
      </c>
      <c r="E2407" t="s">
        <v>56</v>
      </c>
    </row>
    <row r="2408" spans="1:5">
      <c r="A2408" t="s">
        <v>38</v>
      </c>
      <c r="B2408" s="11" t="s">
        <v>75</v>
      </c>
      <c r="C2408">
        <v>2001</v>
      </c>
      <c r="D2408" s="9">
        <v>9570.18</v>
      </c>
      <c r="E2408" t="s">
        <v>56</v>
      </c>
    </row>
    <row r="2409" spans="1:5">
      <c r="A2409" t="s">
        <v>38</v>
      </c>
      <c r="B2409" s="11" t="s">
        <v>64</v>
      </c>
      <c r="C2409">
        <v>2001</v>
      </c>
      <c r="D2409" s="9">
        <v>8635.19</v>
      </c>
      <c r="E2409" t="s">
        <v>57</v>
      </c>
    </row>
    <row r="2410" spans="1:5">
      <c r="A2410" t="s">
        <v>38</v>
      </c>
      <c r="B2410" s="11" t="s">
        <v>65</v>
      </c>
      <c r="C2410">
        <v>2001</v>
      </c>
      <c r="D2410" s="9">
        <v>6319.98</v>
      </c>
      <c r="E2410" t="s">
        <v>57</v>
      </c>
    </row>
    <row r="2411" spans="1:5">
      <c r="A2411" t="s">
        <v>38</v>
      </c>
      <c r="B2411" s="11" t="s">
        <v>66</v>
      </c>
      <c r="C2411">
        <v>2001</v>
      </c>
      <c r="D2411" s="9">
        <v>12373.41</v>
      </c>
      <c r="E2411" t="s">
        <v>57</v>
      </c>
    </row>
    <row r="2412" spans="1:5">
      <c r="A2412" t="s">
        <v>38</v>
      </c>
      <c r="B2412" s="11" t="s">
        <v>67</v>
      </c>
      <c r="C2412">
        <v>2001</v>
      </c>
      <c r="D2412" s="9">
        <v>5387.19</v>
      </c>
      <c r="E2412" t="s">
        <v>57</v>
      </c>
    </row>
    <row r="2413" spans="1:5">
      <c r="A2413" t="s">
        <v>38</v>
      </c>
      <c r="B2413" s="11" t="s">
        <v>76</v>
      </c>
      <c r="C2413">
        <v>2001</v>
      </c>
      <c r="D2413" s="9">
        <v>3846.15</v>
      </c>
      <c r="E2413" t="s">
        <v>57</v>
      </c>
    </row>
    <row r="2414" spans="1:5">
      <c r="A2414" t="s">
        <v>38</v>
      </c>
      <c r="B2414" s="11" t="s">
        <v>68</v>
      </c>
      <c r="C2414">
        <v>2001</v>
      </c>
      <c r="D2414" s="9">
        <v>4689.8500000000004</v>
      </c>
      <c r="E2414" t="s">
        <v>58</v>
      </c>
    </row>
    <row r="2415" spans="1:5">
      <c r="A2415" t="s">
        <v>38</v>
      </c>
      <c r="B2415" s="11" t="s">
        <v>69</v>
      </c>
      <c r="C2415">
        <v>2001</v>
      </c>
      <c r="D2415" s="9">
        <v>5519.34</v>
      </c>
      <c r="E2415" t="s">
        <v>58</v>
      </c>
    </row>
    <row r="2416" spans="1:5">
      <c r="A2416" t="s">
        <v>38</v>
      </c>
      <c r="B2416" s="11" t="s">
        <v>77</v>
      </c>
      <c r="C2416">
        <v>2001</v>
      </c>
      <c r="D2416" s="9">
        <v>6095.5</v>
      </c>
      <c r="E2416" t="s">
        <v>58</v>
      </c>
    </row>
    <row r="2417" spans="1:5">
      <c r="A2417" t="s">
        <v>38</v>
      </c>
      <c r="B2417" s="11" t="s">
        <v>70</v>
      </c>
      <c r="C2417">
        <v>2001</v>
      </c>
      <c r="D2417" s="9">
        <v>9646.24</v>
      </c>
      <c r="E2417" t="s">
        <v>59</v>
      </c>
    </row>
    <row r="2418" spans="1:5">
      <c r="A2418" t="s">
        <v>38</v>
      </c>
      <c r="B2418" s="11" t="s">
        <v>71</v>
      </c>
      <c r="C2418">
        <v>2001</v>
      </c>
      <c r="D2418" s="9">
        <v>8286.42</v>
      </c>
      <c r="E2418" t="s">
        <v>59</v>
      </c>
    </row>
    <row r="2419" spans="1:5">
      <c r="A2419" t="s">
        <v>38</v>
      </c>
      <c r="B2419" s="11" t="s">
        <v>72</v>
      </c>
      <c r="C2419">
        <v>2001</v>
      </c>
      <c r="D2419" s="9">
        <v>8388.02</v>
      </c>
      <c r="E2419" t="s">
        <v>59</v>
      </c>
    </row>
    <row r="2420" spans="1:5">
      <c r="A2420" t="s">
        <v>38</v>
      </c>
      <c r="B2420" s="11" t="s">
        <v>78</v>
      </c>
      <c r="C2420">
        <v>2001</v>
      </c>
      <c r="D2420" s="9">
        <v>6824.24</v>
      </c>
      <c r="E2420" t="s">
        <v>59</v>
      </c>
    </row>
    <row r="2421" spans="1:5">
      <c r="A2421" t="s">
        <v>38</v>
      </c>
      <c r="B2421" s="11" t="s">
        <v>73</v>
      </c>
      <c r="C2421">
        <v>2001</v>
      </c>
      <c r="D2421" s="9">
        <v>11563.91</v>
      </c>
      <c r="E2421" t="s">
        <v>60</v>
      </c>
    </row>
    <row r="2422" spans="1:5">
      <c r="A2422" t="s">
        <v>38</v>
      </c>
      <c r="B2422" s="11" t="s">
        <v>74</v>
      </c>
      <c r="C2422">
        <v>2001</v>
      </c>
      <c r="D2422" s="9">
        <v>6459.59</v>
      </c>
      <c r="E2422" t="s">
        <v>60</v>
      </c>
    </row>
    <row r="2423" spans="1:5">
      <c r="A2423" t="s">
        <v>39</v>
      </c>
      <c r="B2423" s="11" t="s">
        <v>61</v>
      </c>
      <c r="C2423">
        <v>2001</v>
      </c>
      <c r="D2423" s="9">
        <v>5450.78</v>
      </c>
      <c r="E2423" t="s">
        <v>56</v>
      </c>
    </row>
    <row r="2424" spans="1:5">
      <c r="A2424" t="s">
        <v>39</v>
      </c>
      <c r="B2424" s="11" t="s">
        <v>62</v>
      </c>
      <c r="C2424">
        <v>2001</v>
      </c>
      <c r="D2424" s="9">
        <v>3811.3</v>
      </c>
      <c r="E2424" t="s">
        <v>56</v>
      </c>
    </row>
    <row r="2425" spans="1:5">
      <c r="A2425" t="s">
        <v>39</v>
      </c>
      <c r="B2425" s="11" t="s">
        <v>63</v>
      </c>
      <c r="C2425">
        <v>2001</v>
      </c>
      <c r="D2425" s="9">
        <v>6958.83</v>
      </c>
      <c r="E2425" t="s">
        <v>56</v>
      </c>
    </row>
    <row r="2426" spans="1:5">
      <c r="A2426" t="s">
        <v>39</v>
      </c>
      <c r="B2426" s="11" t="s">
        <v>75</v>
      </c>
      <c r="C2426">
        <v>2001</v>
      </c>
      <c r="D2426" s="9">
        <v>7839.37</v>
      </c>
      <c r="E2426" t="s">
        <v>56</v>
      </c>
    </row>
    <row r="2427" spans="1:5">
      <c r="A2427" t="s">
        <v>39</v>
      </c>
      <c r="B2427" s="11" t="s">
        <v>64</v>
      </c>
      <c r="C2427">
        <v>2001</v>
      </c>
      <c r="D2427" s="9">
        <v>6987.99</v>
      </c>
      <c r="E2427" t="s">
        <v>57</v>
      </c>
    </row>
    <row r="2428" spans="1:5">
      <c r="A2428" t="s">
        <v>39</v>
      </c>
      <c r="B2428" s="11" t="s">
        <v>65</v>
      </c>
      <c r="C2428">
        <v>2001</v>
      </c>
      <c r="D2428" s="9">
        <v>8314.48</v>
      </c>
      <c r="E2428" t="s">
        <v>57</v>
      </c>
    </row>
    <row r="2429" spans="1:5">
      <c r="A2429" t="s">
        <v>39</v>
      </c>
      <c r="B2429" s="11" t="s">
        <v>66</v>
      </c>
      <c r="C2429">
        <v>2001</v>
      </c>
      <c r="D2429" s="9">
        <v>11004.16</v>
      </c>
      <c r="E2429" t="s">
        <v>57</v>
      </c>
    </row>
    <row r="2430" spans="1:5">
      <c r="A2430" t="s">
        <v>39</v>
      </c>
      <c r="B2430" s="11" t="s">
        <v>67</v>
      </c>
      <c r="C2430">
        <v>2001</v>
      </c>
      <c r="D2430" s="9">
        <v>5061.92</v>
      </c>
      <c r="E2430" t="s">
        <v>57</v>
      </c>
    </row>
    <row r="2431" spans="1:5">
      <c r="A2431" t="s">
        <v>39</v>
      </c>
      <c r="B2431" s="11" t="s">
        <v>76</v>
      </c>
      <c r="C2431">
        <v>2001</v>
      </c>
      <c r="D2431" s="9">
        <v>4530.17</v>
      </c>
      <c r="E2431" t="s">
        <v>57</v>
      </c>
    </row>
    <row r="2432" spans="1:5">
      <c r="A2432" t="s">
        <v>39</v>
      </c>
      <c r="B2432" s="11" t="s">
        <v>68</v>
      </c>
      <c r="C2432">
        <v>2001</v>
      </c>
      <c r="D2432" s="9">
        <v>8519.99</v>
      </c>
      <c r="E2432" t="s">
        <v>58</v>
      </c>
    </row>
    <row r="2433" spans="1:5">
      <c r="A2433" t="s">
        <v>39</v>
      </c>
      <c r="B2433" s="11" t="s">
        <v>69</v>
      </c>
      <c r="C2433">
        <v>2001</v>
      </c>
      <c r="D2433" s="9">
        <v>6798.67</v>
      </c>
      <c r="E2433" t="s">
        <v>58</v>
      </c>
    </row>
    <row r="2434" spans="1:5">
      <c r="A2434" t="s">
        <v>39</v>
      </c>
      <c r="B2434" s="11" t="s">
        <v>77</v>
      </c>
      <c r="C2434">
        <v>2001</v>
      </c>
      <c r="D2434" s="9">
        <v>9626.16</v>
      </c>
      <c r="E2434" t="s">
        <v>58</v>
      </c>
    </row>
    <row r="2435" spans="1:5">
      <c r="A2435" t="s">
        <v>39</v>
      </c>
      <c r="B2435" s="11" t="s">
        <v>70</v>
      </c>
      <c r="C2435">
        <v>2001</v>
      </c>
      <c r="D2435" s="9">
        <v>8850.61</v>
      </c>
      <c r="E2435" t="s">
        <v>59</v>
      </c>
    </row>
    <row r="2436" spans="1:5">
      <c r="A2436" t="s">
        <v>39</v>
      </c>
      <c r="B2436" s="11" t="s">
        <v>71</v>
      </c>
      <c r="C2436">
        <v>2001</v>
      </c>
      <c r="D2436" s="9">
        <v>9048.44</v>
      </c>
      <c r="E2436" t="s">
        <v>59</v>
      </c>
    </row>
    <row r="2437" spans="1:5">
      <c r="A2437" t="s">
        <v>39</v>
      </c>
      <c r="B2437" s="11" t="s">
        <v>72</v>
      </c>
      <c r="C2437">
        <v>2001</v>
      </c>
      <c r="D2437" s="9">
        <v>11255.69</v>
      </c>
      <c r="E2437" t="s">
        <v>59</v>
      </c>
    </row>
    <row r="2438" spans="1:5">
      <c r="A2438" t="s">
        <v>39</v>
      </c>
      <c r="B2438" s="11" t="s">
        <v>78</v>
      </c>
      <c r="C2438">
        <v>2001</v>
      </c>
      <c r="D2438" s="9">
        <v>6346.19</v>
      </c>
      <c r="E2438" t="s">
        <v>59</v>
      </c>
    </row>
    <row r="2439" spans="1:5">
      <c r="A2439" t="s">
        <v>39</v>
      </c>
      <c r="B2439" s="11" t="s">
        <v>73</v>
      </c>
      <c r="C2439">
        <v>2001</v>
      </c>
      <c r="D2439" s="9">
        <v>7600.46</v>
      </c>
      <c r="E2439" t="s">
        <v>60</v>
      </c>
    </row>
    <row r="2440" spans="1:5">
      <c r="A2440" t="s">
        <v>39</v>
      </c>
      <c r="B2440" s="11" t="s">
        <v>74</v>
      </c>
      <c r="C2440">
        <v>2001</v>
      </c>
      <c r="D2440" s="9">
        <v>7501.75</v>
      </c>
      <c r="E2440" t="s">
        <v>60</v>
      </c>
    </row>
    <row r="2441" spans="1:5">
      <c r="A2441" t="s">
        <v>28</v>
      </c>
      <c r="B2441" s="11" t="s">
        <v>61</v>
      </c>
      <c r="C2441">
        <v>2002</v>
      </c>
      <c r="D2441" s="9">
        <v>5158.8500000000004</v>
      </c>
      <c r="E2441" t="s">
        <v>56</v>
      </c>
    </row>
    <row r="2442" spans="1:5">
      <c r="A2442" t="s">
        <v>28</v>
      </c>
      <c r="B2442" s="11" t="s">
        <v>62</v>
      </c>
      <c r="C2442">
        <v>2002</v>
      </c>
      <c r="D2442" s="9">
        <v>6279.27</v>
      </c>
      <c r="E2442" t="s">
        <v>56</v>
      </c>
    </row>
    <row r="2443" spans="1:5">
      <c r="A2443" t="s">
        <v>28</v>
      </c>
      <c r="B2443" s="11" t="s">
        <v>63</v>
      </c>
      <c r="C2443">
        <v>2002</v>
      </c>
      <c r="D2443" s="9">
        <v>5490.57</v>
      </c>
      <c r="E2443" t="s">
        <v>56</v>
      </c>
    </row>
    <row r="2444" spans="1:5">
      <c r="A2444" t="s">
        <v>28</v>
      </c>
      <c r="B2444" s="11" t="s">
        <v>64</v>
      </c>
      <c r="C2444">
        <v>2002</v>
      </c>
      <c r="D2444" s="9">
        <v>5376.04</v>
      </c>
      <c r="E2444" t="s">
        <v>57</v>
      </c>
    </row>
    <row r="2445" spans="1:5">
      <c r="A2445" t="s">
        <v>28</v>
      </c>
      <c r="B2445" s="11" t="s">
        <v>65</v>
      </c>
      <c r="C2445">
        <v>2002</v>
      </c>
      <c r="D2445" s="9">
        <v>4494.09</v>
      </c>
      <c r="E2445" t="s">
        <v>57</v>
      </c>
    </row>
    <row r="2446" spans="1:5">
      <c r="A2446" t="s">
        <v>28</v>
      </c>
      <c r="B2446" s="11" t="s">
        <v>66</v>
      </c>
      <c r="C2446">
        <v>2002</v>
      </c>
      <c r="D2446" s="9">
        <v>13366.32</v>
      </c>
      <c r="E2446" t="s">
        <v>57</v>
      </c>
    </row>
    <row r="2447" spans="1:5">
      <c r="A2447" t="s">
        <v>28</v>
      </c>
      <c r="B2447" s="11" t="s">
        <v>67</v>
      </c>
      <c r="C2447">
        <v>2002</v>
      </c>
      <c r="D2447" s="9">
        <v>4204.99</v>
      </c>
      <c r="E2447" t="s">
        <v>57</v>
      </c>
    </row>
    <row r="2448" spans="1:5">
      <c r="A2448" t="s">
        <v>28</v>
      </c>
      <c r="B2448" s="11" t="s">
        <v>76</v>
      </c>
      <c r="C2448">
        <v>2002</v>
      </c>
      <c r="D2448" s="9">
        <v>2873.87</v>
      </c>
      <c r="E2448" t="s">
        <v>57</v>
      </c>
    </row>
    <row r="2449" spans="1:5">
      <c r="A2449" t="s">
        <v>28</v>
      </c>
      <c r="B2449" s="11" t="s">
        <v>68</v>
      </c>
      <c r="C2449">
        <v>2002</v>
      </c>
      <c r="D2449" s="9">
        <v>7916.67</v>
      </c>
      <c r="E2449" t="s">
        <v>58</v>
      </c>
    </row>
    <row r="2450" spans="1:5">
      <c r="A2450" t="s">
        <v>28</v>
      </c>
      <c r="B2450" s="11" t="s">
        <v>69</v>
      </c>
      <c r="C2450">
        <v>2002</v>
      </c>
      <c r="D2450" s="9">
        <v>4917.45</v>
      </c>
      <c r="E2450" t="s">
        <v>58</v>
      </c>
    </row>
    <row r="2451" spans="1:5">
      <c r="A2451" t="s">
        <v>28</v>
      </c>
      <c r="B2451" s="11" t="s">
        <v>77</v>
      </c>
      <c r="C2451">
        <v>2002</v>
      </c>
      <c r="D2451" s="9">
        <v>8109.83</v>
      </c>
      <c r="E2451" t="s">
        <v>58</v>
      </c>
    </row>
    <row r="2452" spans="1:5">
      <c r="A2452" t="s">
        <v>28</v>
      </c>
      <c r="B2452" s="11" t="s">
        <v>70</v>
      </c>
      <c r="C2452">
        <v>2002</v>
      </c>
      <c r="D2452" s="9">
        <v>9291.5400000000009</v>
      </c>
      <c r="E2452" t="s">
        <v>59</v>
      </c>
    </row>
    <row r="2453" spans="1:5">
      <c r="A2453" t="s">
        <v>28</v>
      </c>
      <c r="B2453" s="11" t="s">
        <v>71</v>
      </c>
      <c r="C2453">
        <v>2002</v>
      </c>
      <c r="D2453" s="9">
        <v>10204.74</v>
      </c>
      <c r="E2453" t="s">
        <v>59</v>
      </c>
    </row>
    <row r="2454" spans="1:5">
      <c r="A2454" t="s">
        <v>28</v>
      </c>
      <c r="B2454" s="11" t="s">
        <v>72</v>
      </c>
      <c r="C2454">
        <v>2002</v>
      </c>
      <c r="D2454" s="9">
        <v>8694.33</v>
      </c>
      <c r="E2454" t="s">
        <v>59</v>
      </c>
    </row>
    <row r="2455" spans="1:5">
      <c r="A2455" t="s">
        <v>28</v>
      </c>
      <c r="B2455" s="11" t="s">
        <v>78</v>
      </c>
      <c r="C2455">
        <v>2002</v>
      </c>
      <c r="D2455" s="9">
        <v>8294.4699999999993</v>
      </c>
      <c r="E2455" t="s">
        <v>59</v>
      </c>
    </row>
    <row r="2456" spans="1:5">
      <c r="A2456" t="s">
        <v>28</v>
      </c>
      <c r="B2456" s="11" t="s">
        <v>73</v>
      </c>
      <c r="C2456">
        <v>2002</v>
      </c>
      <c r="D2456" s="9">
        <v>6848.44</v>
      </c>
      <c r="E2456" t="s">
        <v>60</v>
      </c>
    </row>
    <row r="2457" spans="1:5">
      <c r="A2457" t="s">
        <v>28</v>
      </c>
      <c r="B2457" s="11" t="s">
        <v>74</v>
      </c>
      <c r="C2457">
        <v>2002</v>
      </c>
      <c r="D2457" s="9">
        <v>9526.0499999999993</v>
      </c>
      <c r="E2457" t="s">
        <v>60</v>
      </c>
    </row>
    <row r="2458" spans="1:5">
      <c r="A2458" t="s">
        <v>29</v>
      </c>
      <c r="B2458" s="11" t="s">
        <v>61</v>
      </c>
      <c r="C2458">
        <v>2002</v>
      </c>
      <c r="D2458" s="9">
        <v>8002.06</v>
      </c>
      <c r="E2458" t="s">
        <v>56</v>
      </c>
    </row>
    <row r="2459" spans="1:5">
      <c r="A2459" t="s">
        <v>29</v>
      </c>
      <c r="B2459" s="11" t="s">
        <v>62</v>
      </c>
      <c r="C2459">
        <v>2002</v>
      </c>
      <c r="D2459" s="9">
        <v>5398.01</v>
      </c>
      <c r="E2459" t="s">
        <v>56</v>
      </c>
    </row>
    <row r="2460" spans="1:5">
      <c r="A2460" t="s">
        <v>29</v>
      </c>
      <c r="B2460" s="11" t="s">
        <v>63</v>
      </c>
      <c r="C2460">
        <v>2002</v>
      </c>
      <c r="D2460" s="9">
        <v>6837.94</v>
      </c>
      <c r="E2460" t="s">
        <v>56</v>
      </c>
    </row>
    <row r="2461" spans="1:5">
      <c r="A2461" t="s">
        <v>29</v>
      </c>
      <c r="B2461" s="11" t="s">
        <v>75</v>
      </c>
      <c r="C2461">
        <v>2002</v>
      </c>
      <c r="D2461" s="9">
        <v>6411.16</v>
      </c>
      <c r="E2461" t="s">
        <v>56</v>
      </c>
    </row>
    <row r="2462" spans="1:5">
      <c r="A2462" t="s">
        <v>29</v>
      </c>
      <c r="B2462" s="11" t="s">
        <v>64</v>
      </c>
      <c r="C2462">
        <v>2002</v>
      </c>
      <c r="D2462" s="9">
        <v>6760.22</v>
      </c>
      <c r="E2462" t="s">
        <v>57</v>
      </c>
    </row>
    <row r="2463" spans="1:5">
      <c r="A2463" t="s">
        <v>29</v>
      </c>
      <c r="B2463" s="11" t="s">
        <v>65</v>
      </c>
      <c r="C2463">
        <v>2002</v>
      </c>
      <c r="D2463" s="9">
        <v>5848.08</v>
      </c>
      <c r="E2463" t="s">
        <v>57</v>
      </c>
    </row>
    <row r="2464" spans="1:5">
      <c r="A2464" t="s">
        <v>29</v>
      </c>
      <c r="B2464" s="11" t="s">
        <v>66</v>
      </c>
      <c r="C2464">
        <v>2002</v>
      </c>
      <c r="D2464" s="9">
        <v>9647.57</v>
      </c>
      <c r="E2464" t="s">
        <v>57</v>
      </c>
    </row>
    <row r="2465" spans="1:5">
      <c r="A2465" t="s">
        <v>29</v>
      </c>
      <c r="B2465" s="11" t="s">
        <v>67</v>
      </c>
      <c r="C2465">
        <v>2002</v>
      </c>
      <c r="D2465" s="9">
        <v>5332.6</v>
      </c>
      <c r="E2465" t="s">
        <v>57</v>
      </c>
    </row>
    <row r="2466" spans="1:5">
      <c r="A2466" t="s">
        <v>29</v>
      </c>
      <c r="B2466" s="11" t="s">
        <v>76</v>
      </c>
      <c r="C2466">
        <v>2002</v>
      </c>
      <c r="D2466" s="9">
        <v>3297.5</v>
      </c>
      <c r="E2466" t="s">
        <v>57</v>
      </c>
    </row>
    <row r="2467" spans="1:5">
      <c r="A2467" t="s">
        <v>29</v>
      </c>
      <c r="B2467" s="11" t="s">
        <v>68</v>
      </c>
      <c r="C2467">
        <v>2002</v>
      </c>
      <c r="D2467" s="9">
        <v>8187.21</v>
      </c>
      <c r="E2467" t="s">
        <v>58</v>
      </c>
    </row>
    <row r="2468" spans="1:5">
      <c r="A2468" t="s">
        <v>29</v>
      </c>
      <c r="B2468" s="11" t="s">
        <v>69</v>
      </c>
      <c r="C2468">
        <v>2002</v>
      </c>
      <c r="D2468" s="9">
        <v>4856.53</v>
      </c>
      <c r="E2468" t="s">
        <v>58</v>
      </c>
    </row>
    <row r="2469" spans="1:5">
      <c r="A2469" t="s">
        <v>29</v>
      </c>
      <c r="B2469" s="11" t="s">
        <v>77</v>
      </c>
      <c r="C2469">
        <v>2002</v>
      </c>
      <c r="D2469" s="9">
        <v>9628.48</v>
      </c>
      <c r="E2469" t="s">
        <v>58</v>
      </c>
    </row>
    <row r="2470" spans="1:5">
      <c r="A2470" t="s">
        <v>29</v>
      </c>
      <c r="B2470" s="11" t="s">
        <v>70</v>
      </c>
      <c r="C2470">
        <v>2002</v>
      </c>
      <c r="D2470" s="9">
        <v>7672.64</v>
      </c>
      <c r="E2470" t="s">
        <v>59</v>
      </c>
    </row>
    <row r="2471" spans="1:5">
      <c r="A2471" t="s">
        <v>29</v>
      </c>
      <c r="B2471" s="11" t="s">
        <v>71</v>
      </c>
      <c r="C2471">
        <v>2002</v>
      </c>
      <c r="D2471" s="9">
        <v>7588.17</v>
      </c>
      <c r="E2471" t="s">
        <v>59</v>
      </c>
    </row>
    <row r="2472" spans="1:5">
      <c r="A2472" t="s">
        <v>29</v>
      </c>
      <c r="B2472" s="11" t="s">
        <v>72</v>
      </c>
      <c r="C2472">
        <v>2002</v>
      </c>
      <c r="D2472" s="9">
        <v>10393.040000000001</v>
      </c>
      <c r="E2472" t="s">
        <v>59</v>
      </c>
    </row>
    <row r="2473" spans="1:5">
      <c r="A2473" t="s">
        <v>29</v>
      </c>
      <c r="B2473" s="11" t="s">
        <v>78</v>
      </c>
      <c r="C2473">
        <v>2002</v>
      </c>
      <c r="D2473" s="9">
        <v>5816.42</v>
      </c>
      <c r="E2473" t="s">
        <v>59</v>
      </c>
    </row>
    <row r="2474" spans="1:5">
      <c r="A2474" t="s">
        <v>29</v>
      </c>
      <c r="B2474" s="11" t="s">
        <v>73</v>
      </c>
      <c r="C2474">
        <v>2002</v>
      </c>
      <c r="D2474" s="9">
        <v>6722.28</v>
      </c>
      <c r="E2474" t="s">
        <v>60</v>
      </c>
    </row>
    <row r="2475" spans="1:5">
      <c r="A2475" t="s">
        <v>29</v>
      </c>
      <c r="B2475" s="11" t="s">
        <v>74</v>
      </c>
      <c r="C2475">
        <v>2002</v>
      </c>
      <c r="D2475" s="9">
        <v>10271.14</v>
      </c>
      <c r="E2475" t="s">
        <v>60</v>
      </c>
    </row>
    <row r="2476" spans="1:5">
      <c r="A2476" t="s">
        <v>30</v>
      </c>
      <c r="B2476" s="11" t="s">
        <v>61</v>
      </c>
      <c r="C2476">
        <v>2002</v>
      </c>
      <c r="D2476" s="9">
        <v>5166.34</v>
      </c>
      <c r="E2476" t="s">
        <v>56</v>
      </c>
    </row>
    <row r="2477" spans="1:5">
      <c r="A2477" t="s">
        <v>30</v>
      </c>
      <c r="B2477" s="11" t="s">
        <v>62</v>
      </c>
      <c r="C2477">
        <v>2002</v>
      </c>
      <c r="D2477" s="9">
        <v>3600.48</v>
      </c>
      <c r="E2477" t="s">
        <v>56</v>
      </c>
    </row>
    <row r="2478" spans="1:5">
      <c r="A2478" t="s">
        <v>30</v>
      </c>
      <c r="B2478" s="11" t="s">
        <v>63</v>
      </c>
      <c r="C2478">
        <v>2002</v>
      </c>
      <c r="D2478" s="9">
        <v>5851.45</v>
      </c>
      <c r="E2478" t="s">
        <v>56</v>
      </c>
    </row>
    <row r="2479" spans="1:5">
      <c r="A2479" t="s">
        <v>30</v>
      </c>
      <c r="B2479" s="11" t="s">
        <v>75</v>
      </c>
      <c r="C2479">
        <v>2002</v>
      </c>
      <c r="D2479" s="9">
        <v>4554.57</v>
      </c>
      <c r="E2479" t="s">
        <v>56</v>
      </c>
    </row>
    <row r="2480" spans="1:5">
      <c r="A2480" t="s">
        <v>30</v>
      </c>
      <c r="B2480" s="11" t="s">
        <v>64</v>
      </c>
      <c r="C2480">
        <v>2002</v>
      </c>
      <c r="D2480" s="9">
        <v>5717.25</v>
      </c>
      <c r="E2480" t="s">
        <v>57</v>
      </c>
    </row>
    <row r="2481" spans="1:5">
      <c r="A2481" t="s">
        <v>30</v>
      </c>
      <c r="B2481" s="11" t="s">
        <v>65</v>
      </c>
      <c r="C2481">
        <v>2002</v>
      </c>
      <c r="D2481" s="9">
        <v>4740.8999999999996</v>
      </c>
      <c r="E2481" t="s">
        <v>57</v>
      </c>
    </row>
    <row r="2482" spans="1:5">
      <c r="A2482" t="s">
        <v>30</v>
      </c>
      <c r="B2482" s="11" t="s">
        <v>66</v>
      </c>
      <c r="C2482">
        <v>2002</v>
      </c>
      <c r="D2482" s="9">
        <v>10285.56</v>
      </c>
      <c r="E2482" t="s">
        <v>57</v>
      </c>
    </row>
    <row r="2483" spans="1:5">
      <c r="A2483" t="s">
        <v>30</v>
      </c>
      <c r="B2483" s="11" t="s">
        <v>67</v>
      </c>
      <c r="C2483">
        <v>2002</v>
      </c>
      <c r="D2483" s="9">
        <v>5684.79</v>
      </c>
      <c r="E2483" t="s">
        <v>57</v>
      </c>
    </row>
    <row r="2484" spans="1:5">
      <c r="A2484" t="s">
        <v>30</v>
      </c>
      <c r="B2484" s="11" t="s">
        <v>76</v>
      </c>
      <c r="C2484">
        <v>2002</v>
      </c>
      <c r="D2484" s="9">
        <v>2974.53</v>
      </c>
      <c r="E2484" t="s">
        <v>57</v>
      </c>
    </row>
    <row r="2485" spans="1:5">
      <c r="A2485" t="s">
        <v>30</v>
      </c>
      <c r="B2485" s="11" t="s">
        <v>68</v>
      </c>
      <c r="C2485">
        <v>2002</v>
      </c>
      <c r="D2485" s="9">
        <v>5728.74</v>
      </c>
      <c r="E2485" t="s">
        <v>58</v>
      </c>
    </row>
    <row r="2486" spans="1:5">
      <c r="A2486" t="s">
        <v>30</v>
      </c>
      <c r="B2486" s="11" t="s">
        <v>69</v>
      </c>
      <c r="C2486">
        <v>2002</v>
      </c>
      <c r="D2486" s="9">
        <v>5502.99</v>
      </c>
      <c r="E2486" t="s">
        <v>58</v>
      </c>
    </row>
    <row r="2487" spans="1:5">
      <c r="A2487" t="s">
        <v>30</v>
      </c>
      <c r="B2487" s="11" t="s">
        <v>77</v>
      </c>
      <c r="C2487">
        <v>2002</v>
      </c>
      <c r="D2487" s="9">
        <v>5808.13</v>
      </c>
      <c r="E2487" t="s">
        <v>58</v>
      </c>
    </row>
    <row r="2488" spans="1:5">
      <c r="A2488" t="s">
        <v>30</v>
      </c>
      <c r="B2488" s="11" t="s">
        <v>70</v>
      </c>
      <c r="C2488">
        <v>2002</v>
      </c>
      <c r="D2488" s="9">
        <v>6022.64</v>
      </c>
      <c r="E2488" t="s">
        <v>59</v>
      </c>
    </row>
    <row r="2489" spans="1:5">
      <c r="A2489" t="s">
        <v>30</v>
      </c>
      <c r="B2489" s="11" t="s">
        <v>71</v>
      </c>
      <c r="C2489">
        <v>2002</v>
      </c>
      <c r="D2489" s="9">
        <v>6678.6</v>
      </c>
      <c r="E2489" t="s">
        <v>59</v>
      </c>
    </row>
    <row r="2490" spans="1:5">
      <c r="A2490" t="s">
        <v>30</v>
      </c>
      <c r="B2490" s="11" t="s">
        <v>72</v>
      </c>
      <c r="C2490">
        <v>2002</v>
      </c>
      <c r="D2490" s="9">
        <v>7226.76</v>
      </c>
      <c r="E2490" t="s">
        <v>59</v>
      </c>
    </row>
    <row r="2491" spans="1:5">
      <c r="A2491" t="s">
        <v>30</v>
      </c>
      <c r="B2491" s="11" t="s">
        <v>78</v>
      </c>
      <c r="C2491">
        <v>2002</v>
      </c>
      <c r="D2491" s="9">
        <v>5999.64</v>
      </c>
      <c r="E2491" t="s">
        <v>59</v>
      </c>
    </row>
    <row r="2492" spans="1:5">
      <c r="A2492" t="s">
        <v>30</v>
      </c>
      <c r="B2492" s="11" t="s">
        <v>73</v>
      </c>
      <c r="C2492">
        <v>2002</v>
      </c>
      <c r="D2492" s="9">
        <v>9138.58</v>
      </c>
      <c r="E2492" t="s">
        <v>60</v>
      </c>
    </row>
    <row r="2493" spans="1:5">
      <c r="A2493" t="s">
        <v>30</v>
      </c>
      <c r="B2493" s="11" t="s">
        <v>74</v>
      </c>
      <c r="C2493">
        <v>2002</v>
      </c>
      <c r="D2493" s="9">
        <v>8579.89</v>
      </c>
      <c r="E2493" t="s">
        <v>60</v>
      </c>
    </row>
    <row r="2494" spans="1:5">
      <c r="A2494" t="s">
        <v>31</v>
      </c>
      <c r="B2494" s="11" t="s">
        <v>61</v>
      </c>
      <c r="C2494">
        <v>2002</v>
      </c>
      <c r="D2494" s="9">
        <v>6500.68</v>
      </c>
      <c r="E2494" t="s">
        <v>56</v>
      </c>
    </row>
    <row r="2495" spans="1:5">
      <c r="A2495" t="s">
        <v>31</v>
      </c>
      <c r="B2495" s="11" t="s">
        <v>62</v>
      </c>
      <c r="C2495">
        <v>2002</v>
      </c>
      <c r="D2495" s="9">
        <v>3880.11</v>
      </c>
      <c r="E2495" t="s">
        <v>56</v>
      </c>
    </row>
    <row r="2496" spans="1:5">
      <c r="A2496" t="s">
        <v>31</v>
      </c>
      <c r="B2496" s="11" t="s">
        <v>63</v>
      </c>
      <c r="C2496">
        <v>2002</v>
      </c>
      <c r="D2496" s="9">
        <v>6551.56</v>
      </c>
      <c r="E2496" t="s">
        <v>56</v>
      </c>
    </row>
    <row r="2497" spans="1:5">
      <c r="A2497" t="s">
        <v>31</v>
      </c>
      <c r="B2497" s="11" t="s">
        <v>75</v>
      </c>
      <c r="C2497">
        <v>2002</v>
      </c>
      <c r="D2497" s="9">
        <v>8160.75</v>
      </c>
      <c r="E2497" t="s">
        <v>56</v>
      </c>
    </row>
    <row r="2498" spans="1:5">
      <c r="A2498" t="s">
        <v>31</v>
      </c>
      <c r="B2498" s="11" t="s">
        <v>64</v>
      </c>
      <c r="C2498">
        <v>2002</v>
      </c>
      <c r="D2498" s="9">
        <v>6350.97</v>
      </c>
      <c r="E2498" t="s">
        <v>57</v>
      </c>
    </row>
    <row r="2499" spans="1:5">
      <c r="A2499" t="s">
        <v>31</v>
      </c>
      <c r="B2499" s="11" t="s">
        <v>65</v>
      </c>
      <c r="C2499">
        <v>2002</v>
      </c>
      <c r="D2499" s="9">
        <v>5410.95</v>
      </c>
      <c r="E2499" t="s">
        <v>57</v>
      </c>
    </row>
    <row r="2500" spans="1:5">
      <c r="A2500" t="s">
        <v>31</v>
      </c>
      <c r="B2500" s="11" t="s">
        <v>66</v>
      </c>
      <c r="C2500">
        <v>2002</v>
      </c>
      <c r="D2500" s="9">
        <v>7030.28</v>
      </c>
      <c r="E2500" t="s">
        <v>57</v>
      </c>
    </row>
    <row r="2501" spans="1:5">
      <c r="A2501" t="s">
        <v>31</v>
      </c>
      <c r="B2501" s="11" t="s">
        <v>67</v>
      </c>
      <c r="C2501">
        <v>2002</v>
      </c>
      <c r="D2501" s="9">
        <v>3763.74</v>
      </c>
      <c r="E2501" t="s">
        <v>57</v>
      </c>
    </row>
    <row r="2502" spans="1:5">
      <c r="A2502" t="s">
        <v>31</v>
      </c>
      <c r="B2502" s="11" t="s">
        <v>76</v>
      </c>
      <c r="C2502">
        <v>2002</v>
      </c>
      <c r="D2502" s="9">
        <v>3079.6</v>
      </c>
      <c r="E2502" t="s">
        <v>57</v>
      </c>
    </row>
    <row r="2503" spans="1:5">
      <c r="A2503" t="s">
        <v>31</v>
      </c>
      <c r="B2503" s="11" t="s">
        <v>68</v>
      </c>
      <c r="C2503">
        <v>2002</v>
      </c>
      <c r="D2503" s="9">
        <v>6530.36</v>
      </c>
      <c r="E2503" t="s">
        <v>58</v>
      </c>
    </row>
    <row r="2504" spans="1:5">
      <c r="A2504" t="s">
        <v>31</v>
      </c>
      <c r="B2504" s="11" t="s">
        <v>69</v>
      </c>
      <c r="C2504">
        <v>2002</v>
      </c>
      <c r="D2504" s="9">
        <v>4847.97</v>
      </c>
      <c r="E2504" t="s">
        <v>58</v>
      </c>
    </row>
    <row r="2505" spans="1:5">
      <c r="A2505" t="s">
        <v>31</v>
      </c>
      <c r="B2505" s="11" t="s">
        <v>77</v>
      </c>
      <c r="C2505">
        <v>2002</v>
      </c>
      <c r="D2505" s="9">
        <v>5958.42</v>
      </c>
      <c r="E2505" t="s">
        <v>58</v>
      </c>
    </row>
    <row r="2506" spans="1:5">
      <c r="A2506" t="s">
        <v>31</v>
      </c>
      <c r="B2506" s="11" t="s">
        <v>70</v>
      </c>
      <c r="C2506">
        <v>2002</v>
      </c>
      <c r="D2506" s="9">
        <v>6181.75</v>
      </c>
      <c r="E2506" t="s">
        <v>59</v>
      </c>
    </row>
    <row r="2507" spans="1:5">
      <c r="A2507" t="s">
        <v>31</v>
      </c>
      <c r="B2507" s="11" t="s">
        <v>71</v>
      </c>
      <c r="C2507">
        <v>2002</v>
      </c>
      <c r="D2507" s="9">
        <v>7252.13</v>
      </c>
      <c r="E2507" t="s">
        <v>59</v>
      </c>
    </row>
    <row r="2508" spans="1:5">
      <c r="A2508" t="s">
        <v>31</v>
      </c>
      <c r="B2508" s="11" t="s">
        <v>72</v>
      </c>
      <c r="C2508">
        <v>2002</v>
      </c>
      <c r="D2508" s="9">
        <v>11314.7</v>
      </c>
      <c r="E2508" t="s">
        <v>59</v>
      </c>
    </row>
    <row r="2509" spans="1:5">
      <c r="A2509" t="s">
        <v>31</v>
      </c>
      <c r="B2509" s="11" t="s">
        <v>78</v>
      </c>
      <c r="C2509">
        <v>2002</v>
      </c>
      <c r="D2509" s="9">
        <v>6349.74</v>
      </c>
      <c r="E2509" t="s">
        <v>59</v>
      </c>
    </row>
    <row r="2510" spans="1:5">
      <c r="A2510" t="s">
        <v>31</v>
      </c>
      <c r="B2510" s="11" t="s">
        <v>73</v>
      </c>
      <c r="C2510">
        <v>2002</v>
      </c>
      <c r="D2510" s="9">
        <v>7928.51</v>
      </c>
      <c r="E2510" t="s">
        <v>60</v>
      </c>
    </row>
    <row r="2511" spans="1:5">
      <c r="A2511" t="s">
        <v>31</v>
      </c>
      <c r="B2511" s="11" t="s">
        <v>74</v>
      </c>
      <c r="C2511">
        <v>2002</v>
      </c>
      <c r="D2511" s="9">
        <v>8893.7199999999993</v>
      </c>
      <c r="E2511" t="s">
        <v>60</v>
      </c>
    </row>
    <row r="2512" spans="1:5">
      <c r="A2512" t="s">
        <v>32</v>
      </c>
      <c r="B2512" s="11" t="s">
        <v>61</v>
      </c>
      <c r="C2512">
        <v>2002</v>
      </c>
      <c r="D2512" s="9">
        <v>5413.95</v>
      </c>
      <c r="E2512" t="s">
        <v>56</v>
      </c>
    </row>
    <row r="2513" spans="1:5">
      <c r="A2513" t="s">
        <v>32</v>
      </c>
      <c r="B2513" s="11" t="s">
        <v>62</v>
      </c>
      <c r="C2513">
        <v>2002</v>
      </c>
      <c r="D2513" s="9">
        <v>3750.37</v>
      </c>
      <c r="E2513" t="s">
        <v>56</v>
      </c>
    </row>
    <row r="2514" spans="1:5">
      <c r="A2514" t="s">
        <v>32</v>
      </c>
      <c r="B2514" s="11" t="s">
        <v>63</v>
      </c>
      <c r="C2514">
        <v>2002</v>
      </c>
      <c r="D2514" s="9">
        <v>6233.82</v>
      </c>
      <c r="E2514" t="s">
        <v>56</v>
      </c>
    </row>
    <row r="2515" spans="1:5">
      <c r="A2515" t="s">
        <v>32</v>
      </c>
      <c r="B2515" s="11" t="s">
        <v>75</v>
      </c>
      <c r="C2515">
        <v>2002</v>
      </c>
      <c r="D2515" s="9">
        <v>8413.18</v>
      </c>
      <c r="E2515" t="s">
        <v>56</v>
      </c>
    </row>
    <row r="2516" spans="1:5">
      <c r="A2516" t="s">
        <v>32</v>
      </c>
      <c r="B2516" s="11" t="s">
        <v>64</v>
      </c>
      <c r="C2516">
        <v>2002</v>
      </c>
      <c r="D2516" s="9">
        <v>7251.71</v>
      </c>
      <c r="E2516" t="s">
        <v>57</v>
      </c>
    </row>
    <row r="2517" spans="1:5">
      <c r="A2517" t="s">
        <v>32</v>
      </c>
      <c r="B2517" s="11" t="s">
        <v>65</v>
      </c>
      <c r="C2517">
        <v>2002</v>
      </c>
      <c r="D2517" s="9">
        <v>4653.21</v>
      </c>
      <c r="E2517" t="s">
        <v>57</v>
      </c>
    </row>
    <row r="2518" spans="1:5">
      <c r="A2518" t="s">
        <v>32</v>
      </c>
      <c r="B2518" s="11" t="s">
        <v>66</v>
      </c>
      <c r="C2518">
        <v>2002</v>
      </c>
      <c r="D2518" s="9">
        <v>8761.11</v>
      </c>
      <c r="E2518" t="s">
        <v>57</v>
      </c>
    </row>
    <row r="2519" spans="1:5">
      <c r="A2519" t="s">
        <v>32</v>
      </c>
      <c r="B2519" s="11" t="s">
        <v>67</v>
      </c>
      <c r="C2519">
        <v>2002</v>
      </c>
      <c r="D2519" s="9">
        <v>3834.5</v>
      </c>
      <c r="E2519" t="s">
        <v>57</v>
      </c>
    </row>
    <row r="2520" spans="1:5">
      <c r="A2520" t="s">
        <v>32</v>
      </c>
      <c r="B2520" s="11" t="s">
        <v>76</v>
      </c>
      <c r="C2520">
        <v>2002</v>
      </c>
      <c r="D2520" s="9">
        <v>3715.26</v>
      </c>
      <c r="E2520" t="s">
        <v>57</v>
      </c>
    </row>
    <row r="2521" spans="1:5">
      <c r="A2521" t="s">
        <v>32</v>
      </c>
      <c r="B2521" s="11" t="s">
        <v>68</v>
      </c>
      <c r="C2521">
        <v>2002</v>
      </c>
      <c r="D2521" s="9">
        <v>6318.52</v>
      </c>
      <c r="E2521" t="s">
        <v>58</v>
      </c>
    </row>
    <row r="2522" spans="1:5">
      <c r="A2522" t="s">
        <v>32</v>
      </c>
      <c r="B2522" s="11" t="s">
        <v>69</v>
      </c>
      <c r="C2522">
        <v>2002</v>
      </c>
      <c r="D2522" s="9">
        <v>5192.83</v>
      </c>
      <c r="E2522" t="s">
        <v>58</v>
      </c>
    </row>
    <row r="2523" spans="1:5">
      <c r="A2523" t="s">
        <v>32</v>
      </c>
      <c r="B2523" s="11" t="s">
        <v>77</v>
      </c>
      <c r="C2523">
        <v>2002</v>
      </c>
      <c r="D2523" s="9">
        <v>5567.19</v>
      </c>
      <c r="E2523" t="s">
        <v>58</v>
      </c>
    </row>
    <row r="2524" spans="1:5">
      <c r="A2524" t="s">
        <v>32</v>
      </c>
      <c r="B2524" s="11" t="s">
        <v>70</v>
      </c>
      <c r="C2524">
        <v>2002</v>
      </c>
      <c r="D2524" s="9">
        <v>5517.53</v>
      </c>
      <c r="E2524" t="s">
        <v>59</v>
      </c>
    </row>
    <row r="2525" spans="1:5">
      <c r="A2525" t="s">
        <v>32</v>
      </c>
      <c r="B2525" s="11" t="s">
        <v>71</v>
      </c>
      <c r="C2525">
        <v>2002</v>
      </c>
      <c r="D2525" s="9">
        <v>8387.94</v>
      </c>
      <c r="E2525" t="s">
        <v>59</v>
      </c>
    </row>
    <row r="2526" spans="1:5">
      <c r="A2526" t="s">
        <v>32</v>
      </c>
      <c r="B2526" s="11" t="s">
        <v>72</v>
      </c>
      <c r="C2526">
        <v>2002</v>
      </c>
      <c r="D2526" s="9">
        <v>10030.92</v>
      </c>
      <c r="E2526" t="s">
        <v>59</v>
      </c>
    </row>
    <row r="2527" spans="1:5">
      <c r="A2527" t="s">
        <v>32</v>
      </c>
      <c r="B2527" s="11" t="s">
        <v>78</v>
      </c>
      <c r="C2527">
        <v>2002</v>
      </c>
      <c r="D2527" s="9">
        <v>6317.35</v>
      </c>
      <c r="E2527" t="s">
        <v>59</v>
      </c>
    </row>
    <row r="2528" spans="1:5">
      <c r="A2528" t="s">
        <v>32</v>
      </c>
      <c r="B2528" s="11" t="s">
        <v>73</v>
      </c>
      <c r="C2528">
        <v>2002</v>
      </c>
      <c r="D2528" s="9">
        <v>7143.38</v>
      </c>
      <c r="E2528" t="s">
        <v>60</v>
      </c>
    </row>
    <row r="2529" spans="1:5">
      <c r="A2529" t="s">
        <v>32</v>
      </c>
      <c r="B2529" s="11" t="s">
        <v>74</v>
      </c>
      <c r="C2529">
        <v>2002</v>
      </c>
      <c r="D2529" s="9">
        <v>4882.82</v>
      </c>
      <c r="E2529" t="s">
        <v>60</v>
      </c>
    </row>
    <row r="2530" spans="1:5">
      <c r="A2530" t="s">
        <v>33</v>
      </c>
      <c r="B2530" s="11" t="s">
        <v>61</v>
      </c>
      <c r="C2530">
        <v>2002</v>
      </c>
      <c r="D2530" s="9">
        <v>8212.5</v>
      </c>
      <c r="E2530" t="s">
        <v>56</v>
      </c>
    </row>
    <row r="2531" spans="1:5">
      <c r="A2531" t="s">
        <v>33</v>
      </c>
      <c r="B2531" s="11" t="s">
        <v>62</v>
      </c>
      <c r="C2531">
        <v>2002</v>
      </c>
      <c r="D2531" s="9">
        <v>5949.48</v>
      </c>
      <c r="E2531" t="s">
        <v>56</v>
      </c>
    </row>
    <row r="2532" spans="1:5">
      <c r="A2532" t="s">
        <v>33</v>
      </c>
      <c r="B2532" s="11" t="s">
        <v>63</v>
      </c>
      <c r="C2532">
        <v>2002</v>
      </c>
      <c r="D2532" s="9">
        <v>8906.33</v>
      </c>
      <c r="E2532" t="s">
        <v>56</v>
      </c>
    </row>
    <row r="2533" spans="1:5">
      <c r="A2533" t="s">
        <v>33</v>
      </c>
      <c r="B2533" s="11" t="s">
        <v>75</v>
      </c>
      <c r="C2533">
        <v>2002</v>
      </c>
      <c r="D2533" s="9">
        <v>8518.98</v>
      </c>
      <c r="E2533" t="s">
        <v>56</v>
      </c>
    </row>
    <row r="2534" spans="1:5">
      <c r="A2534" t="s">
        <v>33</v>
      </c>
      <c r="B2534" s="11" t="s">
        <v>64</v>
      </c>
      <c r="C2534">
        <v>2002</v>
      </c>
      <c r="D2534" s="9">
        <v>5962.52</v>
      </c>
      <c r="E2534" t="s">
        <v>57</v>
      </c>
    </row>
    <row r="2535" spans="1:5">
      <c r="A2535" t="s">
        <v>33</v>
      </c>
      <c r="B2535" s="11" t="s">
        <v>65</v>
      </c>
      <c r="C2535">
        <v>2002</v>
      </c>
      <c r="D2535" s="9">
        <v>7267.5</v>
      </c>
      <c r="E2535" t="s">
        <v>57</v>
      </c>
    </row>
    <row r="2536" spans="1:5">
      <c r="A2536" t="s">
        <v>33</v>
      </c>
      <c r="B2536" s="11" t="s">
        <v>66</v>
      </c>
      <c r="C2536">
        <v>2002</v>
      </c>
      <c r="D2536" s="9">
        <v>16273.52</v>
      </c>
      <c r="E2536" t="s">
        <v>57</v>
      </c>
    </row>
    <row r="2537" spans="1:5">
      <c r="A2537" t="s">
        <v>33</v>
      </c>
      <c r="B2537" s="11" t="s">
        <v>67</v>
      </c>
      <c r="C2537">
        <v>2002</v>
      </c>
      <c r="D2537" s="9">
        <v>6176.49</v>
      </c>
      <c r="E2537" t="s">
        <v>57</v>
      </c>
    </row>
    <row r="2538" spans="1:5">
      <c r="A2538" t="s">
        <v>33</v>
      </c>
      <c r="B2538" s="11" t="s">
        <v>76</v>
      </c>
      <c r="C2538">
        <v>2002</v>
      </c>
      <c r="D2538" s="9">
        <v>4055.77</v>
      </c>
      <c r="E2538" t="s">
        <v>57</v>
      </c>
    </row>
    <row r="2539" spans="1:5">
      <c r="A2539" t="s">
        <v>33</v>
      </c>
      <c r="B2539" s="11" t="s">
        <v>68</v>
      </c>
      <c r="C2539">
        <v>2002</v>
      </c>
      <c r="D2539" s="9">
        <v>7650.51</v>
      </c>
      <c r="E2539" t="s">
        <v>58</v>
      </c>
    </row>
    <row r="2540" spans="1:5">
      <c r="A2540" t="s">
        <v>33</v>
      </c>
      <c r="B2540" s="11" t="s">
        <v>69</v>
      </c>
      <c r="C2540">
        <v>2002</v>
      </c>
      <c r="D2540" s="9">
        <v>5411.01</v>
      </c>
      <c r="E2540" t="s">
        <v>58</v>
      </c>
    </row>
    <row r="2541" spans="1:5">
      <c r="A2541" t="s">
        <v>33</v>
      </c>
      <c r="B2541" s="11" t="s">
        <v>77</v>
      </c>
      <c r="C2541">
        <v>2002</v>
      </c>
      <c r="D2541" s="9">
        <v>9444.9699999999993</v>
      </c>
      <c r="E2541" t="s">
        <v>58</v>
      </c>
    </row>
    <row r="2542" spans="1:5">
      <c r="A2542" t="s">
        <v>33</v>
      </c>
      <c r="B2542" s="11" t="s">
        <v>70</v>
      </c>
      <c r="C2542">
        <v>2002</v>
      </c>
      <c r="D2542" s="9">
        <v>6375.12</v>
      </c>
      <c r="E2542" t="s">
        <v>59</v>
      </c>
    </row>
    <row r="2543" spans="1:5">
      <c r="A2543" t="s">
        <v>33</v>
      </c>
      <c r="B2543" s="11" t="s">
        <v>71</v>
      </c>
      <c r="C2543">
        <v>2002</v>
      </c>
      <c r="D2543" s="9">
        <v>7260.79</v>
      </c>
      <c r="E2543" t="s">
        <v>59</v>
      </c>
    </row>
    <row r="2544" spans="1:5">
      <c r="A2544" t="s">
        <v>33</v>
      </c>
      <c r="B2544" s="11" t="s">
        <v>72</v>
      </c>
      <c r="C2544">
        <v>2002</v>
      </c>
      <c r="D2544" s="9">
        <v>7769.3</v>
      </c>
      <c r="E2544" t="s">
        <v>59</v>
      </c>
    </row>
    <row r="2545" spans="1:5">
      <c r="A2545" t="s">
        <v>33</v>
      </c>
      <c r="B2545" s="11" t="s">
        <v>78</v>
      </c>
      <c r="C2545">
        <v>2002</v>
      </c>
      <c r="D2545" s="9">
        <v>6062.03</v>
      </c>
      <c r="E2545" t="s">
        <v>59</v>
      </c>
    </row>
    <row r="2546" spans="1:5">
      <c r="A2546" t="s">
        <v>33</v>
      </c>
      <c r="B2546" s="11" t="s">
        <v>73</v>
      </c>
      <c r="C2546">
        <v>2002</v>
      </c>
      <c r="D2546" s="9">
        <v>10830.7</v>
      </c>
      <c r="E2546" t="s">
        <v>60</v>
      </c>
    </row>
    <row r="2547" spans="1:5">
      <c r="A2547" t="s">
        <v>33</v>
      </c>
      <c r="B2547" s="11" t="s">
        <v>74</v>
      </c>
      <c r="C2547">
        <v>2002</v>
      </c>
      <c r="D2547" s="9">
        <v>5322.31</v>
      </c>
      <c r="E2547" t="s">
        <v>60</v>
      </c>
    </row>
    <row r="2548" spans="1:5">
      <c r="A2548" t="s">
        <v>34</v>
      </c>
      <c r="B2548" s="11" t="s">
        <v>61</v>
      </c>
      <c r="C2548">
        <v>2002</v>
      </c>
      <c r="D2548" s="9">
        <v>6764.29</v>
      </c>
      <c r="E2548" t="s">
        <v>56</v>
      </c>
    </row>
    <row r="2549" spans="1:5">
      <c r="A2549" t="s">
        <v>34</v>
      </c>
      <c r="B2549" s="11" t="s">
        <v>62</v>
      </c>
      <c r="C2549">
        <v>2002</v>
      </c>
      <c r="D2549" s="9">
        <v>7316.18</v>
      </c>
      <c r="E2549" t="s">
        <v>56</v>
      </c>
    </row>
    <row r="2550" spans="1:5">
      <c r="A2550" t="s">
        <v>34</v>
      </c>
      <c r="B2550" s="11" t="s">
        <v>63</v>
      </c>
      <c r="C2550">
        <v>2002</v>
      </c>
      <c r="D2550" s="9">
        <v>8530.09</v>
      </c>
      <c r="E2550" t="s">
        <v>56</v>
      </c>
    </row>
    <row r="2551" spans="1:5">
      <c r="A2551" t="s">
        <v>34</v>
      </c>
      <c r="B2551" s="11" t="s">
        <v>64</v>
      </c>
      <c r="C2551">
        <v>2002</v>
      </c>
      <c r="D2551" s="9">
        <v>7894.57</v>
      </c>
      <c r="E2551" t="s">
        <v>57</v>
      </c>
    </row>
    <row r="2552" spans="1:5">
      <c r="A2552" t="s">
        <v>34</v>
      </c>
      <c r="B2552" s="11" t="s">
        <v>65</v>
      </c>
      <c r="C2552">
        <v>2002</v>
      </c>
      <c r="D2552" s="9">
        <v>6707.84</v>
      </c>
      <c r="E2552" t="s">
        <v>57</v>
      </c>
    </row>
    <row r="2553" spans="1:5">
      <c r="A2553" t="s">
        <v>34</v>
      </c>
      <c r="B2553" s="11" t="s">
        <v>66</v>
      </c>
      <c r="C2553">
        <v>2002</v>
      </c>
      <c r="D2553" s="9">
        <v>15868.46</v>
      </c>
      <c r="E2553" t="s">
        <v>57</v>
      </c>
    </row>
    <row r="2554" spans="1:5">
      <c r="A2554" t="s">
        <v>34</v>
      </c>
      <c r="B2554" s="11" t="s">
        <v>67</v>
      </c>
      <c r="C2554">
        <v>2002</v>
      </c>
      <c r="D2554" s="9">
        <v>4263.3</v>
      </c>
      <c r="E2554" t="s">
        <v>57</v>
      </c>
    </row>
    <row r="2555" spans="1:5">
      <c r="A2555" t="s">
        <v>34</v>
      </c>
      <c r="B2555" s="11" t="s">
        <v>76</v>
      </c>
      <c r="C2555">
        <v>2002</v>
      </c>
      <c r="D2555" s="9">
        <v>3759.41</v>
      </c>
      <c r="E2555" t="s">
        <v>57</v>
      </c>
    </row>
    <row r="2556" spans="1:5">
      <c r="A2556" t="s">
        <v>34</v>
      </c>
      <c r="B2556" s="11" t="s">
        <v>68</v>
      </c>
      <c r="C2556">
        <v>2002</v>
      </c>
      <c r="D2556" s="9">
        <v>7971.39</v>
      </c>
      <c r="E2556" t="s">
        <v>58</v>
      </c>
    </row>
    <row r="2557" spans="1:5">
      <c r="A2557" t="s">
        <v>34</v>
      </c>
      <c r="B2557" s="11" t="s">
        <v>69</v>
      </c>
      <c r="C2557">
        <v>2002</v>
      </c>
      <c r="D2557" s="9">
        <v>5404.73</v>
      </c>
      <c r="E2557" t="s">
        <v>58</v>
      </c>
    </row>
    <row r="2558" spans="1:5">
      <c r="A2558" t="s">
        <v>34</v>
      </c>
      <c r="B2558" s="11" t="s">
        <v>77</v>
      </c>
      <c r="C2558">
        <v>2002</v>
      </c>
      <c r="D2558" s="9">
        <v>8225.19</v>
      </c>
      <c r="E2558" t="s">
        <v>58</v>
      </c>
    </row>
    <row r="2559" spans="1:5">
      <c r="A2559" t="s">
        <v>34</v>
      </c>
      <c r="B2559" s="11" t="s">
        <v>70</v>
      </c>
      <c r="C2559">
        <v>2002</v>
      </c>
      <c r="D2559" s="9">
        <v>7726.85</v>
      </c>
      <c r="E2559" t="s">
        <v>59</v>
      </c>
    </row>
    <row r="2560" spans="1:5">
      <c r="A2560" t="s">
        <v>34</v>
      </c>
      <c r="B2560" s="11" t="s">
        <v>71</v>
      </c>
      <c r="C2560">
        <v>2002</v>
      </c>
      <c r="D2560" s="9">
        <v>7715.95</v>
      </c>
      <c r="E2560" t="s">
        <v>59</v>
      </c>
    </row>
    <row r="2561" spans="1:5">
      <c r="A2561" t="s">
        <v>34</v>
      </c>
      <c r="B2561" s="11" t="s">
        <v>72</v>
      </c>
      <c r="C2561">
        <v>2002</v>
      </c>
      <c r="D2561" s="9">
        <v>9722.19</v>
      </c>
      <c r="E2561" t="s">
        <v>59</v>
      </c>
    </row>
    <row r="2562" spans="1:5">
      <c r="A2562" t="s">
        <v>34</v>
      </c>
      <c r="B2562" s="11" t="s">
        <v>78</v>
      </c>
      <c r="C2562">
        <v>2002</v>
      </c>
      <c r="D2562" s="9">
        <v>8448.4699999999993</v>
      </c>
      <c r="E2562" t="s">
        <v>59</v>
      </c>
    </row>
    <row r="2563" spans="1:5">
      <c r="A2563" t="s">
        <v>34</v>
      </c>
      <c r="B2563" s="11" t="s">
        <v>73</v>
      </c>
      <c r="C2563">
        <v>2002</v>
      </c>
      <c r="D2563" s="9">
        <v>8565.08</v>
      </c>
      <c r="E2563" t="s">
        <v>60</v>
      </c>
    </row>
    <row r="2564" spans="1:5">
      <c r="A2564" t="s">
        <v>34</v>
      </c>
      <c r="B2564" s="11" t="s">
        <v>74</v>
      </c>
      <c r="C2564">
        <v>2002</v>
      </c>
      <c r="D2564" s="9">
        <v>7156.29</v>
      </c>
      <c r="E2564" t="s">
        <v>60</v>
      </c>
    </row>
    <row r="2565" spans="1:5">
      <c r="A2565" t="s">
        <v>35</v>
      </c>
      <c r="B2565" s="11" t="s">
        <v>61</v>
      </c>
      <c r="C2565">
        <v>2002</v>
      </c>
      <c r="D2565" s="9">
        <v>7050.98</v>
      </c>
      <c r="E2565" t="s">
        <v>56</v>
      </c>
    </row>
    <row r="2566" spans="1:5">
      <c r="A2566" t="s">
        <v>35</v>
      </c>
      <c r="B2566" s="11" t="s">
        <v>62</v>
      </c>
      <c r="C2566">
        <v>2002</v>
      </c>
      <c r="D2566" s="9">
        <v>6094.53</v>
      </c>
      <c r="E2566" t="s">
        <v>56</v>
      </c>
    </row>
    <row r="2567" spans="1:5">
      <c r="A2567" t="s">
        <v>35</v>
      </c>
      <c r="B2567" s="11" t="s">
        <v>63</v>
      </c>
      <c r="C2567">
        <v>2002</v>
      </c>
      <c r="D2567" s="9">
        <v>8817.1200000000008</v>
      </c>
      <c r="E2567" t="s">
        <v>56</v>
      </c>
    </row>
    <row r="2568" spans="1:5">
      <c r="A2568" t="s">
        <v>35</v>
      </c>
      <c r="B2568" s="11" t="s">
        <v>75</v>
      </c>
      <c r="C2568">
        <v>2002</v>
      </c>
      <c r="D2568" s="9">
        <v>7477.9</v>
      </c>
      <c r="E2568" t="s">
        <v>56</v>
      </c>
    </row>
    <row r="2569" spans="1:5">
      <c r="A2569" t="s">
        <v>35</v>
      </c>
      <c r="B2569" s="11" t="s">
        <v>64</v>
      </c>
      <c r="C2569">
        <v>2002</v>
      </c>
      <c r="D2569" s="9">
        <v>9805.26</v>
      </c>
      <c r="E2569" t="s">
        <v>57</v>
      </c>
    </row>
    <row r="2570" spans="1:5">
      <c r="A2570" t="s">
        <v>35</v>
      </c>
      <c r="B2570" s="11" t="s">
        <v>65</v>
      </c>
      <c r="C2570">
        <v>2002</v>
      </c>
      <c r="D2570" s="9">
        <v>7033.99</v>
      </c>
      <c r="E2570" t="s">
        <v>57</v>
      </c>
    </row>
    <row r="2571" spans="1:5">
      <c r="A2571" t="s">
        <v>35</v>
      </c>
      <c r="B2571" s="11" t="s">
        <v>66</v>
      </c>
      <c r="C2571">
        <v>2002</v>
      </c>
      <c r="D2571" s="9">
        <v>13732.64</v>
      </c>
      <c r="E2571" t="s">
        <v>57</v>
      </c>
    </row>
    <row r="2572" spans="1:5">
      <c r="A2572" t="s">
        <v>35</v>
      </c>
      <c r="B2572" s="11" t="s">
        <v>67</v>
      </c>
      <c r="C2572">
        <v>2002</v>
      </c>
      <c r="D2572" s="9">
        <v>5435.96</v>
      </c>
      <c r="E2572" t="s">
        <v>57</v>
      </c>
    </row>
    <row r="2573" spans="1:5">
      <c r="A2573" t="s">
        <v>35</v>
      </c>
      <c r="B2573" s="11" t="s">
        <v>76</v>
      </c>
      <c r="C2573">
        <v>2002</v>
      </c>
      <c r="D2573" s="9">
        <v>3894.06</v>
      </c>
      <c r="E2573" t="s">
        <v>57</v>
      </c>
    </row>
    <row r="2574" spans="1:5">
      <c r="A2574" t="s">
        <v>35</v>
      </c>
      <c r="B2574" s="11" t="s">
        <v>68</v>
      </c>
      <c r="C2574">
        <v>2002</v>
      </c>
      <c r="D2574" s="9">
        <v>6196.98</v>
      </c>
      <c r="E2574" t="s">
        <v>58</v>
      </c>
    </row>
    <row r="2575" spans="1:5">
      <c r="A2575" t="s">
        <v>35</v>
      </c>
      <c r="B2575" s="11" t="s">
        <v>69</v>
      </c>
      <c r="C2575">
        <v>2002</v>
      </c>
      <c r="D2575" s="9">
        <v>4110.82</v>
      </c>
      <c r="E2575" t="s">
        <v>58</v>
      </c>
    </row>
    <row r="2576" spans="1:5">
      <c r="A2576" t="s">
        <v>35</v>
      </c>
      <c r="B2576" s="11" t="s">
        <v>77</v>
      </c>
      <c r="C2576">
        <v>2002</v>
      </c>
      <c r="D2576" s="9">
        <v>8727.31</v>
      </c>
      <c r="E2576" t="s">
        <v>58</v>
      </c>
    </row>
    <row r="2577" spans="1:5">
      <c r="A2577" t="s">
        <v>35</v>
      </c>
      <c r="B2577" s="11" t="s">
        <v>70</v>
      </c>
      <c r="C2577">
        <v>2002</v>
      </c>
      <c r="D2577" s="9">
        <v>6274.67</v>
      </c>
      <c r="E2577" t="s">
        <v>59</v>
      </c>
    </row>
    <row r="2578" spans="1:5">
      <c r="A2578" t="s">
        <v>35</v>
      </c>
      <c r="B2578" s="11" t="s">
        <v>71</v>
      </c>
      <c r="C2578">
        <v>2002</v>
      </c>
      <c r="D2578" s="9">
        <v>8468.64</v>
      </c>
      <c r="E2578" t="s">
        <v>59</v>
      </c>
    </row>
    <row r="2579" spans="1:5">
      <c r="A2579" t="s">
        <v>35</v>
      </c>
      <c r="B2579" s="11" t="s">
        <v>72</v>
      </c>
      <c r="C2579">
        <v>2002</v>
      </c>
      <c r="D2579" s="9">
        <v>10521.85</v>
      </c>
      <c r="E2579" t="s">
        <v>59</v>
      </c>
    </row>
    <row r="2580" spans="1:5">
      <c r="A2580" t="s">
        <v>35</v>
      </c>
      <c r="B2580" s="11" t="s">
        <v>78</v>
      </c>
      <c r="C2580">
        <v>2002</v>
      </c>
      <c r="D2580" s="9">
        <v>6511.65</v>
      </c>
      <c r="E2580" t="s">
        <v>59</v>
      </c>
    </row>
    <row r="2581" spans="1:5">
      <c r="A2581" t="s">
        <v>35</v>
      </c>
      <c r="B2581" s="11" t="s">
        <v>73</v>
      </c>
      <c r="C2581">
        <v>2002</v>
      </c>
      <c r="D2581" s="9">
        <v>7822.29</v>
      </c>
      <c r="E2581" t="s">
        <v>60</v>
      </c>
    </row>
    <row r="2582" spans="1:5">
      <c r="A2582" t="s">
        <v>35</v>
      </c>
      <c r="B2582" s="11" t="s">
        <v>74</v>
      </c>
      <c r="C2582">
        <v>2002</v>
      </c>
      <c r="D2582" s="9">
        <v>6283.53</v>
      </c>
      <c r="E2582" t="s">
        <v>60</v>
      </c>
    </row>
    <row r="2583" spans="1:5">
      <c r="A2583" t="s">
        <v>36</v>
      </c>
      <c r="B2583" s="11" t="s">
        <v>61</v>
      </c>
      <c r="C2583">
        <v>2002</v>
      </c>
      <c r="D2583" s="9">
        <v>6252.82</v>
      </c>
      <c r="E2583" t="s">
        <v>56</v>
      </c>
    </row>
    <row r="2584" spans="1:5">
      <c r="A2584" t="s">
        <v>36</v>
      </c>
      <c r="B2584" s="11" t="s">
        <v>62</v>
      </c>
      <c r="C2584">
        <v>2002</v>
      </c>
      <c r="D2584" s="9">
        <v>3483.93</v>
      </c>
      <c r="E2584" t="s">
        <v>56</v>
      </c>
    </row>
    <row r="2585" spans="1:5">
      <c r="A2585" t="s">
        <v>36</v>
      </c>
      <c r="B2585" s="11" t="s">
        <v>63</v>
      </c>
      <c r="C2585">
        <v>2002</v>
      </c>
      <c r="D2585" s="9">
        <v>5574.93</v>
      </c>
      <c r="E2585" t="s">
        <v>56</v>
      </c>
    </row>
    <row r="2586" spans="1:5">
      <c r="A2586" t="s">
        <v>36</v>
      </c>
      <c r="B2586" s="11" t="s">
        <v>75</v>
      </c>
      <c r="C2586">
        <v>2002</v>
      </c>
      <c r="D2586" s="9">
        <v>7984.55</v>
      </c>
      <c r="E2586" t="s">
        <v>56</v>
      </c>
    </row>
    <row r="2587" spans="1:5">
      <c r="A2587" t="s">
        <v>36</v>
      </c>
      <c r="B2587" s="11" t="s">
        <v>64</v>
      </c>
      <c r="C2587">
        <v>2002</v>
      </c>
      <c r="D2587" s="9">
        <v>5440.29</v>
      </c>
      <c r="E2587" t="s">
        <v>57</v>
      </c>
    </row>
    <row r="2588" spans="1:5">
      <c r="A2588" t="s">
        <v>36</v>
      </c>
      <c r="B2588" s="11" t="s">
        <v>65</v>
      </c>
      <c r="C2588">
        <v>2002</v>
      </c>
      <c r="D2588" s="9">
        <v>3119.84</v>
      </c>
      <c r="E2588" t="s">
        <v>57</v>
      </c>
    </row>
    <row r="2589" spans="1:5">
      <c r="A2589" t="s">
        <v>36</v>
      </c>
      <c r="B2589" s="11" t="s">
        <v>66</v>
      </c>
      <c r="C2589">
        <v>2002</v>
      </c>
      <c r="D2589" s="9">
        <v>11205.85</v>
      </c>
      <c r="E2589" t="s">
        <v>57</v>
      </c>
    </row>
    <row r="2590" spans="1:5">
      <c r="A2590" t="s">
        <v>36</v>
      </c>
      <c r="B2590" s="11" t="s">
        <v>67</v>
      </c>
      <c r="C2590">
        <v>2002</v>
      </c>
      <c r="D2590" s="9">
        <v>4966.42</v>
      </c>
      <c r="E2590" t="s">
        <v>57</v>
      </c>
    </row>
    <row r="2591" spans="1:5">
      <c r="A2591" t="s">
        <v>36</v>
      </c>
      <c r="B2591" s="11" t="s">
        <v>76</v>
      </c>
      <c r="C2591">
        <v>2002</v>
      </c>
      <c r="D2591" s="9">
        <v>3447.76</v>
      </c>
      <c r="E2591" t="s">
        <v>57</v>
      </c>
    </row>
    <row r="2592" spans="1:5">
      <c r="A2592" t="s">
        <v>36</v>
      </c>
      <c r="B2592" s="11" t="s">
        <v>68</v>
      </c>
      <c r="C2592">
        <v>2002</v>
      </c>
      <c r="D2592" s="9">
        <v>6098.65</v>
      </c>
      <c r="E2592" t="s">
        <v>58</v>
      </c>
    </row>
    <row r="2593" spans="1:5">
      <c r="A2593" t="s">
        <v>36</v>
      </c>
      <c r="B2593" s="11" t="s">
        <v>69</v>
      </c>
      <c r="C2593">
        <v>2002</v>
      </c>
      <c r="D2593" s="9">
        <v>4107.87</v>
      </c>
      <c r="E2593" t="s">
        <v>58</v>
      </c>
    </row>
    <row r="2594" spans="1:5">
      <c r="A2594" t="s">
        <v>36</v>
      </c>
      <c r="B2594" s="11" t="s">
        <v>77</v>
      </c>
      <c r="C2594">
        <v>2002</v>
      </c>
      <c r="D2594" s="9">
        <v>7653.12</v>
      </c>
      <c r="E2594" t="s">
        <v>58</v>
      </c>
    </row>
    <row r="2595" spans="1:5">
      <c r="A2595" t="s">
        <v>36</v>
      </c>
      <c r="B2595" s="11" t="s">
        <v>70</v>
      </c>
      <c r="C2595">
        <v>2002</v>
      </c>
      <c r="D2595" s="9">
        <v>5265.41</v>
      </c>
      <c r="E2595" t="s">
        <v>59</v>
      </c>
    </row>
    <row r="2596" spans="1:5">
      <c r="A2596" t="s">
        <v>36</v>
      </c>
      <c r="B2596" s="11" t="s">
        <v>71</v>
      </c>
      <c r="C2596">
        <v>2002</v>
      </c>
      <c r="D2596" s="9">
        <v>9331.16</v>
      </c>
      <c r="E2596" t="s">
        <v>59</v>
      </c>
    </row>
    <row r="2597" spans="1:5">
      <c r="A2597" t="s">
        <v>36</v>
      </c>
      <c r="B2597" s="11" t="s">
        <v>72</v>
      </c>
      <c r="C2597">
        <v>2002</v>
      </c>
      <c r="D2597" s="9">
        <v>10168.049999999999</v>
      </c>
      <c r="E2597" t="s">
        <v>59</v>
      </c>
    </row>
    <row r="2598" spans="1:5">
      <c r="A2598" t="s">
        <v>36</v>
      </c>
      <c r="B2598" s="11" t="s">
        <v>78</v>
      </c>
      <c r="C2598">
        <v>2002</v>
      </c>
      <c r="D2598" s="9">
        <v>5272.41</v>
      </c>
      <c r="E2598" t="s">
        <v>59</v>
      </c>
    </row>
    <row r="2599" spans="1:5">
      <c r="A2599" t="s">
        <v>36</v>
      </c>
      <c r="B2599" s="11" t="s">
        <v>73</v>
      </c>
      <c r="C2599">
        <v>2002</v>
      </c>
      <c r="D2599" s="9">
        <v>8226.76</v>
      </c>
      <c r="E2599" t="s">
        <v>60</v>
      </c>
    </row>
    <row r="2600" spans="1:5">
      <c r="A2600" t="s">
        <v>36</v>
      </c>
      <c r="B2600" s="11" t="s">
        <v>74</v>
      </c>
      <c r="C2600">
        <v>2002</v>
      </c>
      <c r="D2600" s="9">
        <v>8551.81</v>
      </c>
      <c r="E2600" t="s">
        <v>60</v>
      </c>
    </row>
    <row r="2601" spans="1:5">
      <c r="A2601" t="s">
        <v>37</v>
      </c>
      <c r="B2601" s="11" t="s">
        <v>61</v>
      </c>
      <c r="C2601">
        <v>2002</v>
      </c>
      <c r="D2601" s="9">
        <v>6325.81</v>
      </c>
      <c r="E2601" t="s">
        <v>56</v>
      </c>
    </row>
    <row r="2602" spans="1:5">
      <c r="A2602" t="s">
        <v>37</v>
      </c>
      <c r="B2602" s="11" t="s">
        <v>62</v>
      </c>
      <c r="C2602">
        <v>2002</v>
      </c>
      <c r="D2602" s="9">
        <v>3514.62</v>
      </c>
      <c r="E2602" t="s">
        <v>56</v>
      </c>
    </row>
    <row r="2603" spans="1:5">
      <c r="A2603" t="s">
        <v>37</v>
      </c>
      <c r="B2603" s="11" t="s">
        <v>63</v>
      </c>
      <c r="C2603">
        <v>2002</v>
      </c>
      <c r="D2603" s="9">
        <v>7768.69</v>
      </c>
      <c r="E2603" t="s">
        <v>56</v>
      </c>
    </row>
    <row r="2604" spans="1:5">
      <c r="A2604" t="s">
        <v>37</v>
      </c>
      <c r="B2604" s="11" t="s">
        <v>75</v>
      </c>
      <c r="C2604">
        <v>2002</v>
      </c>
      <c r="D2604" s="9">
        <v>8282.56</v>
      </c>
      <c r="E2604" t="s">
        <v>56</v>
      </c>
    </row>
    <row r="2605" spans="1:5">
      <c r="A2605" t="s">
        <v>37</v>
      </c>
      <c r="B2605" s="11" t="s">
        <v>64</v>
      </c>
      <c r="C2605">
        <v>2002</v>
      </c>
      <c r="D2605" s="9">
        <v>6458.61</v>
      </c>
      <c r="E2605" t="s">
        <v>57</v>
      </c>
    </row>
    <row r="2606" spans="1:5">
      <c r="A2606" t="s">
        <v>37</v>
      </c>
      <c r="B2606" s="11" t="s">
        <v>65</v>
      </c>
      <c r="C2606">
        <v>2002</v>
      </c>
      <c r="D2606" s="9">
        <v>4617.1899999999996</v>
      </c>
      <c r="E2606" t="s">
        <v>57</v>
      </c>
    </row>
    <row r="2607" spans="1:5">
      <c r="A2607" t="s">
        <v>37</v>
      </c>
      <c r="B2607" s="11" t="s">
        <v>66</v>
      </c>
      <c r="C2607">
        <v>2002</v>
      </c>
      <c r="D2607" s="9">
        <v>10905.8</v>
      </c>
      <c r="E2607" t="s">
        <v>57</v>
      </c>
    </row>
    <row r="2608" spans="1:5">
      <c r="A2608" t="s">
        <v>37</v>
      </c>
      <c r="B2608" s="11" t="s">
        <v>67</v>
      </c>
      <c r="C2608">
        <v>2002</v>
      </c>
      <c r="D2608" s="9">
        <v>4550.09</v>
      </c>
      <c r="E2608" t="s">
        <v>57</v>
      </c>
    </row>
    <row r="2609" spans="1:5">
      <c r="A2609" t="s">
        <v>37</v>
      </c>
      <c r="B2609" s="11" t="s">
        <v>76</v>
      </c>
      <c r="C2609">
        <v>2002</v>
      </c>
      <c r="D2609" s="9">
        <v>2956.02</v>
      </c>
      <c r="E2609" t="s">
        <v>57</v>
      </c>
    </row>
    <row r="2610" spans="1:5">
      <c r="A2610" t="s">
        <v>37</v>
      </c>
      <c r="B2610" s="11" t="s">
        <v>68</v>
      </c>
      <c r="C2610">
        <v>2002</v>
      </c>
      <c r="D2610" s="9">
        <v>5245.27</v>
      </c>
      <c r="E2610" t="s">
        <v>58</v>
      </c>
    </row>
    <row r="2611" spans="1:5">
      <c r="A2611" t="s">
        <v>37</v>
      </c>
      <c r="B2611" s="11" t="s">
        <v>69</v>
      </c>
      <c r="C2611">
        <v>2002</v>
      </c>
      <c r="D2611" s="9">
        <v>5528.39</v>
      </c>
      <c r="E2611" t="s">
        <v>58</v>
      </c>
    </row>
    <row r="2612" spans="1:5">
      <c r="A2612" t="s">
        <v>37</v>
      </c>
      <c r="B2612" s="11" t="s">
        <v>77</v>
      </c>
      <c r="C2612">
        <v>2002</v>
      </c>
      <c r="D2612" s="9">
        <v>5787.66</v>
      </c>
      <c r="E2612" t="s">
        <v>58</v>
      </c>
    </row>
    <row r="2613" spans="1:5">
      <c r="A2613" t="s">
        <v>37</v>
      </c>
      <c r="B2613" s="11" t="s">
        <v>70</v>
      </c>
      <c r="C2613">
        <v>2002</v>
      </c>
      <c r="D2613" s="9">
        <v>6051.61</v>
      </c>
      <c r="E2613" t="s">
        <v>59</v>
      </c>
    </row>
    <row r="2614" spans="1:5">
      <c r="A2614" t="s">
        <v>37</v>
      </c>
      <c r="B2614" s="11" t="s">
        <v>71</v>
      </c>
      <c r="C2614">
        <v>2002</v>
      </c>
      <c r="D2614" s="9">
        <v>9482.49</v>
      </c>
      <c r="E2614" t="s">
        <v>59</v>
      </c>
    </row>
    <row r="2615" spans="1:5">
      <c r="A2615" t="s">
        <v>37</v>
      </c>
      <c r="B2615" s="11" t="s">
        <v>72</v>
      </c>
      <c r="C2615">
        <v>2002</v>
      </c>
      <c r="D2615" s="9">
        <v>7847.86</v>
      </c>
      <c r="E2615" t="s">
        <v>59</v>
      </c>
    </row>
    <row r="2616" spans="1:5">
      <c r="A2616" t="s">
        <v>37</v>
      </c>
      <c r="B2616" s="11" t="s">
        <v>78</v>
      </c>
      <c r="C2616">
        <v>2002</v>
      </c>
      <c r="D2616" s="9">
        <v>5291.45</v>
      </c>
      <c r="E2616" t="s">
        <v>59</v>
      </c>
    </row>
    <row r="2617" spans="1:5">
      <c r="A2617" t="s">
        <v>37</v>
      </c>
      <c r="B2617" s="11" t="s">
        <v>73</v>
      </c>
      <c r="C2617">
        <v>2002</v>
      </c>
      <c r="D2617" s="9">
        <v>8571.35</v>
      </c>
      <c r="E2617" t="s">
        <v>60</v>
      </c>
    </row>
    <row r="2618" spans="1:5">
      <c r="A2618" t="s">
        <v>37</v>
      </c>
      <c r="B2618" s="11" t="s">
        <v>74</v>
      </c>
      <c r="C2618">
        <v>2002</v>
      </c>
      <c r="D2618" s="9">
        <v>6077.56</v>
      </c>
      <c r="E2618" t="s">
        <v>60</v>
      </c>
    </row>
    <row r="2619" spans="1:5">
      <c r="A2619" t="s">
        <v>38</v>
      </c>
      <c r="B2619" s="11" t="s">
        <v>61</v>
      </c>
      <c r="C2619">
        <v>2002</v>
      </c>
      <c r="D2619" s="9">
        <v>6419.39</v>
      </c>
      <c r="E2619" t="s">
        <v>56</v>
      </c>
    </row>
    <row r="2620" spans="1:5">
      <c r="A2620" t="s">
        <v>38</v>
      </c>
      <c r="B2620" s="11" t="s">
        <v>62</v>
      </c>
      <c r="C2620">
        <v>2002</v>
      </c>
      <c r="D2620" s="9">
        <v>3750.37</v>
      </c>
      <c r="E2620" t="s">
        <v>56</v>
      </c>
    </row>
    <row r="2621" spans="1:5">
      <c r="A2621" t="s">
        <v>38</v>
      </c>
      <c r="B2621" s="11" t="s">
        <v>63</v>
      </c>
      <c r="C2621">
        <v>2002</v>
      </c>
      <c r="D2621" s="9">
        <v>7464.61</v>
      </c>
      <c r="E2621" t="s">
        <v>56</v>
      </c>
    </row>
    <row r="2622" spans="1:5">
      <c r="A2622" t="s">
        <v>38</v>
      </c>
      <c r="B2622" s="11" t="s">
        <v>75</v>
      </c>
      <c r="C2622">
        <v>2002</v>
      </c>
      <c r="D2622" s="9">
        <v>8804.56</v>
      </c>
      <c r="E2622" t="s">
        <v>56</v>
      </c>
    </row>
    <row r="2623" spans="1:5">
      <c r="A2623" t="s">
        <v>38</v>
      </c>
      <c r="B2623" s="11" t="s">
        <v>64</v>
      </c>
      <c r="C2623">
        <v>2002</v>
      </c>
      <c r="D2623" s="9">
        <v>7846.12</v>
      </c>
      <c r="E2623" t="s">
        <v>57</v>
      </c>
    </row>
    <row r="2624" spans="1:5">
      <c r="A2624" t="s">
        <v>38</v>
      </c>
      <c r="B2624" s="11" t="s">
        <v>65</v>
      </c>
      <c r="C2624">
        <v>2002</v>
      </c>
      <c r="D2624" s="9">
        <v>5063.24</v>
      </c>
      <c r="E2624" t="s">
        <v>57</v>
      </c>
    </row>
    <row r="2625" spans="1:5">
      <c r="A2625" t="s">
        <v>38</v>
      </c>
      <c r="B2625" s="11" t="s">
        <v>66</v>
      </c>
      <c r="C2625">
        <v>2002</v>
      </c>
      <c r="D2625" s="9">
        <v>10293.620000000001</v>
      </c>
      <c r="E2625" t="s">
        <v>57</v>
      </c>
    </row>
    <row r="2626" spans="1:5">
      <c r="A2626" t="s">
        <v>38</v>
      </c>
      <c r="B2626" s="11" t="s">
        <v>67</v>
      </c>
      <c r="C2626">
        <v>2002</v>
      </c>
      <c r="D2626" s="9">
        <v>5332.64</v>
      </c>
      <c r="E2626" t="s">
        <v>57</v>
      </c>
    </row>
    <row r="2627" spans="1:5">
      <c r="A2627" t="s">
        <v>38</v>
      </c>
      <c r="B2627" s="11" t="s">
        <v>76</v>
      </c>
      <c r="C2627">
        <v>2002</v>
      </c>
      <c r="D2627" s="9">
        <v>3588.18</v>
      </c>
      <c r="E2627" t="s">
        <v>57</v>
      </c>
    </row>
    <row r="2628" spans="1:5">
      <c r="A2628" t="s">
        <v>38</v>
      </c>
      <c r="B2628" s="11" t="s">
        <v>68</v>
      </c>
      <c r="C2628">
        <v>2002</v>
      </c>
      <c r="D2628" s="9">
        <v>3986.37</v>
      </c>
      <c r="E2628" t="s">
        <v>58</v>
      </c>
    </row>
    <row r="2629" spans="1:5">
      <c r="A2629" t="s">
        <v>38</v>
      </c>
      <c r="B2629" s="11" t="s">
        <v>69</v>
      </c>
      <c r="C2629">
        <v>2002</v>
      </c>
      <c r="D2629" s="9">
        <v>5191.8599999999997</v>
      </c>
      <c r="E2629" t="s">
        <v>58</v>
      </c>
    </row>
    <row r="2630" spans="1:5">
      <c r="A2630" t="s">
        <v>38</v>
      </c>
      <c r="B2630" s="11" t="s">
        <v>77</v>
      </c>
      <c r="C2630">
        <v>2002</v>
      </c>
      <c r="D2630" s="9">
        <v>4806.63</v>
      </c>
      <c r="E2630" t="s">
        <v>58</v>
      </c>
    </row>
    <row r="2631" spans="1:5">
      <c r="A2631" t="s">
        <v>38</v>
      </c>
      <c r="B2631" s="11" t="s">
        <v>70</v>
      </c>
      <c r="C2631">
        <v>2002</v>
      </c>
      <c r="D2631" s="9">
        <v>6923.85</v>
      </c>
      <c r="E2631" t="s">
        <v>59</v>
      </c>
    </row>
    <row r="2632" spans="1:5">
      <c r="A2632" t="s">
        <v>38</v>
      </c>
      <c r="B2632" s="11" t="s">
        <v>71</v>
      </c>
      <c r="C2632">
        <v>2002</v>
      </c>
      <c r="D2632" s="9">
        <v>8127.07</v>
      </c>
      <c r="E2632" t="s">
        <v>59</v>
      </c>
    </row>
    <row r="2633" spans="1:5">
      <c r="A2633" t="s">
        <v>38</v>
      </c>
      <c r="B2633" s="11" t="s">
        <v>72</v>
      </c>
      <c r="C2633">
        <v>2002</v>
      </c>
      <c r="D2633" s="9">
        <v>7415.01</v>
      </c>
      <c r="E2633" t="s">
        <v>59</v>
      </c>
    </row>
    <row r="2634" spans="1:5">
      <c r="A2634" t="s">
        <v>38</v>
      </c>
      <c r="B2634" s="11" t="s">
        <v>78</v>
      </c>
      <c r="C2634">
        <v>2002</v>
      </c>
      <c r="D2634" s="9">
        <v>6126.48</v>
      </c>
      <c r="E2634" t="s">
        <v>59</v>
      </c>
    </row>
    <row r="2635" spans="1:5">
      <c r="A2635" t="s">
        <v>38</v>
      </c>
      <c r="B2635" s="11" t="s">
        <v>73</v>
      </c>
      <c r="C2635">
        <v>2002</v>
      </c>
      <c r="D2635" s="9">
        <v>10271.09</v>
      </c>
      <c r="E2635" t="s">
        <v>60</v>
      </c>
    </row>
    <row r="2636" spans="1:5">
      <c r="A2636" t="s">
        <v>38</v>
      </c>
      <c r="B2636" s="11" t="s">
        <v>74</v>
      </c>
      <c r="C2636">
        <v>2002</v>
      </c>
      <c r="D2636" s="9">
        <v>5907.66</v>
      </c>
      <c r="E2636" t="s">
        <v>60</v>
      </c>
    </row>
    <row r="2637" spans="1:5">
      <c r="A2637" t="s">
        <v>39</v>
      </c>
      <c r="B2637" s="11" t="s">
        <v>61</v>
      </c>
      <c r="C2637">
        <v>2002</v>
      </c>
      <c r="D2637" s="9">
        <v>4998.9399999999996</v>
      </c>
      <c r="E2637" t="s">
        <v>56</v>
      </c>
    </row>
    <row r="2638" spans="1:5">
      <c r="A2638" t="s">
        <v>39</v>
      </c>
      <c r="B2638" s="11" t="s">
        <v>62</v>
      </c>
      <c r="C2638">
        <v>2002</v>
      </c>
      <c r="D2638" s="9">
        <v>3530.34</v>
      </c>
      <c r="E2638" t="s">
        <v>56</v>
      </c>
    </row>
    <row r="2639" spans="1:5">
      <c r="A2639" t="s">
        <v>39</v>
      </c>
      <c r="B2639" s="11" t="s">
        <v>63</v>
      </c>
      <c r="C2639">
        <v>2002</v>
      </c>
      <c r="D2639" s="9">
        <v>5416.15</v>
      </c>
      <c r="E2639" t="s">
        <v>56</v>
      </c>
    </row>
    <row r="2640" spans="1:5">
      <c r="A2640" t="s">
        <v>39</v>
      </c>
      <c r="B2640" s="11" t="s">
        <v>75</v>
      </c>
      <c r="C2640">
        <v>2002</v>
      </c>
      <c r="D2640" s="9">
        <v>5775</v>
      </c>
      <c r="E2640" t="s">
        <v>56</v>
      </c>
    </row>
    <row r="2641" spans="1:5">
      <c r="A2641" t="s">
        <v>39</v>
      </c>
      <c r="B2641" s="11" t="s">
        <v>64</v>
      </c>
      <c r="C2641">
        <v>2002</v>
      </c>
      <c r="D2641" s="9">
        <v>5939.79</v>
      </c>
      <c r="E2641" t="s">
        <v>57</v>
      </c>
    </row>
    <row r="2642" spans="1:5">
      <c r="A2642" t="s">
        <v>39</v>
      </c>
      <c r="B2642" s="11" t="s">
        <v>65</v>
      </c>
      <c r="C2642">
        <v>2002</v>
      </c>
      <c r="D2642" s="9">
        <v>6375.94</v>
      </c>
      <c r="E2642" t="s">
        <v>57</v>
      </c>
    </row>
    <row r="2643" spans="1:5">
      <c r="A2643" t="s">
        <v>39</v>
      </c>
      <c r="B2643" s="11" t="s">
        <v>66</v>
      </c>
      <c r="C2643">
        <v>2002</v>
      </c>
      <c r="D2643" s="9">
        <v>9136.01</v>
      </c>
      <c r="E2643" t="s">
        <v>57</v>
      </c>
    </row>
    <row r="2644" spans="1:5">
      <c r="A2644" t="s">
        <v>39</v>
      </c>
      <c r="B2644" s="11" t="s">
        <v>67</v>
      </c>
      <c r="C2644">
        <v>2002</v>
      </c>
      <c r="D2644" s="9">
        <v>4592.7</v>
      </c>
      <c r="E2644" t="s">
        <v>57</v>
      </c>
    </row>
    <row r="2645" spans="1:5">
      <c r="A2645" t="s">
        <v>39</v>
      </c>
      <c r="B2645" s="11" t="s">
        <v>76</v>
      </c>
      <c r="C2645">
        <v>2002</v>
      </c>
      <c r="D2645" s="9">
        <v>3850.65</v>
      </c>
      <c r="E2645" t="s">
        <v>57</v>
      </c>
    </row>
    <row r="2646" spans="1:5">
      <c r="A2646" t="s">
        <v>39</v>
      </c>
      <c r="B2646" s="11" t="s">
        <v>68</v>
      </c>
      <c r="C2646">
        <v>2002</v>
      </c>
      <c r="D2646" s="9">
        <v>7084.56</v>
      </c>
      <c r="E2646" t="s">
        <v>58</v>
      </c>
    </row>
    <row r="2647" spans="1:5">
      <c r="A2647" t="s">
        <v>39</v>
      </c>
      <c r="B2647" s="11" t="s">
        <v>69</v>
      </c>
      <c r="C2647">
        <v>2002</v>
      </c>
      <c r="D2647" s="9">
        <v>4971.07</v>
      </c>
      <c r="E2647" t="s">
        <v>58</v>
      </c>
    </row>
    <row r="2648" spans="1:5">
      <c r="A2648" t="s">
        <v>39</v>
      </c>
      <c r="B2648" s="11" t="s">
        <v>77</v>
      </c>
      <c r="C2648">
        <v>2002</v>
      </c>
      <c r="D2648" s="9">
        <v>7500.38</v>
      </c>
      <c r="E2648" t="s">
        <v>58</v>
      </c>
    </row>
    <row r="2649" spans="1:5">
      <c r="A2649" t="s">
        <v>39</v>
      </c>
      <c r="B2649" s="11" t="s">
        <v>70</v>
      </c>
      <c r="C2649">
        <v>2002</v>
      </c>
      <c r="D2649" s="9">
        <v>6965.76</v>
      </c>
      <c r="E2649" t="s">
        <v>59</v>
      </c>
    </row>
    <row r="2650" spans="1:5">
      <c r="A2650" t="s">
        <v>39</v>
      </c>
      <c r="B2650" s="11" t="s">
        <v>71</v>
      </c>
      <c r="C2650">
        <v>2002</v>
      </c>
      <c r="D2650" s="9">
        <v>7691.17</v>
      </c>
      <c r="E2650" t="s">
        <v>59</v>
      </c>
    </row>
    <row r="2651" spans="1:5">
      <c r="A2651" t="s">
        <v>39</v>
      </c>
      <c r="B2651" s="11" t="s">
        <v>72</v>
      </c>
      <c r="C2651">
        <v>2002</v>
      </c>
      <c r="D2651" s="9">
        <v>10970.54</v>
      </c>
      <c r="E2651" t="s">
        <v>59</v>
      </c>
    </row>
    <row r="2652" spans="1:5">
      <c r="A2652" t="s">
        <v>39</v>
      </c>
      <c r="B2652" s="11" t="s">
        <v>78</v>
      </c>
      <c r="C2652">
        <v>2002</v>
      </c>
      <c r="D2652" s="9">
        <v>4826.4399999999996</v>
      </c>
      <c r="E2652" t="s">
        <v>59</v>
      </c>
    </row>
    <row r="2653" spans="1:5">
      <c r="A2653" t="s">
        <v>39</v>
      </c>
      <c r="B2653" s="11" t="s">
        <v>73</v>
      </c>
      <c r="C2653">
        <v>2002</v>
      </c>
      <c r="D2653" s="9">
        <v>7257.97</v>
      </c>
      <c r="E2653" t="s">
        <v>60</v>
      </c>
    </row>
    <row r="2654" spans="1:5">
      <c r="A2654" t="s">
        <v>39</v>
      </c>
      <c r="B2654" s="11" t="s">
        <v>74</v>
      </c>
      <c r="C2654">
        <v>2002</v>
      </c>
      <c r="D2654" s="9">
        <v>5956.06</v>
      </c>
      <c r="E2654" t="s">
        <v>60</v>
      </c>
    </row>
    <row r="2655" spans="1:5">
      <c r="A2655" t="s">
        <v>28</v>
      </c>
      <c r="B2655" s="11" t="s">
        <v>61</v>
      </c>
      <c r="C2655">
        <v>2003</v>
      </c>
      <c r="D2655" s="9">
        <v>3962.37</v>
      </c>
      <c r="E2655" t="s">
        <v>56</v>
      </c>
    </row>
    <row r="2656" spans="1:5">
      <c r="A2656" t="s">
        <v>28</v>
      </c>
      <c r="B2656" s="11" t="s">
        <v>62</v>
      </c>
      <c r="C2656">
        <v>2003</v>
      </c>
      <c r="D2656" s="9">
        <v>5222.6000000000004</v>
      </c>
      <c r="E2656" t="s">
        <v>56</v>
      </c>
    </row>
    <row r="2657" spans="1:5">
      <c r="A2657" t="s">
        <v>28</v>
      </c>
      <c r="B2657" s="11" t="s">
        <v>63</v>
      </c>
      <c r="C2657">
        <v>2003</v>
      </c>
      <c r="D2657" s="9">
        <v>4666.99</v>
      </c>
      <c r="E2657" t="s">
        <v>56</v>
      </c>
    </row>
    <row r="2658" spans="1:5">
      <c r="A2658" t="s">
        <v>28</v>
      </c>
      <c r="B2658" s="11" t="s">
        <v>64</v>
      </c>
      <c r="C2658">
        <v>2003</v>
      </c>
      <c r="D2658" s="9">
        <v>5170.91</v>
      </c>
      <c r="E2658" t="s">
        <v>57</v>
      </c>
    </row>
    <row r="2659" spans="1:5">
      <c r="A2659" t="s">
        <v>28</v>
      </c>
      <c r="B2659" s="11" t="s">
        <v>65</v>
      </c>
      <c r="C2659">
        <v>2003</v>
      </c>
      <c r="D2659" s="9">
        <v>4291.58</v>
      </c>
      <c r="E2659" t="s">
        <v>57</v>
      </c>
    </row>
    <row r="2660" spans="1:5">
      <c r="A2660" t="s">
        <v>28</v>
      </c>
      <c r="B2660" s="11" t="s">
        <v>66</v>
      </c>
      <c r="C2660">
        <v>2003</v>
      </c>
      <c r="D2660" s="9">
        <v>10158.4</v>
      </c>
      <c r="E2660" t="s">
        <v>57</v>
      </c>
    </row>
    <row r="2661" spans="1:5">
      <c r="A2661" t="s">
        <v>28</v>
      </c>
      <c r="B2661" s="11" t="s">
        <v>67</v>
      </c>
      <c r="C2661">
        <v>2003</v>
      </c>
      <c r="D2661" s="9">
        <v>4084.84</v>
      </c>
      <c r="E2661" t="s">
        <v>57</v>
      </c>
    </row>
    <row r="2662" spans="1:5">
      <c r="A2662" t="s">
        <v>28</v>
      </c>
      <c r="B2662" s="11" t="s">
        <v>76</v>
      </c>
      <c r="C2662">
        <v>2003</v>
      </c>
      <c r="D2662" s="9">
        <v>2584.81</v>
      </c>
      <c r="E2662" t="s">
        <v>57</v>
      </c>
    </row>
    <row r="2663" spans="1:5">
      <c r="A2663" t="s">
        <v>28</v>
      </c>
      <c r="B2663" s="11" t="s">
        <v>68</v>
      </c>
      <c r="C2663">
        <v>2003</v>
      </c>
      <c r="D2663" s="9">
        <v>6005.6</v>
      </c>
      <c r="E2663" t="s">
        <v>58</v>
      </c>
    </row>
    <row r="2664" spans="1:5">
      <c r="A2664" t="s">
        <v>28</v>
      </c>
      <c r="B2664" s="11" t="s">
        <v>69</v>
      </c>
      <c r="C2664">
        <v>2003</v>
      </c>
      <c r="D2664" s="9">
        <v>3970.84</v>
      </c>
      <c r="E2664" t="s">
        <v>58</v>
      </c>
    </row>
    <row r="2665" spans="1:5">
      <c r="A2665" t="s">
        <v>28</v>
      </c>
      <c r="B2665" s="11" t="s">
        <v>77</v>
      </c>
      <c r="C2665">
        <v>2003</v>
      </c>
      <c r="D2665" s="9">
        <v>8253.89</v>
      </c>
      <c r="E2665" t="s">
        <v>58</v>
      </c>
    </row>
    <row r="2666" spans="1:5">
      <c r="A2666" t="s">
        <v>28</v>
      </c>
      <c r="B2666" s="11" t="s">
        <v>70</v>
      </c>
      <c r="C2666">
        <v>2003</v>
      </c>
      <c r="D2666" s="9">
        <v>7724.23</v>
      </c>
      <c r="E2666" t="s">
        <v>59</v>
      </c>
    </row>
    <row r="2667" spans="1:5">
      <c r="A2667" t="s">
        <v>28</v>
      </c>
      <c r="B2667" s="11" t="s">
        <v>71</v>
      </c>
      <c r="C2667">
        <v>2003</v>
      </c>
      <c r="D2667" s="9">
        <v>8768.31</v>
      </c>
      <c r="E2667" t="s">
        <v>59</v>
      </c>
    </row>
    <row r="2668" spans="1:5">
      <c r="A2668" t="s">
        <v>28</v>
      </c>
      <c r="B2668" s="11" t="s">
        <v>72</v>
      </c>
      <c r="C2668">
        <v>2003</v>
      </c>
      <c r="D2668" s="9">
        <v>7306.2</v>
      </c>
      <c r="E2668" t="s">
        <v>59</v>
      </c>
    </row>
    <row r="2669" spans="1:5">
      <c r="A2669" t="s">
        <v>28</v>
      </c>
      <c r="B2669" s="11" t="s">
        <v>78</v>
      </c>
      <c r="C2669">
        <v>2003</v>
      </c>
      <c r="D2669" s="9">
        <v>6569.6</v>
      </c>
      <c r="E2669" t="s">
        <v>59</v>
      </c>
    </row>
    <row r="2670" spans="1:5">
      <c r="A2670" t="s">
        <v>28</v>
      </c>
      <c r="B2670" s="11" t="s">
        <v>73</v>
      </c>
      <c r="C2670">
        <v>2003</v>
      </c>
      <c r="D2670" s="9">
        <v>6755.44</v>
      </c>
      <c r="E2670" t="s">
        <v>60</v>
      </c>
    </row>
    <row r="2671" spans="1:5">
      <c r="A2671" t="s">
        <v>28</v>
      </c>
      <c r="B2671" s="11" t="s">
        <v>74</v>
      </c>
      <c r="C2671">
        <v>2003</v>
      </c>
      <c r="D2671" s="9">
        <v>7652.24</v>
      </c>
      <c r="E2671" t="s">
        <v>60</v>
      </c>
    </row>
    <row r="2672" spans="1:5">
      <c r="A2672" t="s">
        <v>29</v>
      </c>
      <c r="B2672" s="11" t="s">
        <v>61</v>
      </c>
      <c r="C2672">
        <v>2003</v>
      </c>
      <c r="D2672" s="9">
        <v>7785.14</v>
      </c>
      <c r="E2672" t="s">
        <v>56</v>
      </c>
    </row>
    <row r="2673" spans="1:5">
      <c r="A2673" t="s">
        <v>29</v>
      </c>
      <c r="B2673" s="11" t="s">
        <v>62</v>
      </c>
      <c r="C2673">
        <v>2003</v>
      </c>
      <c r="D2673" s="9">
        <v>4045.6</v>
      </c>
      <c r="E2673" t="s">
        <v>56</v>
      </c>
    </row>
    <row r="2674" spans="1:5">
      <c r="A2674" t="s">
        <v>29</v>
      </c>
      <c r="B2674" s="11" t="s">
        <v>63</v>
      </c>
      <c r="C2674">
        <v>2003</v>
      </c>
      <c r="D2674" s="9">
        <v>5663.22</v>
      </c>
      <c r="E2674" t="s">
        <v>56</v>
      </c>
    </row>
    <row r="2675" spans="1:5">
      <c r="A2675" t="s">
        <v>29</v>
      </c>
      <c r="B2675" s="11" t="s">
        <v>75</v>
      </c>
      <c r="C2675">
        <v>2003</v>
      </c>
      <c r="D2675" s="9">
        <v>4975.62</v>
      </c>
      <c r="E2675" t="s">
        <v>56</v>
      </c>
    </row>
    <row r="2676" spans="1:5">
      <c r="A2676" t="s">
        <v>29</v>
      </c>
      <c r="B2676" s="11" t="s">
        <v>64</v>
      </c>
      <c r="C2676">
        <v>2003</v>
      </c>
      <c r="D2676" s="9">
        <v>5815.42</v>
      </c>
      <c r="E2676" t="s">
        <v>57</v>
      </c>
    </row>
    <row r="2677" spans="1:5">
      <c r="A2677" t="s">
        <v>29</v>
      </c>
      <c r="B2677" s="11" t="s">
        <v>65</v>
      </c>
      <c r="C2677">
        <v>2003</v>
      </c>
      <c r="D2677" s="9">
        <v>5821.15</v>
      </c>
      <c r="E2677" t="s">
        <v>57</v>
      </c>
    </row>
    <row r="2678" spans="1:5">
      <c r="A2678" t="s">
        <v>29</v>
      </c>
      <c r="B2678" s="11" t="s">
        <v>66</v>
      </c>
      <c r="C2678">
        <v>2003</v>
      </c>
      <c r="D2678" s="9">
        <v>7380.39</v>
      </c>
      <c r="E2678" t="s">
        <v>57</v>
      </c>
    </row>
    <row r="2679" spans="1:5">
      <c r="A2679" t="s">
        <v>29</v>
      </c>
      <c r="B2679" s="11" t="s">
        <v>67</v>
      </c>
      <c r="C2679">
        <v>2003</v>
      </c>
      <c r="D2679" s="9">
        <v>4950.2</v>
      </c>
      <c r="E2679" t="s">
        <v>57</v>
      </c>
    </row>
    <row r="2680" spans="1:5">
      <c r="A2680" t="s">
        <v>29</v>
      </c>
      <c r="B2680" s="11" t="s">
        <v>76</v>
      </c>
      <c r="C2680">
        <v>2003</v>
      </c>
      <c r="D2680" s="9">
        <v>3000.73</v>
      </c>
      <c r="E2680" t="s">
        <v>57</v>
      </c>
    </row>
    <row r="2681" spans="1:5">
      <c r="A2681" t="s">
        <v>29</v>
      </c>
      <c r="B2681" s="11" t="s">
        <v>68</v>
      </c>
      <c r="C2681">
        <v>2003</v>
      </c>
      <c r="D2681" s="9">
        <v>6959.13</v>
      </c>
      <c r="E2681" t="s">
        <v>58</v>
      </c>
    </row>
    <row r="2682" spans="1:5">
      <c r="A2682" t="s">
        <v>29</v>
      </c>
      <c r="B2682" s="11" t="s">
        <v>69</v>
      </c>
      <c r="C2682">
        <v>2003</v>
      </c>
      <c r="D2682" s="9">
        <v>4678.45</v>
      </c>
      <c r="E2682" t="s">
        <v>58</v>
      </c>
    </row>
    <row r="2683" spans="1:5">
      <c r="A2683" t="s">
        <v>29</v>
      </c>
      <c r="B2683" s="11" t="s">
        <v>77</v>
      </c>
      <c r="C2683">
        <v>2003</v>
      </c>
      <c r="D2683" s="9">
        <v>6864.17</v>
      </c>
      <c r="E2683" t="s">
        <v>58</v>
      </c>
    </row>
    <row r="2684" spans="1:5">
      <c r="A2684" t="s">
        <v>29</v>
      </c>
      <c r="B2684" s="11" t="s">
        <v>70</v>
      </c>
      <c r="C2684">
        <v>2003</v>
      </c>
      <c r="D2684" s="9">
        <v>6604.3</v>
      </c>
      <c r="E2684" t="s">
        <v>59</v>
      </c>
    </row>
    <row r="2685" spans="1:5">
      <c r="A2685" t="s">
        <v>29</v>
      </c>
      <c r="B2685" s="11" t="s">
        <v>71</v>
      </c>
      <c r="C2685">
        <v>2003</v>
      </c>
      <c r="D2685" s="9">
        <v>5767.01</v>
      </c>
      <c r="E2685" t="s">
        <v>59</v>
      </c>
    </row>
    <row r="2686" spans="1:5">
      <c r="A2686" t="s">
        <v>29</v>
      </c>
      <c r="B2686" s="11" t="s">
        <v>72</v>
      </c>
      <c r="C2686">
        <v>2003</v>
      </c>
      <c r="D2686" s="9">
        <v>7718.2</v>
      </c>
      <c r="E2686" t="s">
        <v>59</v>
      </c>
    </row>
    <row r="2687" spans="1:5">
      <c r="A2687" t="s">
        <v>29</v>
      </c>
      <c r="B2687" s="11" t="s">
        <v>78</v>
      </c>
      <c r="C2687">
        <v>2003</v>
      </c>
      <c r="D2687" s="9">
        <v>5176.6099999999997</v>
      </c>
      <c r="E2687" t="s">
        <v>59</v>
      </c>
    </row>
    <row r="2688" spans="1:5">
      <c r="A2688" t="s">
        <v>29</v>
      </c>
      <c r="B2688" s="11" t="s">
        <v>73</v>
      </c>
      <c r="C2688">
        <v>2003</v>
      </c>
      <c r="D2688" s="9">
        <v>6446.49</v>
      </c>
      <c r="E2688" t="s">
        <v>60</v>
      </c>
    </row>
    <row r="2689" spans="1:5">
      <c r="A2689" t="s">
        <v>29</v>
      </c>
      <c r="B2689" s="11" t="s">
        <v>74</v>
      </c>
      <c r="C2689">
        <v>2003</v>
      </c>
      <c r="D2689" s="9">
        <v>8179.07</v>
      </c>
      <c r="E2689" t="s">
        <v>60</v>
      </c>
    </row>
    <row r="2690" spans="1:5">
      <c r="A2690" t="s">
        <v>30</v>
      </c>
      <c r="B2690" s="11" t="s">
        <v>61</v>
      </c>
      <c r="C2690">
        <v>2003</v>
      </c>
      <c r="D2690" s="9">
        <v>4391.3900000000003</v>
      </c>
      <c r="E2690" t="s">
        <v>56</v>
      </c>
    </row>
    <row r="2691" spans="1:5">
      <c r="A2691" t="s">
        <v>30</v>
      </c>
      <c r="B2691" s="11" t="s">
        <v>62</v>
      </c>
      <c r="C2691">
        <v>2003</v>
      </c>
      <c r="D2691" s="9">
        <v>3165.94</v>
      </c>
      <c r="E2691" t="s">
        <v>56</v>
      </c>
    </row>
    <row r="2692" spans="1:5">
      <c r="A2692" t="s">
        <v>30</v>
      </c>
      <c r="B2692" s="11" t="s">
        <v>63</v>
      </c>
      <c r="C2692">
        <v>2003</v>
      </c>
      <c r="D2692" s="9">
        <v>5095.04</v>
      </c>
      <c r="E2692" t="s">
        <v>56</v>
      </c>
    </row>
    <row r="2693" spans="1:5">
      <c r="A2693" t="s">
        <v>30</v>
      </c>
      <c r="B2693" s="11" t="s">
        <v>75</v>
      </c>
      <c r="C2693">
        <v>2003</v>
      </c>
      <c r="D2693" s="9">
        <v>3871.38</v>
      </c>
      <c r="E2693" t="s">
        <v>56</v>
      </c>
    </row>
    <row r="2694" spans="1:5">
      <c r="A2694" t="s">
        <v>30</v>
      </c>
      <c r="B2694" s="11" t="s">
        <v>64</v>
      </c>
      <c r="C2694">
        <v>2003</v>
      </c>
      <c r="D2694" s="9">
        <v>4974.01</v>
      </c>
      <c r="E2694" t="s">
        <v>57</v>
      </c>
    </row>
    <row r="2695" spans="1:5">
      <c r="A2695" t="s">
        <v>30</v>
      </c>
      <c r="B2695" s="11" t="s">
        <v>65</v>
      </c>
      <c r="C2695">
        <v>2003</v>
      </c>
      <c r="D2695" s="9">
        <v>3416.54</v>
      </c>
      <c r="E2695" t="s">
        <v>57</v>
      </c>
    </row>
    <row r="2696" spans="1:5">
      <c r="A2696" t="s">
        <v>30</v>
      </c>
      <c r="B2696" s="11" t="s">
        <v>66</v>
      </c>
      <c r="C2696">
        <v>2003</v>
      </c>
      <c r="D2696" s="9">
        <v>7730.41</v>
      </c>
      <c r="E2696" t="s">
        <v>57</v>
      </c>
    </row>
    <row r="2697" spans="1:5">
      <c r="A2697" t="s">
        <v>30</v>
      </c>
      <c r="B2697" s="11" t="s">
        <v>67</v>
      </c>
      <c r="C2697">
        <v>2003</v>
      </c>
      <c r="D2697" s="9">
        <v>4723.4799999999996</v>
      </c>
      <c r="E2697" t="s">
        <v>57</v>
      </c>
    </row>
    <row r="2698" spans="1:5">
      <c r="A2698" t="s">
        <v>30</v>
      </c>
      <c r="B2698" s="11" t="s">
        <v>76</v>
      </c>
      <c r="C2698">
        <v>2003</v>
      </c>
      <c r="D2698" s="9">
        <v>2700.74</v>
      </c>
      <c r="E2698" t="s">
        <v>57</v>
      </c>
    </row>
    <row r="2699" spans="1:5">
      <c r="A2699" t="s">
        <v>30</v>
      </c>
      <c r="B2699" s="11" t="s">
        <v>68</v>
      </c>
      <c r="C2699">
        <v>2003</v>
      </c>
      <c r="D2699" s="9">
        <v>4934.3599999999997</v>
      </c>
      <c r="E2699" t="s">
        <v>58</v>
      </c>
    </row>
    <row r="2700" spans="1:5">
      <c r="A2700" t="s">
        <v>30</v>
      </c>
      <c r="B2700" s="11" t="s">
        <v>69</v>
      </c>
      <c r="C2700">
        <v>2003</v>
      </c>
      <c r="D2700" s="9">
        <v>4850.79</v>
      </c>
      <c r="E2700" t="s">
        <v>58</v>
      </c>
    </row>
    <row r="2701" spans="1:5">
      <c r="A2701" t="s">
        <v>30</v>
      </c>
      <c r="B2701" s="11" t="s">
        <v>77</v>
      </c>
      <c r="C2701">
        <v>2003</v>
      </c>
      <c r="D2701" s="9">
        <v>5097.8900000000003</v>
      </c>
      <c r="E2701" t="s">
        <v>58</v>
      </c>
    </row>
    <row r="2702" spans="1:5">
      <c r="A2702" t="s">
        <v>30</v>
      </c>
      <c r="B2702" s="11" t="s">
        <v>70</v>
      </c>
      <c r="C2702">
        <v>2003</v>
      </c>
      <c r="D2702" s="9">
        <v>6129.62</v>
      </c>
      <c r="E2702" t="s">
        <v>59</v>
      </c>
    </row>
    <row r="2703" spans="1:5">
      <c r="A2703" t="s">
        <v>30</v>
      </c>
      <c r="B2703" s="11" t="s">
        <v>71</v>
      </c>
      <c r="C2703">
        <v>2003</v>
      </c>
      <c r="D2703" s="9">
        <v>6124.98</v>
      </c>
      <c r="E2703" t="s">
        <v>59</v>
      </c>
    </row>
    <row r="2704" spans="1:5">
      <c r="A2704" t="s">
        <v>30</v>
      </c>
      <c r="B2704" s="11" t="s">
        <v>72</v>
      </c>
      <c r="C2704">
        <v>2003</v>
      </c>
      <c r="D2704" s="9">
        <v>6701.18</v>
      </c>
      <c r="E2704" t="s">
        <v>59</v>
      </c>
    </row>
    <row r="2705" spans="1:5">
      <c r="A2705" t="s">
        <v>30</v>
      </c>
      <c r="B2705" s="11" t="s">
        <v>78</v>
      </c>
      <c r="C2705">
        <v>2003</v>
      </c>
      <c r="D2705" s="9">
        <v>5711.66</v>
      </c>
      <c r="E2705" t="s">
        <v>59</v>
      </c>
    </row>
    <row r="2706" spans="1:5">
      <c r="A2706" t="s">
        <v>30</v>
      </c>
      <c r="B2706" s="11" t="s">
        <v>73</v>
      </c>
      <c r="C2706">
        <v>2003</v>
      </c>
      <c r="D2706" s="9">
        <v>7113.66</v>
      </c>
      <c r="E2706" t="s">
        <v>60</v>
      </c>
    </row>
    <row r="2707" spans="1:5">
      <c r="A2707" t="s">
        <v>30</v>
      </c>
      <c r="B2707" s="11" t="s">
        <v>74</v>
      </c>
      <c r="C2707">
        <v>2003</v>
      </c>
      <c r="D2707" s="9">
        <v>6129.15</v>
      </c>
      <c r="E2707" t="s">
        <v>60</v>
      </c>
    </row>
    <row r="2708" spans="1:5">
      <c r="A2708" t="s">
        <v>31</v>
      </c>
      <c r="B2708" s="11" t="s">
        <v>61</v>
      </c>
      <c r="C2708">
        <v>2003</v>
      </c>
      <c r="D2708" s="9">
        <v>5467.42</v>
      </c>
      <c r="E2708" t="s">
        <v>56</v>
      </c>
    </row>
    <row r="2709" spans="1:5">
      <c r="A2709" t="s">
        <v>31</v>
      </c>
      <c r="B2709" s="11" t="s">
        <v>62</v>
      </c>
      <c r="C2709">
        <v>2003</v>
      </c>
      <c r="D2709" s="9">
        <v>3191.7</v>
      </c>
      <c r="E2709" t="s">
        <v>56</v>
      </c>
    </row>
    <row r="2710" spans="1:5">
      <c r="A2710" t="s">
        <v>31</v>
      </c>
      <c r="B2710" s="11" t="s">
        <v>63</v>
      </c>
      <c r="C2710">
        <v>2003</v>
      </c>
      <c r="D2710" s="9">
        <v>5791.58</v>
      </c>
      <c r="E2710" t="s">
        <v>56</v>
      </c>
    </row>
    <row r="2711" spans="1:5">
      <c r="A2711" t="s">
        <v>31</v>
      </c>
      <c r="B2711" s="11" t="s">
        <v>75</v>
      </c>
      <c r="C2711">
        <v>2003</v>
      </c>
      <c r="D2711" s="9">
        <v>6059.59</v>
      </c>
      <c r="E2711" t="s">
        <v>56</v>
      </c>
    </row>
    <row r="2712" spans="1:5">
      <c r="A2712" t="s">
        <v>31</v>
      </c>
      <c r="B2712" s="11" t="s">
        <v>64</v>
      </c>
      <c r="C2712">
        <v>2003</v>
      </c>
      <c r="D2712" s="9">
        <v>5268.24</v>
      </c>
      <c r="E2712" t="s">
        <v>57</v>
      </c>
    </row>
    <row r="2713" spans="1:5">
      <c r="A2713" t="s">
        <v>31</v>
      </c>
      <c r="B2713" s="11" t="s">
        <v>65</v>
      </c>
      <c r="C2713">
        <v>2003</v>
      </c>
      <c r="D2713" s="9">
        <v>4996.78</v>
      </c>
      <c r="E2713" t="s">
        <v>57</v>
      </c>
    </row>
    <row r="2714" spans="1:5">
      <c r="A2714" t="s">
        <v>31</v>
      </c>
      <c r="B2714" s="11" t="s">
        <v>66</v>
      </c>
      <c r="C2714">
        <v>2003</v>
      </c>
      <c r="D2714" s="9">
        <v>5975.74</v>
      </c>
      <c r="E2714" t="s">
        <v>57</v>
      </c>
    </row>
    <row r="2715" spans="1:5">
      <c r="A2715" t="s">
        <v>31</v>
      </c>
      <c r="B2715" s="11" t="s">
        <v>67</v>
      </c>
      <c r="C2715">
        <v>2003</v>
      </c>
      <c r="D2715" s="9">
        <v>3240.2</v>
      </c>
      <c r="E2715" t="s">
        <v>57</v>
      </c>
    </row>
    <row r="2716" spans="1:5">
      <c r="A2716" t="s">
        <v>31</v>
      </c>
      <c r="B2716" s="11" t="s">
        <v>76</v>
      </c>
      <c r="C2716">
        <v>2003</v>
      </c>
      <c r="D2716" s="9">
        <v>2707.93</v>
      </c>
      <c r="E2716" t="s">
        <v>57</v>
      </c>
    </row>
    <row r="2717" spans="1:5">
      <c r="A2717" t="s">
        <v>31</v>
      </c>
      <c r="B2717" s="11" t="s">
        <v>68</v>
      </c>
      <c r="C2717">
        <v>2003</v>
      </c>
      <c r="D2717" s="9">
        <v>5283.3</v>
      </c>
      <c r="E2717" t="s">
        <v>58</v>
      </c>
    </row>
    <row r="2718" spans="1:5">
      <c r="A2718" t="s">
        <v>31</v>
      </c>
      <c r="B2718" s="11" t="s">
        <v>69</v>
      </c>
      <c r="C2718">
        <v>2003</v>
      </c>
      <c r="D2718" s="9">
        <v>4214.43</v>
      </c>
      <c r="E2718" t="s">
        <v>58</v>
      </c>
    </row>
    <row r="2719" spans="1:5">
      <c r="A2719" t="s">
        <v>31</v>
      </c>
      <c r="B2719" s="11" t="s">
        <v>77</v>
      </c>
      <c r="C2719">
        <v>2003</v>
      </c>
      <c r="D2719" s="9">
        <v>4341.13</v>
      </c>
      <c r="E2719" t="s">
        <v>58</v>
      </c>
    </row>
    <row r="2720" spans="1:5">
      <c r="A2720" t="s">
        <v>31</v>
      </c>
      <c r="B2720" s="11" t="s">
        <v>70</v>
      </c>
      <c r="C2720">
        <v>2003</v>
      </c>
      <c r="D2720" s="9">
        <v>4701.38</v>
      </c>
      <c r="E2720" t="s">
        <v>59</v>
      </c>
    </row>
    <row r="2721" spans="1:5">
      <c r="A2721" t="s">
        <v>31</v>
      </c>
      <c r="B2721" s="11" t="s">
        <v>71</v>
      </c>
      <c r="C2721">
        <v>2003</v>
      </c>
      <c r="D2721" s="9">
        <v>7320.11</v>
      </c>
      <c r="E2721" t="s">
        <v>59</v>
      </c>
    </row>
    <row r="2722" spans="1:5">
      <c r="A2722" t="s">
        <v>31</v>
      </c>
      <c r="B2722" s="11" t="s">
        <v>72</v>
      </c>
      <c r="C2722">
        <v>2003</v>
      </c>
      <c r="D2722" s="9">
        <v>9212.5499999999993</v>
      </c>
      <c r="E2722" t="s">
        <v>59</v>
      </c>
    </row>
    <row r="2723" spans="1:5">
      <c r="A2723" t="s">
        <v>31</v>
      </c>
      <c r="B2723" s="11" t="s">
        <v>78</v>
      </c>
      <c r="C2723">
        <v>2003</v>
      </c>
      <c r="D2723" s="9">
        <v>4421.18</v>
      </c>
      <c r="E2723" t="s">
        <v>59</v>
      </c>
    </row>
    <row r="2724" spans="1:5">
      <c r="A2724" t="s">
        <v>31</v>
      </c>
      <c r="B2724" s="11" t="s">
        <v>73</v>
      </c>
      <c r="C2724">
        <v>2003</v>
      </c>
      <c r="D2724" s="9">
        <v>8246.69</v>
      </c>
      <c r="E2724" t="s">
        <v>60</v>
      </c>
    </row>
    <row r="2725" spans="1:5">
      <c r="A2725" t="s">
        <v>31</v>
      </c>
      <c r="B2725" s="11" t="s">
        <v>74</v>
      </c>
      <c r="C2725">
        <v>2003</v>
      </c>
      <c r="D2725" s="9">
        <v>7387.85</v>
      </c>
      <c r="E2725" t="s">
        <v>60</v>
      </c>
    </row>
    <row r="2726" spans="1:5">
      <c r="A2726" t="s">
        <v>32</v>
      </c>
      <c r="B2726" s="11" t="s">
        <v>61</v>
      </c>
      <c r="C2726">
        <v>2003</v>
      </c>
      <c r="D2726" s="9">
        <v>4656.6400000000003</v>
      </c>
      <c r="E2726" t="s">
        <v>56</v>
      </c>
    </row>
    <row r="2727" spans="1:5">
      <c r="A2727" t="s">
        <v>32</v>
      </c>
      <c r="B2727" s="11" t="s">
        <v>62</v>
      </c>
      <c r="C2727">
        <v>2003</v>
      </c>
      <c r="D2727" s="9">
        <v>3071.19</v>
      </c>
      <c r="E2727" t="s">
        <v>56</v>
      </c>
    </row>
    <row r="2728" spans="1:5">
      <c r="A2728" t="s">
        <v>32</v>
      </c>
      <c r="B2728" s="11" t="s">
        <v>63</v>
      </c>
      <c r="C2728">
        <v>2003</v>
      </c>
      <c r="D2728" s="9">
        <v>5360.36</v>
      </c>
      <c r="E2728" t="s">
        <v>56</v>
      </c>
    </row>
    <row r="2729" spans="1:5">
      <c r="A2729" t="s">
        <v>32</v>
      </c>
      <c r="B2729" s="11" t="s">
        <v>75</v>
      </c>
      <c r="C2729">
        <v>2003</v>
      </c>
      <c r="D2729" s="9">
        <v>6774.82</v>
      </c>
      <c r="E2729" t="s">
        <v>56</v>
      </c>
    </row>
    <row r="2730" spans="1:5">
      <c r="A2730" t="s">
        <v>32</v>
      </c>
      <c r="B2730" s="11" t="s">
        <v>64</v>
      </c>
      <c r="C2730">
        <v>2003</v>
      </c>
      <c r="D2730" s="9">
        <v>5368.6</v>
      </c>
      <c r="E2730" t="s">
        <v>57</v>
      </c>
    </row>
    <row r="2731" spans="1:5">
      <c r="A2731" t="s">
        <v>32</v>
      </c>
      <c r="B2731" s="11" t="s">
        <v>65</v>
      </c>
      <c r="C2731">
        <v>2003</v>
      </c>
      <c r="D2731" s="9">
        <v>3607.51</v>
      </c>
      <c r="E2731" t="s">
        <v>57</v>
      </c>
    </row>
    <row r="2732" spans="1:5">
      <c r="A2732" t="s">
        <v>32</v>
      </c>
      <c r="B2732" s="11" t="s">
        <v>66</v>
      </c>
      <c r="C2732">
        <v>2003</v>
      </c>
      <c r="D2732" s="9">
        <v>9112.7099999999991</v>
      </c>
      <c r="E2732" t="s">
        <v>57</v>
      </c>
    </row>
    <row r="2733" spans="1:5">
      <c r="A2733" t="s">
        <v>32</v>
      </c>
      <c r="B2733" s="11" t="s">
        <v>67</v>
      </c>
      <c r="C2733">
        <v>2003</v>
      </c>
      <c r="D2733" s="9">
        <v>3069.83</v>
      </c>
      <c r="E2733" t="s">
        <v>57</v>
      </c>
    </row>
    <row r="2734" spans="1:5">
      <c r="A2734" t="s">
        <v>32</v>
      </c>
      <c r="B2734" s="11" t="s">
        <v>76</v>
      </c>
      <c r="C2734">
        <v>2003</v>
      </c>
      <c r="D2734" s="9">
        <v>3195.57</v>
      </c>
      <c r="E2734" t="s">
        <v>57</v>
      </c>
    </row>
    <row r="2735" spans="1:5">
      <c r="A2735" t="s">
        <v>32</v>
      </c>
      <c r="B2735" s="11" t="s">
        <v>68</v>
      </c>
      <c r="C2735">
        <v>2003</v>
      </c>
      <c r="D2735" s="9">
        <v>4953.0200000000004</v>
      </c>
      <c r="E2735" t="s">
        <v>58</v>
      </c>
    </row>
    <row r="2736" spans="1:5">
      <c r="A2736" t="s">
        <v>32</v>
      </c>
      <c r="B2736" s="11" t="s">
        <v>69</v>
      </c>
      <c r="C2736">
        <v>2003</v>
      </c>
      <c r="D2736" s="9">
        <v>5459.3</v>
      </c>
      <c r="E2736" t="s">
        <v>58</v>
      </c>
    </row>
    <row r="2737" spans="1:5">
      <c r="A2737" t="s">
        <v>32</v>
      </c>
      <c r="B2737" s="11" t="s">
        <v>77</v>
      </c>
      <c r="C2737">
        <v>2003</v>
      </c>
      <c r="D2737" s="9">
        <v>3885.31</v>
      </c>
      <c r="E2737" t="s">
        <v>58</v>
      </c>
    </row>
    <row r="2738" spans="1:5">
      <c r="A2738" t="s">
        <v>32</v>
      </c>
      <c r="B2738" s="11" t="s">
        <v>70</v>
      </c>
      <c r="C2738">
        <v>2003</v>
      </c>
      <c r="D2738" s="9">
        <v>4253.63</v>
      </c>
      <c r="E2738" t="s">
        <v>59</v>
      </c>
    </row>
    <row r="2739" spans="1:5">
      <c r="A2739" t="s">
        <v>32</v>
      </c>
      <c r="B2739" s="11" t="s">
        <v>71</v>
      </c>
      <c r="C2739">
        <v>2003</v>
      </c>
      <c r="D2739" s="9">
        <v>7291.79</v>
      </c>
      <c r="E2739" t="s">
        <v>59</v>
      </c>
    </row>
    <row r="2740" spans="1:5">
      <c r="A2740" t="s">
        <v>32</v>
      </c>
      <c r="B2740" s="11" t="s">
        <v>72</v>
      </c>
      <c r="C2740">
        <v>2003</v>
      </c>
      <c r="D2740" s="9">
        <v>9429.07</v>
      </c>
      <c r="E2740" t="s">
        <v>59</v>
      </c>
    </row>
    <row r="2741" spans="1:5">
      <c r="A2741" t="s">
        <v>32</v>
      </c>
      <c r="B2741" s="11" t="s">
        <v>78</v>
      </c>
      <c r="C2741">
        <v>2003</v>
      </c>
      <c r="D2741" s="9">
        <v>5019.54</v>
      </c>
      <c r="E2741" t="s">
        <v>59</v>
      </c>
    </row>
    <row r="2742" spans="1:5">
      <c r="A2742" t="s">
        <v>32</v>
      </c>
      <c r="B2742" s="11" t="s">
        <v>73</v>
      </c>
      <c r="C2742">
        <v>2003</v>
      </c>
      <c r="D2742" s="9">
        <v>6466.15</v>
      </c>
      <c r="E2742" t="s">
        <v>60</v>
      </c>
    </row>
    <row r="2743" spans="1:5">
      <c r="A2743" t="s">
        <v>32</v>
      </c>
      <c r="B2743" s="11" t="s">
        <v>74</v>
      </c>
      <c r="C2743">
        <v>2003</v>
      </c>
      <c r="D2743" s="9">
        <v>3853.94</v>
      </c>
      <c r="E2743" t="s">
        <v>60</v>
      </c>
    </row>
    <row r="2744" spans="1:5">
      <c r="A2744" t="s">
        <v>33</v>
      </c>
      <c r="B2744" s="11" t="s">
        <v>61</v>
      </c>
      <c r="C2744">
        <v>2003</v>
      </c>
      <c r="D2744" s="9">
        <v>7637.62</v>
      </c>
      <c r="E2744" t="s">
        <v>56</v>
      </c>
    </row>
    <row r="2745" spans="1:5">
      <c r="A2745" t="s">
        <v>33</v>
      </c>
      <c r="B2745" s="11" t="s">
        <v>62</v>
      </c>
      <c r="C2745">
        <v>2003</v>
      </c>
      <c r="D2745" s="9">
        <v>4631.2</v>
      </c>
      <c r="E2745" t="s">
        <v>56</v>
      </c>
    </row>
    <row r="2746" spans="1:5">
      <c r="A2746" t="s">
        <v>33</v>
      </c>
      <c r="B2746" s="11" t="s">
        <v>63</v>
      </c>
      <c r="C2746">
        <v>2003</v>
      </c>
      <c r="D2746" s="9">
        <v>8493.6</v>
      </c>
      <c r="E2746" t="s">
        <v>56</v>
      </c>
    </row>
    <row r="2747" spans="1:5">
      <c r="A2747" t="s">
        <v>33</v>
      </c>
      <c r="B2747" s="11" t="s">
        <v>75</v>
      </c>
      <c r="C2747">
        <v>2003</v>
      </c>
      <c r="D2747" s="9">
        <v>6879.08</v>
      </c>
      <c r="E2747" t="s">
        <v>56</v>
      </c>
    </row>
    <row r="2748" spans="1:5">
      <c r="A2748" t="s">
        <v>33</v>
      </c>
      <c r="B2748" s="11" t="s">
        <v>64</v>
      </c>
      <c r="C2748">
        <v>2003</v>
      </c>
      <c r="D2748" s="9">
        <v>5837.99</v>
      </c>
      <c r="E2748" t="s">
        <v>57</v>
      </c>
    </row>
    <row r="2749" spans="1:5">
      <c r="A2749" t="s">
        <v>33</v>
      </c>
      <c r="B2749" s="11" t="s">
        <v>65</v>
      </c>
      <c r="C2749">
        <v>2003</v>
      </c>
      <c r="D2749" s="9">
        <v>5513.14</v>
      </c>
      <c r="E2749" t="s">
        <v>57</v>
      </c>
    </row>
    <row r="2750" spans="1:5">
      <c r="A2750" t="s">
        <v>33</v>
      </c>
      <c r="B2750" s="11" t="s">
        <v>66</v>
      </c>
      <c r="C2750">
        <v>2003</v>
      </c>
      <c r="D2750" s="9">
        <v>12522.04</v>
      </c>
      <c r="E2750" t="s">
        <v>57</v>
      </c>
    </row>
    <row r="2751" spans="1:5">
      <c r="A2751" t="s">
        <v>33</v>
      </c>
      <c r="B2751" s="11" t="s">
        <v>67</v>
      </c>
      <c r="C2751">
        <v>2003</v>
      </c>
      <c r="D2751" s="9">
        <v>5812.52</v>
      </c>
      <c r="E2751" t="s">
        <v>57</v>
      </c>
    </row>
    <row r="2752" spans="1:5">
      <c r="A2752" t="s">
        <v>33</v>
      </c>
      <c r="B2752" s="11" t="s">
        <v>76</v>
      </c>
      <c r="C2752">
        <v>2003</v>
      </c>
      <c r="D2752" s="9">
        <v>3524.87</v>
      </c>
      <c r="E2752" t="s">
        <v>57</v>
      </c>
    </row>
    <row r="2753" spans="1:5">
      <c r="A2753" t="s">
        <v>33</v>
      </c>
      <c r="B2753" s="11" t="s">
        <v>68</v>
      </c>
      <c r="C2753">
        <v>2003</v>
      </c>
      <c r="D2753" s="9">
        <v>6502.94</v>
      </c>
      <c r="E2753" t="s">
        <v>58</v>
      </c>
    </row>
    <row r="2754" spans="1:5">
      <c r="A2754" t="s">
        <v>33</v>
      </c>
      <c r="B2754" s="11" t="s">
        <v>69</v>
      </c>
      <c r="C2754">
        <v>2003</v>
      </c>
      <c r="D2754" s="9">
        <v>5216.3500000000004</v>
      </c>
      <c r="E2754" t="s">
        <v>58</v>
      </c>
    </row>
    <row r="2755" spans="1:5">
      <c r="A2755" t="s">
        <v>33</v>
      </c>
      <c r="B2755" s="11" t="s">
        <v>77</v>
      </c>
      <c r="C2755">
        <v>2003</v>
      </c>
      <c r="D2755" s="9">
        <v>8204.67</v>
      </c>
      <c r="E2755" t="s">
        <v>58</v>
      </c>
    </row>
    <row r="2756" spans="1:5">
      <c r="A2756" t="s">
        <v>33</v>
      </c>
      <c r="B2756" s="11" t="s">
        <v>70</v>
      </c>
      <c r="C2756">
        <v>2003</v>
      </c>
      <c r="D2756" s="9">
        <v>5489.23</v>
      </c>
      <c r="E2756" t="s">
        <v>59</v>
      </c>
    </row>
    <row r="2757" spans="1:5">
      <c r="A2757" t="s">
        <v>33</v>
      </c>
      <c r="B2757" s="11" t="s">
        <v>71</v>
      </c>
      <c r="C2757">
        <v>2003</v>
      </c>
      <c r="D2757" s="9">
        <v>6022.95</v>
      </c>
      <c r="E2757" t="s">
        <v>59</v>
      </c>
    </row>
    <row r="2758" spans="1:5">
      <c r="A2758" t="s">
        <v>33</v>
      </c>
      <c r="B2758" s="11" t="s">
        <v>72</v>
      </c>
      <c r="C2758">
        <v>2003</v>
      </c>
      <c r="D2758" s="9">
        <v>6349.91</v>
      </c>
      <c r="E2758" t="s">
        <v>59</v>
      </c>
    </row>
    <row r="2759" spans="1:5">
      <c r="A2759" t="s">
        <v>33</v>
      </c>
      <c r="B2759" s="11" t="s">
        <v>78</v>
      </c>
      <c r="C2759">
        <v>2003</v>
      </c>
      <c r="D2759" s="9">
        <v>4780.24</v>
      </c>
      <c r="E2759" t="s">
        <v>59</v>
      </c>
    </row>
    <row r="2760" spans="1:5">
      <c r="A2760" t="s">
        <v>33</v>
      </c>
      <c r="B2760" s="11" t="s">
        <v>73</v>
      </c>
      <c r="C2760">
        <v>2003</v>
      </c>
      <c r="D2760" s="9">
        <v>8264.57</v>
      </c>
      <c r="E2760" t="s">
        <v>60</v>
      </c>
    </row>
    <row r="2761" spans="1:5">
      <c r="A2761" t="s">
        <v>33</v>
      </c>
      <c r="B2761" s="11" t="s">
        <v>74</v>
      </c>
      <c r="C2761">
        <v>2003</v>
      </c>
      <c r="D2761" s="9">
        <v>4693.6099999999997</v>
      </c>
      <c r="E2761" t="s">
        <v>60</v>
      </c>
    </row>
    <row r="2762" spans="1:5">
      <c r="A2762" t="s">
        <v>34</v>
      </c>
      <c r="B2762" s="11" t="s">
        <v>61</v>
      </c>
      <c r="C2762">
        <v>2003</v>
      </c>
      <c r="D2762" s="9">
        <v>5749.65</v>
      </c>
      <c r="E2762" t="s">
        <v>56</v>
      </c>
    </row>
    <row r="2763" spans="1:5">
      <c r="A2763" t="s">
        <v>34</v>
      </c>
      <c r="B2763" s="11" t="s">
        <v>62</v>
      </c>
      <c r="C2763">
        <v>2003</v>
      </c>
      <c r="D2763" s="9">
        <v>6294.59</v>
      </c>
      <c r="E2763" t="s">
        <v>56</v>
      </c>
    </row>
    <row r="2764" spans="1:5">
      <c r="A2764" t="s">
        <v>34</v>
      </c>
      <c r="B2764" s="11" t="s">
        <v>63</v>
      </c>
      <c r="C2764">
        <v>2003</v>
      </c>
      <c r="D2764" s="9">
        <v>6551.73</v>
      </c>
      <c r="E2764" t="s">
        <v>56</v>
      </c>
    </row>
    <row r="2765" spans="1:5">
      <c r="A2765" t="s">
        <v>34</v>
      </c>
      <c r="B2765" s="11" t="s">
        <v>64</v>
      </c>
      <c r="C2765">
        <v>2003</v>
      </c>
      <c r="D2765" s="9">
        <v>6562.9</v>
      </c>
      <c r="E2765" t="s">
        <v>57</v>
      </c>
    </row>
    <row r="2766" spans="1:5">
      <c r="A2766" t="s">
        <v>34</v>
      </c>
      <c r="B2766" s="11" t="s">
        <v>65</v>
      </c>
      <c r="C2766">
        <v>2003</v>
      </c>
      <c r="D2766" s="9">
        <v>5272.5</v>
      </c>
      <c r="E2766" t="s">
        <v>57</v>
      </c>
    </row>
    <row r="2767" spans="1:5">
      <c r="A2767" t="s">
        <v>34</v>
      </c>
      <c r="B2767" s="11" t="s">
        <v>66</v>
      </c>
      <c r="C2767">
        <v>2003</v>
      </c>
      <c r="D2767" s="9">
        <v>11479.31</v>
      </c>
      <c r="E2767" t="s">
        <v>57</v>
      </c>
    </row>
    <row r="2768" spans="1:5">
      <c r="A2768" t="s">
        <v>34</v>
      </c>
      <c r="B2768" s="11" t="s">
        <v>67</v>
      </c>
      <c r="C2768">
        <v>2003</v>
      </c>
      <c r="D2768" s="9">
        <v>3623.8</v>
      </c>
      <c r="E2768" t="s">
        <v>57</v>
      </c>
    </row>
    <row r="2769" spans="1:5">
      <c r="A2769" t="s">
        <v>34</v>
      </c>
      <c r="B2769" s="11" t="s">
        <v>76</v>
      </c>
      <c r="C2769">
        <v>2003</v>
      </c>
      <c r="D2769" s="9">
        <v>3664.18</v>
      </c>
      <c r="E2769" t="s">
        <v>57</v>
      </c>
    </row>
    <row r="2770" spans="1:5">
      <c r="A2770" t="s">
        <v>34</v>
      </c>
      <c r="B2770" s="11" t="s">
        <v>68</v>
      </c>
      <c r="C2770">
        <v>2003</v>
      </c>
      <c r="D2770" s="9">
        <v>5991.13</v>
      </c>
      <c r="E2770" t="s">
        <v>58</v>
      </c>
    </row>
    <row r="2771" spans="1:5">
      <c r="A2771" t="s">
        <v>34</v>
      </c>
      <c r="B2771" s="11" t="s">
        <v>69</v>
      </c>
      <c r="C2771">
        <v>2003</v>
      </c>
      <c r="D2771" s="9">
        <v>4692.8100000000004</v>
      </c>
      <c r="E2771" t="s">
        <v>58</v>
      </c>
    </row>
    <row r="2772" spans="1:5">
      <c r="A2772" t="s">
        <v>34</v>
      </c>
      <c r="B2772" s="11" t="s">
        <v>77</v>
      </c>
      <c r="C2772">
        <v>2003</v>
      </c>
      <c r="D2772" s="9">
        <v>6079.49</v>
      </c>
      <c r="E2772" t="s">
        <v>58</v>
      </c>
    </row>
    <row r="2773" spans="1:5">
      <c r="A2773" t="s">
        <v>34</v>
      </c>
      <c r="B2773" s="11" t="s">
        <v>70</v>
      </c>
      <c r="C2773">
        <v>2003</v>
      </c>
      <c r="D2773" s="9">
        <v>6567.83</v>
      </c>
      <c r="E2773" t="s">
        <v>59</v>
      </c>
    </row>
    <row r="2774" spans="1:5">
      <c r="A2774" t="s">
        <v>34</v>
      </c>
      <c r="B2774" s="11" t="s">
        <v>71</v>
      </c>
      <c r="C2774">
        <v>2003</v>
      </c>
      <c r="D2774" s="9">
        <v>6012.01</v>
      </c>
      <c r="E2774" t="s">
        <v>59</v>
      </c>
    </row>
    <row r="2775" spans="1:5">
      <c r="A2775" t="s">
        <v>34</v>
      </c>
      <c r="B2775" s="11" t="s">
        <v>72</v>
      </c>
      <c r="C2775">
        <v>2003</v>
      </c>
      <c r="D2775" s="9">
        <v>9414.5300000000007</v>
      </c>
      <c r="E2775" t="s">
        <v>59</v>
      </c>
    </row>
    <row r="2776" spans="1:5">
      <c r="A2776" t="s">
        <v>34</v>
      </c>
      <c r="B2776" s="11" t="s">
        <v>78</v>
      </c>
      <c r="C2776">
        <v>2003</v>
      </c>
      <c r="D2776" s="9">
        <v>6429.68</v>
      </c>
      <c r="E2776" t="s">
        <v>59</v>
      </c>
    </row>
    <row r="2777" spans="1:5">
      <c r="A2777" t="s">
        <v>34</v>
      </c>
      <c r="B2777" s="11" t="s">
        <v>73</v>
      </c>
      <c r="C2777">
        <v>2003</v>
      </c>
      <c r="D2777" s="9">
        <v>6497.49</v>
      </c>
      <c r="E2777" t="s">
        <v>60</v>
      </c>
    </row>
    <row r="2778" spans="1:5">
      <c r="A2778" t="s">
        <v>34</v>
      </c>
      <c r="B2778" s="11" t="s">
        <v>74</v>
      </c>
      <c r="C2778">
        <v>2003</v>
      </c>
      <c r="D2778" s="9">
        <v>6356.24</v>
      </c>
      <c r="E2778" t="s">
        <v>60</v>
      </c>
    </row>
    <row r="2779" spans="1:5">
      <c r="A2779" t="s">
        <v>35</v>
      </c>
      <c r="B2779" s="11" t="s">
        <v>61</v>
      </c>
      <c r="C2779">
        <v>2003</v>
      </c>
      <c r="D2779" s="9">
        <v>6797.32</v>
      </c>
      <c r="E2779" t="s">
        <v>56</v>
      </c>
    </row>
    <row r="2780" spans="1:5">
      <c r="A2780" t="s">
        <v>35</v>
      </c>
      <c r="B2780" s="11" t="s">
        <v>62</v>
      </c>
      <c r="C2780">
        <v>2003</v>
      </c>
      <c r="D2780" s="9">
        <v>4625.3100000000004</v>
      </c>
      <c r="E2780" t="s">
        <v>56</v>
      </c>
    </row>
    <row r="2781" spans="1:5">
      <c r="A2781" t="s">
        <v>35</v>
      </c>
      <c r="B2781" s="11" t="s">
        <v>63</v>
      </c>
      <c r="C2781">
        <v>2003</v>
      </c>
      <c r="D2781" s="9">
        <v>6710.24</v>
      </c>
      <c r="E2781" t="s">
        <v>56</v>
      </c>
    </row>
    <row r="2782" spans="1:5">
      <c r="A2782" t="s">
        <v>35</v>
      </c>
      <c r="B2782" s="11" t="s">
        <v>75</v>
      </c>
      <c r="C2782">
        <v>2003</v>
      </c>
      <c r="D2782" s="9">
        <v>6219.52</v>
      </c>
      <c r="E2782" t="s">
        <v>56</v>
      </c>
    </row>
    <row r="2783" spans="1:5">
      <c r="A2783" t="s">
        <v>35</v>
      </c>
      <c r="B2783" s="11" t="s">
        <v>64</v>
      </c>
      <c r="C2783">
        <v>2003</v>
      </c>
      <c r="D2783" s="9">
        <v>6827.17</v>
      </c>
      <c r="E2783" t="s">
        <v>57</v>
      </c>
    </row>
    <row r="2784" spans="1:5">
      <c r="A2784" t="s">
        <v>35</v>
      </c>
      <c r="B2784" s="11" t="s">
        <v>65</v>
      </c>
      <c r="C2784">
        <v>2003</v>
      </c>
      <c r="D2784" s="9">
        <v>5409.48</v>
      </c>
      <c r="E2784" t="s">
        <v>57</v>
      </c>
    </row>
    <row r="2785" spans="1:5">
      <c r="A2785" t="s">
        <v>35</v>
      </c>
      <c r="B2785" s="11" t="s">
        <v>66</v>
      </c>
      <c r="C2785">
        <v>2003</v>
      </c>
      <c r="D2785" s="9">
        <v>12094.65</v>
      </c>
      <c r="E2785" t="s">
        <v>57</v>
      </c>
    </row>
    <row r="2786" spans="1:5">
      <c r="A2786" t="s">
        <v>35</v>
      </c>
      <c r="B2786" s="11" t="s">
        <v>67</v>
      </c>
      <c r="C2786">
        <v>2003</v>
      </c>
      <c r="D2786" s="9">
        <v>4823.67</v>
      </c>
      <c r="E2786" t="s">
        <v>57</v>
      </c>
    </row>
    <row r="2787" spans="1:5">
      <c r="A2787" t="s">
        <v>35</v>
      </c>
      <c r="B2787" s="11" t="s">
        <v>76</v>
      </c>
      <c r="C2787">
        <v>2003</v>
      </c>
      <c r="D2787" s="9">
        <v>2647.96</v>
      </c>
      <c r="E2787" t="s">
        <v>57</v>
      </c>
    </row>
    <row r="2788" spans="1:5">
      <c r="A2788" t="s">
        <v>35</v>
      </c>
      <c r="B2788" s="11" t="s">
        <v>68</v>
      </c>
      <c r="C2788">
        <v>2003</v>
      </c>
      <c r="D2788" s="9">
        <v>4417.8500000000004</v>
      </c>
      <c r="E2788" t="s">
        <v>58</v>
      </c>
    </row>
    <row r="2789" spans="1:5">
      <c r="A2789" t="s">
        <v>35</v>
      </c>
      <c r="B2789" s="11" t="s">
        <v>69</v>
      </c>
      <c r="C2789">
        <v>2003</v>
      </c>
      <c r="D2789" s="9">
        <v>3707.25</v>
      </c>
      <c r="E2789" t="s">
        <v>58</v>
      </c>
    </row>
    <row r="2790" spans="1:5">
      <c r="A2790" t="s">
        <v>35</v>
      </c>
      <c r="B2790" s="11" t="s">
        <v>77</v>
      </c>
      <c r="C2790">
        <v>2003</v>
      </c>
      <c r="D2790" s="9">
        <v>7340.13</v>
      </c>
      <c r="E2790" t="s">
        <v>58</v>
      </c>
    </row>
    <row r="2791" spans="1:5">
      <c r="A2791" t="s">
        <v>35</v>
      </c>
      <c r="B2791" s="11" t="s">
        <v>70</v>
      </c>
      <c r="C2791">
        <v>2003</v>
      </c>
      <c r="D2791" s="9">
        <v>5788.77</v>
      </c>
      <c r="E2791" t="s">
        <v>59</v>
      </c>
    </row>
    <row r="2792" spans="1:5">
      <c r="A2792" t="s">
        <v>35</v>
      </c>
      <c r="B2792" s="11" t="s">
        <v>71</v>
      </c>
      <c r="C2792">
        <v>2003</v>
      </c>
      <c r="D2792" s="9">
        <v>7725.05</v>
      </c>
      <c r="E2792" t="s">
        <v>59</v>
      </c>
    </row>
    <row r="2793" spans="1:5">
      <c r="A2793" t="s">
        <v>35</v>
      </c>
      <c r="B2793" s="11" t="s">
        <v>72</v>
      </c>
      <c r="C2793">
        <v>2003</v>
      </c>
      <c r="D2793" s="9">
        <v>9446.02</v>
      </c>
      <c r="E2793" t="s">
        <v>59</v>
      </c>
    </row>
    <row r="2794" spans="1:5">
      <c r="A2794" t="s">
        <v>35</v>
      </c>
      <c r="B2794" s="11" t="s">
        <v>78</v>
      </c>
      <c r="C2794">
        <v>2003</v>
      </c>
      <c r="D2794" s="9">
        <v>5463.95</v>
      </c>
      <c r="E2794" t="s">
        <v>59</v>
      </c>
    </row>
    <row r="2795" spans="1:5">
      <c r="A2795" t="s">
        <v>35</v>
      </c>
      <c r="B2795" s="11" t="s">
        <v>73</v>
      </c>
      <c r="C2795">
        <v>2003</v>
      </c>
      <c r="D2795" s="9">
        <v>7416.13</v>
      </c>
      <c r="E2795" t="s">
        <v>60</v>
      </c>
    </row>
    <row r="2796" spans="1:5">
      <c r="A2796" t="s">
        <v>35</v>
      </c>
      <c r="B2796" s="11" t="s">
        <v>74</v>
      </c>
      <c r="C2796">
        <v>2003</v>
      </c>
      <c r="D2796" s="9">
        <v>5762.65</v>
      </c>
      <c r="E2796" t="s">
        <v>60</v>
      </c>
    </row>
    <row r="2797" spans="1:5">
      <c r="A2797" t="s">
        <v>36</v>
      </c>
      <c r="B2797" s="11" t="s">
        <v>61</v>
      </c>
      <c r="C2797">
        <v>2003</v>
      </c>
      <c r="D2797" s="9">
        <v>5250.86</v>
      </c>
      <c r="E2797" t="s">
        <v>56</v>
      </c>
    </row>
    <row r="2798" spans="1:5">
      <c r="A2798" t="s">
        <v>36</v>
      </c>
      <c r="B2798" s="11" t="s">
        <v>62</v>
      </c>
      <c r="C2798">
        <v>2003</v>
      </c>
      <c r="D2798" s="9">
        <v>3237.73</v>
      </c>
      <c r="E2798" t="s">
        <v>56</v>
      </c>
    </row>
    <row r="2799" spans="1:5">
      <c r="A2799" t="s">
        <v>36</v>
      </c>
      <c r="B2799" s="11" t="s">
        <v>63</v>
      </c>
      <c r="C2799">
        <v>2003</v>
      </c>
      <c r="D2799" s="9">
        <v>4738.6899999999996</v>
      </c>
      <c r="E2799" t="s">
        <v>56</v>
      </c>
    </row>
    <row r="2800" spans="1:5">
      <c r="A2800" t="s">
        <v>36</v>
      </c>
      <c r="B2800" s="11" t="s">
        <v>75</v>
      </c>
      <c r="C2800">
        <v>2003</v>
      </c>
      <c r="D2800" s="9">
        <v>6565.56</v>
      </c>
      <c r="E2800" t="s">
        <v>56</v>
      </c>
    </row>
    <row r="2801" spans="1:5">
      <c r="A2801" t="s">
        <v>36</v>
      </c>
      <c r="B2801" s="11" t="s">
        <v>64</v>
      </c>
      <c r="C2801">
        <v>2003</v>
      </c>
      <c r="D2801" s="9">
        <v>5487.44</v>
      </c>
      <c r="E2801" t="s">
        <v>57</v>
      </c>
    </row>
    <row r="2802" spans="1:5">
      <c r="A2802" t="s">
        <v>36</v>
      </c>
      <c r="B2802" s="11" t="s">
        <v>65</v>
      </c>
      <c r="C2802">
        <v>2003</v>
      </c>
      <c r="D2802" s="9">
        <v>3035.68</v>
      </c>
      <c r="E2802" t="s">
        <v>57</v>
      </c>
    </row>
    <row r="2803" spans="1:5">
      <c r="A2803" t="s">
        <v>36</v>
      </c>
      <c r="B2803" s="11" t="s">
        <v>66</v>
      </c>
      <c r="C2803">
        <v>2003</v>
      </c>
      <c r="D2803" s="9">
        <v>9172.19</v>
      </c>
      <c r="E2803" t="s">
        <v>57</v>
      </c>
    </row>
    <row r="2804" spans="1:5">
      <c r="A2804" t="s">
        <v>36</v>
      </c>
      <c r="B2804" s="11" t="s">
        <v>67</v>
      </c>
      <c r="C2804">
        <v>2003</v>
      </c>
      <c r="D2804" s="9">
        <v>4565.07</v>
      </c>
      <c r="E2804" t="s">
        <v>57</v>
      </c>
    </row>
    <row r="2805" spans="1:5">
      <c r="A2805" t="s">
        <v>36</v>
      </c>
      <c r="B2805" s="11" t="s">
        <v>76</v>
      </c>
      <c r="C2805">
        <v>2003</v>
      </c>
      <c r="D2805" s="9">
        <v>3075.32</v>
      </c>
      <c r="E2805" t="s">
        <v>57</v>
      </c>
    </row>
    <row r="2806" spans="1:5">
      <c r="A2806" t="s">
        <v>36</v>
      </c>
      <c r="B2806" s="11" t="s">
        <v>68</v>
      </c>
      <c r="C2806">
        <v>2003</v>
      </c>
      <c r="D2806" s="9">
        <v>5247.85</v>
      </c>
      <c r="E2806" t="s">
        <v>58</v>
      </c>
    </row>
    <row r="2807" spans="1:5">
      <c r="A2807" t="s">
        <v>36</v>
      </c>
      <c r="B2807" s="11" t="s">
        <v>69</v>
      </c>
      <c r="C2807">
        <v>2003</v>
      </c>
      <c r="D2807" s="9">
        <v>3491.69</v>
      </c>
      <c r="E2807" t="s">
        <v>58</v>
      </c>
    </row>
    <row r="2808" spans="1:5">
      <c r="A2808" t="s">
        <v>36</v>
      </c>
      <c r="B2808" s="11" t="s">
        <v>77</v>
      </c>
      <c r="C2808">
        <v>2003</v>
      </c>
      <c r="D2808" s="9">
        <v>6649.71</v>
      </c>
      <c r="E2808" t="s">
        <v>58</v>
      </c>
    </row>
    <row r="2809" spans="1:5">
      <c r="A2809" t="s">
        <v>36</v>
      </c>
      <c r="B2809" s="11" t="s">
        <v>70</v>
      </c>
      <c r="C2809">
        <v>2003</v>
      </c>
      <c r="D2809" s="9">
        <v>4475.6000000000004</v>
      </c>
      <c r="E2809" t="s">
        <v>59</v>
      </c>
    </row>
    <row r="2810" spans="1:5">
      <c r="A2810" t="s">
        <v>36</v>
      </c>
      <c r="B2810" s="11" t="s">
        <v>71</v>
      </c>
      <c r="C2810">
        <v>2003</v>
      </c>
      <c r="D2810" s="9">
        <v>7931.49</v>
      </c>
      <c r="E2810" t="s">
        <v>59</v>
      </c>
    </row>
    <row r="2811" spans="1:5">
      <c r="A2811" t="s">
        <v>36</v>
      </c>
      <c r="B2811" s="11" t="s">
        <v>72</v>
      </c>
      <c r="C2811">
        <v>2003</v>
      </c>
      <c r="D2811" s="9">
        <v>7815.34</v>
      </c>
      <c r="E2811" t="s">
        <v>59</v>
      </c>
    </row>
    <row r="2812" spans="1:5">
      <c r="A2812" t="s">
        <v>36</v>
      </c>
      <c r="B2812" s="11" t="s">
        <v>78</v>
      </c>
      <c r="C2812">
        <v>2003</v>
      </c>
      <c r="D2812" s="9">
        <v>3863.41</v>
      </c>
      <c r="E2812" t="s">
        <v>59</v>
      </c>
    </row>
    <row r="2813" spans="1:5">
      <c r="A2813" t="s">
        <v>36</v>
      </c>
      <c r="B2813" s="11" t="s">
        <v>73</v>
      </c>
      <c r="C2813">
        <v>2003</v>
      </c>
      <c r="D2813" s="9">
        <v>7151.67</v>
      </c>
      <c r="E2813" t="s">
        <v>60</v>
      </c>
    </row>
    <row r="2814" spans="1:5">
      <c r="A2814" t="s">
        <v>36</v>
      </c>
      <c r="B2814" s="11" t="s">
        <v>74</v>
      </c>
      <c r="C2814">
        <v>2003</v>
      </c>
      <c r="D2814" s="9">
        <v>6266.41</v>
      </c>
      <c r="E2814" t="s">
        <v>60</v>
      </c>
    </row>
    <row r="2815" spans="1:5">
      <c r="A2815" t="s">
        <v>37</v>
      </c>
      <c r="B2815" s="11" t="s">
        <v>61</v>
      </c>
      <c r="C2815">
        <v>2003</v>
      </c>
      <c r="D2815" s="9">
        <v>5652.68</v>
      </c>
      <c r="E2815" t="s">
        <v>56</v>
      </c>
    </row>
    <row r="2816" spans="1:5">
      <c r="A2816" t="s">
        <v>37</v>
      </c>
      <c r="B2816" s="11" t="s">
        <v>62</v>
      </c>
      <c r="C2816">
        <v>2003</v>
      </c>
      <c r="D2816" s="9">
        <v>3293.83</v>
      </c>
      <c r="E2816" t="s">
        <v>56</v>
      </c>
    </row>
    <row r="2817" spans="1:5">
      <c r="A2817" t="s">
        <v>37</v>
      </c>
      <c r="B2817" s="11" t="s">
        <v>63</v>
      </c>
      <c r="C2817">
        <v>2003</v>
      </c>
      <c r="D2817" s="9">
        <v>5742.08</v>
      </c>
      <c r="E2817" t="s">
        <v>56</v>
      </c>
    </row>
    <row r="2818" spans="1:5">
      <c r="A2818" t="s">
        <v>37</v>
      </c>
      <c r="B2818" s="11" t="s">
        <v>75</v>
      </c>
      <c r="C2818">
        <v>2003</v>
      </c>
      <c r="D2818" s="9">
        <v>6554.64</v>
      </c>
      <c r="E2818" t="s">
        <v>56</v>
      </c>
    </row>
    <row r="2819" spans="1:5">
      <c r="A2819" t="s">
        <v>37</v>
      </c>
      <c r="B2819" s="11" t="s">
        <v>64</v>
      </c>
      <c r="C2819">
        <v>2003</v>
      </c>
      <c r="D2819" s="9">
        <v>5159.1099999999997</v>
      </c>
      <c r="E2819" t="s">
        <v>57</v>
      </c>
    </row>
    <row r="2820" spans="1:5">
      <c r="A2820" t="s">
        <v>37</v>
      </c>
      <c r="B2820" s="11" t="s">
        <v>65</v>
      </c>
      <c r="C2820">
        <v>2003</v>
      </c>
      <c r="D2820" s="9">
        <v>3548.85</v>
      </c>
      <c r="E2820" t="s">
        <v>57</v>
      </c>
    </row>
    <row r="2821" spans="1:5">
      <c r="A2821" t="s">
        <v>37</v>
      </c>
      <c r="B2821" s="11" t="s">
        <v>66</v>
      </c>
      <c r="C2821">
        <v>2003</v>
      </c>
      <c r="D2821" s="9">
        <v>10142.39</v>
      </c>
      <c r="E2821" t="s">
        <v>57</v>
      </c>
    </row>
    <row r="2822" spans="1:5">
      <c r="A2822" t="s">
        <v>37</v>
      </c>
      <c r="B2822" s="11" t="s">
        <v>67</v>
      </c>
      <c r="C2822">
        <v>2003</v>
      </c>
      <c r="D2822" s="9">
        <v>4478.24</v>
      </c>
      <c r="E2822" t="s">
        <v>57</v>
      </c>
    </row>
    <row r="2823" spans="1:5">
      <c r="A2823" t="s">
        <v>37</v>
      </c>
      <c r="B2823" s="11" t="s">
        <v>76</v>
      </c>
      <c r="C2823">
        <v>2003</v>
      </c>
      <c r="D2823" s="9">
        <v>2571.7399999999998</v>
      </c>
      <c r="E2823" t="s">
        <v>57</v>
      </c>
    </row>
    <row r="2824" spans="1:5">
      <c r="A2824" t="s">
        <v>37</v>
      </c>
      <c r="B2824" s="11" t="s">
        <v>68</v>
      </c>
      <c r="C2824">
        <v>2003</v>
      </c>
      <c r="D2824" s="9">
        <v>5071.5200000000004</v>
      </c>
      <c r="E2824" t="s">
        <v>58</v>
      </c>
    </row>
    <row r="2825" spans="1:5">
      <c r="A2825" t="s">
        <v>37</v>
      </c>
      <c r="B2825" s="11" t="s">
        <v>69</v>
      </c>
      <c r="C2825">
        <v>2003</v>
      </c>
      <c r="D2825" s="9">
        <v>4165.1400000000003</v>
      </c>
      <c r="E2825" t="s">
        <v>58</v>
      </c>
    </row>
    <row r="2826" spans="1:5">
      <c r="A2826" t="s">
        <v>37</v>
      </c>
      <c r="B2826" s="11" t="s">
        <v>77</v>
      </c>
      <c r="C2826">
        <v>2003</v>
      </c>
      <c r="D2826" s="9">
        <v>4652.1499999999996</v>
      </c>
      <c r="E2826" t="s">
        <v>58</v>
      </c>
    </row>
    <row r="2827" spans="1:5">
      <c r="A2827" t="s">
        <v>37</v>
      </c>
      <c r="B2827" s="11" t="s">
        <v>70</v>
      </c>
      <c r="C2827">
        <v>2003</v>
      </c>
      <c r="D2827" s="9">
        <v>4701.38</v>
      </c>
      <c r="E2827" t="s">
        <v>59</v>
      </c>
    </row>
    <row r="2828" spans="1:5">
      <c r="A2828" t="s">
        <v>37</v>
      </c>
      <c r="B2828" s="11" t="s">
        <v>71</v>
      </c>
      <c r="C2828">
        <v>2003</v>
      </c>
      <c r="D2828" s="9">
        <v>9630.27</v>
      </c>
      <c r="E2828" t="s">
        <v>59</v>
      </c>
    </row>
    <row r="2829" spans="1:5">
      <c r="A2829" t="s">
        <v>37</v>
      </c>
      <c r="B2829" s="11" t="s">
        <v>72</v>
      </c>
      <c r="C2829">
        <v>2003</v>
      </c>
      <c r="D2829" s="9">
        <v>5728.09</v>
      </c>
      <c r="E2829" t="s">
        <v>59</v>
      </c>
    </row>
    <row r="2830" spans="1:5">
      <c r="A2830" t="s">
        <v>37</v>
      </c>
      <c r="B2830" s="11" t="s">
        <v>78</v>
      </c>
      <c r="C2830">
        <v>2003</v>
      </c>
      <c r="D2830" s="9">
        <v>3780.01</v>
      </c>
      <c r="E2830" t="s">
        <v>59</v>
      </c>
    </row>
    <row r="2831" spans="1:5">
      <c r="A2831" t="s">
        <v>37</v>
      </c>
      <c r="B2831" s="11" t="s">
        <v>73</v>
      </c>
      <c r="C2831">
        <v>2003</v>
      </c>
      <c r="D2831" s="9">
        <v>6058.59</v>
      </c>
      <c r="E2831" t="s">
        <v>60</v>
      </c>
    </row>
    <row r="2832" spans="1:5">
      <c r="A2832" t="s">
        <v>37</v>
      </c>
      <c r="B2832" s="11" t="s">
        <v>74</v>
      </c>
      <c r="C2832">
        <v>2003</v>
      </c>
      <c r="D2832" s="9">
        <v>5107.88</v>
      </c>
      <c r="E2832" t="s">
        <v>60</v>
      </c>
    </row>
    <row r="2833" spans="1:5">
      <c r="A2833" t="s">
        <v>38</v>
      </c>
      <c r="B2833" s="11" t="s">
        <v>61</v>
      </c>
      <c r="C2833">
        <v>2003</v>
      </c>
      <c r="D2833" s="9">
        <v>5916.67</v>
      </c>
      <c r="E2833" t="s">
        <v>56</v>
      </c>
    </row>
    <row r="2834" spans="1:5">
      <c r="A2834" t="s">
        <v>38</v>
      </c>
      <c r="B2834" s="11" t="s">
        <v>62</v>
      </c>
      <c r="C2834">
        <v>2003</v>
      </c>
      <c r="D2834" s="9">
        <v>3498.82</v>
      </c>
      <c r="E2834" t="s">
        <v>56</v>
      </c>
    </row>
    <row r="2835" spans="1:5">
      <c r="A2835" t="s">
        <v>38</v>
      </c>
      <c r="B2835" s="11" t="s">
        <v>63</v>
      </c>
      <c r="C2835">
        <v>2003</v>
      </c>
      <c r="D2835" s="9">
        <v>5688.55</v>
      </c>
      <c r="E2835" t="s">
        <v>56</v>
      </c>
    </row>
    <row r="2836" spans="1:5">
      <c r="A2836" t="s">
        <v>38</v>
      </c>
      <c r="B2836" s="11" t="s">
        <v>75</v>
      </c>
      <c r="C2836">
        <v>2003</v>
      </c>
      <c r="D2836" s="9">
        <v>6751.76</v>
      </c>
      <c r="E2836" t="s">
        <v>56</v>
      </c>
    </row>
    <row r="2837" spans="1:5">
      <c r="A2837" t="s">
        <v>38</v>
      </c>
      <c r="B2837" s="11" t="s">
        <v>64</v>
      </c>
      <c r="C2837">
        <v>2003</v>
      </c>
      <c r="D2837" s="9">
        <v>5736.94</v>
      </c>
      <c r="E2837" t="s">
        <v>57</v>
      </c>
    </row>
    <row r="2838" spans="1:5">
      <c r="A2838" t="s">
        <v>38</v>
      </c>
      <c r="B2838" s="11" t="s">
        <v>65</v>
      </c>
      <c r="C2838">
        <v>2003</v>
      </c>
      <c r="D2838" s="9">
        <v>4776.12</v>
      </c>
      <c r="E2838" t="s">
        <v>57</v>
      </c>
    </row>
    <row r="2839" spans="1:5">
      <c r="A2839" t="s">
        <v>38</v>
      </c>
      <c r="B2839" s="11" t="s">
        <v>66</v>
      </c>
      <c r="C2839">
        <v>2003</v>
      </c>
      <c r="D2839" s="9">
        <v>8464.27</v>
      </c>
      <c r="E2839" t="s">
        <v>57</v>
      </c>
    </row>
    <row r="2840" spans="1:5">
      <c r="A2840" t="s">
        <v>38</v>
      </c>
      <c r="B2840" s="11" t="s">
        <v>67</v>
      </c>
      <c r="C2840">
        <v>2003</v>
      </c>
      <c r="D2840" s="9">
        <v>4286.3999999999996</v>
      </c>
      <c r="E2840" t="s">
        <v>57</v>
      </c>
    </row>
    <row r="2841" spans="1:5">
      <c r="A2841" t="s">
        <v>38</v>
      </c>
      <c r="B2841" s="11" t="s">
        <v>76</v>
      </c>
      <c r="C2841">
        <v>2003</v>
      </c>
      <c r="D2841" s="9">
        <v>2846.62</v>
      </c>
      <c r="E2841" t="s">
        <v>57</v>
      </c>
    </row>
    <row r="2842" spans="1:5">
      <c r="A2842" t="s">
        <v>38</v>
      </c>
      <c r="B2842" s="11" t="s">
        <v>68</v>
      </c>
      <c r="C2842">
        <v>2003</v>
      </c>
      <c r="D2842" s="9">
        <v>3645.77</v>
      </c>
      <c r="E2842" t="s">
        <v>58</v>
      </c>
    </row>
    <row r="2843" spans="1:5">
      <c r="A2843" t="s">
        <v>38</v>
      </c>
      <c r="B2843" s="11" t="s">
        <v>69</v>
      </c>
      <c r="C2843">
        <v>2003</v>
      </c>
      <c r="D2843" s="9">
        <v>4147.2299999999996</v>
      </c>
      <c r="E2843" t="s">
        <v>58</v>
      </c>
    </row>
    <row r="2844" spans="1:5">
      <c r="A2844" t="s">
        <v>38</v>
      </c>
      <c r="B2844" s="11" t="s">
        <v>77</v>
      </c>
      <c r="C2844">
        <v>2003</v>
      </c>
      <c r="D2844" s="9">
        <v>4510.12</v>
      </c>
      <c r="E2844" t="s">
        <v>58</v>
      </c>
    </row>
    <row r="2845" spans="1:5">
      <c r="A2845" t="s">
        <v>38</v>
      </c>
      <c r="B2845" s="11" t="s">
        <v>70</v>
      </c>
      <c r="C2845">
        <v>2003</v>
      </c>
      <c r="D2845" s="9">
        <v>7201.72</v>
      </c>
      <c r="E2845" t="s">
        <v>59</v>
      </c>
    </row>
    <row r="2846" spans="1:5">
      <c r="A2846" t="s">
        <v>38</v>
      </c>
      <c r="B2846" s="11" t="s">
        <v>71</v>
      </c>
      <c r="C2846">
        <v>2003</v>
      </c>
      <c r="D2846" s="9">
        <v>7215.03</v>
      </c>
      <c r="E2846" t="s">
        <v>59</v>
      </c>
    </row>
    <row r="2847" spans="1:5">
      <c r="A2847" t="s">
        <v>38</v>
      </c>
      <c r="B2847" s="11" t="s">
        <v>72</v>
      </c>
      <c r="C2847">
        <v>2003</v>
      </c>
      <c r="D2847" s="9">
        <v>6706.78</v>
      </c>
      <c r="E2847" t="s">
        <v>59</v>
      </c>
    </row>
    <row r="2848" spans="1:5">
      <c r="A2848" t="s">
        <v>38</v>
      </c>
      <c r="B2848" s="11" t="s">
        <v>78</v>
      </c>
      <c r="C2848">
        <v>2003</v>
      </c>
      <c r="D2848" s="9">
        <v>4321.12</v>
      </c>
      <c r="E2848" t="s">
        <v>59</v>
      </c>
    </row>
    <row r="2849" spans="1:5">
      <c r="A2849" t="s">
        <v>38</v>
      </c>
      <c r="B2849" s="11" t="s">
        <v>73</v>
      </c>
      <c r="C2849">
        <v>2003</v>
      </c>
      <c r="D2849" s="9">
        <v>7510.05</v>
      </c>
      <c r="E2849" t="s">
        <v>60</v>
      </c>
    </row>
    <row r="2850" spans="1:5">
      <c r="A2850" t="s">
        <v>38</v>
      </c>
      <c r="B2850" s="11" t="s">
        <v>74</v>
      </c>
      <c r="C2850">
        <v>2003</v>
      </c>
      <c r="D2850" s="9">
        <v>4548.8999999999996</v>
      </c>
      <c r="E2850" t="s">
        <v>60</v>
      </c>
    </row>
    <row r="2851" spans="1:5">
      <c r="A2851" t="s">
        <v>39</v>
      </c>
      <c r="B2851" s="11" t="s">
        <v>61</v>
      </c>
      <c r="C2851">
        <v>2003</v>
      </c>
      <c r="D2851" s="9">
        <v>4145.46</v>
      </c>
      <c r="E2851" t="s">
        <v>56</v>
      </c>
    </row>
    <row r="2852" spans="1:5">
      <c r="A2852" t="s">
        <v>39</v>
      </c>
      <c r="B2852" s="11" t="s">
        <v>62</v>
      </c>
      <c r="C2852">
        <v>2003</v>
      </c>
      <c r="D2852" s="9">
        <v>2859.57</v>
      </c>
      <c r="E2852" t="s">
        <v>56</v>
      </c>
    </row>
    <row r="2853" spans="1:5">
      <c r="A2853" t="s">
        <v>39</v>
      </c>
      <c r="B2853" s="11" t="s">
        <v>63</v>
      </c>
      <c r="C2853">
        <v>2003</v>
      </c>
      <c r="D2853" s="9">
        <v>5391.21</v>
      </c>
      <c r="E2853" t="s">
        <v>56</v>
      </c>
    </row>
    <row r="2854" spans="1:5">
      <c r="A2854" t="s">
        <v>39</v>
      </c>
      <c r="B2854" s="11" t="s">
        <v>75</v>
      </c>
      <c r="C2854">
        <v>2003</v>
      </c>
      <c r="D2854" s="9">
        <v>5286.35</v>
      </c>
      <c r="E2854" t="s">
        <v>56</v>
      </c>
    </row>
    <row r="2855" spans="1:5">
      <c r="A2855" t="s">
        <v>39</v>
      </c>
      <c r="B2855" s="11" t="s">
        <v>64</v>
      </c>
      <c r="C2855">
        <v>2003</v>
      </c>
      <c r="D2855" s="9">
        <v>5869.26</v>
      </c>
      <c r="E2855" t="s">
        <v>57</v>
      </c>
    </row>
    <row r="2856" spans="1:5">
      <c r="A2856" t="s">
        <v>39</v>
      </c>
      <c r="B2856" s="11" t="s">
        <v>65</v>
      </c>
      <c r="C2856">
        <v>2003</v>
      </c>
      <c r="D2856" s="9">
        <v>5354.26</v>
      </c>
      <c r="E2856" t="s">
        <v>57</v>
      </c>
    </row>
    <row r="2857" spans="1:5">
      <c r="A2857" t="s">
        <v>39</v>
      </c>
      <c r="B2857" s="11" t="s">
        <v>66</v>
      </c>
      <c r="C2857">
        <v>2003</v>
      </c>
      <c r="D2857" s="9">
        <v>7210.92</v>
      </c>
      <c r="E2857" t="s">
        <v>57</v>
      </c>
    </row>
    <row r="2858" spans="1:5">
      <c r="A2858" t="s">
        <v>39</v>
      </c>
      <c r="B2858" s="11" t="s">
        <v>67</v>
      </c>
      <c r="C2858">
        <v>2003</v>
      </c>
      <c r="D2858" s="9">
        <v>3081.94</v>
      </c>
      <c r="E2858" t="s">
        <v>57</v>
      </c>
    </row>
    <row r="2859" spans="1:5">
      <c r="A2859" t="s">
        <v>39</v>
      </c>
      <c r="B2859" s="11" t="s">
        <v>76</v>
      </c>
      <c r="C2859">
        <v>2003</v>
      </c>
      <c r="D2859" s="9">
        <v>2739.4</v>
      </c>
      <c r="E2859" t="s">
        <v>57</v>
      </c>
    </row>
    <row r="2860" spans="1:5">
      <c r="A2860" t="s">
        <v>39</v>
      </c>
      <c r="B2860" s="11" t="s">
        <v>68</v>
      </c>
      <c r="C2860">
        <v>2003</v>
      </c>
      <c r="D2860" s="9">
        <v>5152.05</v>
      </c>
      <c r="E2860" t="s">
        <v>58</v>
      </c>
    </row>
    <row r="2861" spans="1:5">
      <c r="A2861" t="s">
        <v>39</v>
      </c>
      <c r="B2861" s="11" t="s">
        <v>69</v>
      </c>
      <c r="C2861">
        <v>2003</v>
      </c>
      <c r="D2861" s="9">
        <v>5017.68</v>
      </c>
      <c r="E2861" t="s">
        <v>58</v>
      </c>
    </row>
    <row r="2862" spans="1:5">
      <c r="A2862" t="s">
        <v>39</v>
      </c>
      <c r="B2862" s="11" t="s">
        <v>77</v>
      </c>
      <c r="C2862">
        <v>2003</v>
      </c>
      <c r="D2862" s="9">
        <v>7534.47</v>
      </c>
      <c r="E2862" t="s">
        <v>58</v>
      </c>
    </row>
    <row r="2863" spans="1:5">
      <c r="A2863" t="s">
        <v>39</v>
      </c>
      <c r="B2863" s="11" t="s">
        <v>70</v>
      </c>
      <c r="C2863">
        <v>2003</v>
      </c>
      <c r="D2863" s="9">
        <v>7341.91</v>
      </c>
      <c r="E2863" t="s">
        <v>59</v>
      </c>
    </row>
    <row r="2864" spans="1:5">
      <c r="A2864" t="s">
        <v>39</v>
      </c>
      <c r="B2864" s="11" t="s">
        <v>71</v>
      </c>
      <c r="C2864">
        <v>2003</v>
      </c>
      <c r="D2864" s="9">
        <v>6466.44</v>
      </c>
      <c r="E2864" t="s">
        <v>59</v>
      </c>
    </row>
    <row r="2865" spans="1:5">
      <c r="A2865" t="s">
        <v>39</v>
      </c>
      <c r="B2865" s="11" t="s">
        <v>72</v>
      </c>
      <c r="C2865">
        <v>2003</v>
      </c>
      <c r="D2865" s="9">
        <v>9216.5300000000007</v>
      </c>
      <c r="E2865" t="s">
        <v>59</v>
      </c>
    </row>
    <row r="2866" spans="1:5">
      <c r="A2866" t="s">
        <v>39</v>
      </c>
      <c r="B2866" s="11" t="s">
        <v>78</v>
      </c>
      <c r="C2866">
        <v>2003</v>
      </c>
      <c r="D2866" s="9">
        <v>4440.33</v>
      </c>
      <c r="E2866" t="s">
        <v>59</v>
      </c>
    </row>
    <row r="2867" spans="1:5">
      <c r="A2867" t="s">
        <v>39</v>
      </c>
      <c r="B2867" s="11" t="s">
        <v>73</v>
      </c>
      <c r="C2867">
        <v>2003</v>
      </c>
      <c r="D2867" s="9">
        <v>6304.86</v>
      </c>
      <c r="E2867" t="s">
        <v>60</v>
      </c>
    </row>
    <row r="2868" spans="1:5">
      <c r="A2868" t="s">
        <v>39</v>
      </c>
      <c r="B2868" s="11" t="s">
        <v>74</v>
      </c>
      <c r="C2868">
        <v>2003</v>
      </c>
      <c r="D2868" s="9">
        <v>5241.33</v>
      </c>
      <c r="E2868" t="s">
        <v>60</v>
      </c>
    </row>
    <row r="2869" spans="1:5">
      <c r="A2869" t="s">
        <v>28</v>
      </c>
      <c r="B2869" s="11" t="s">
        <v>61</v>
      </c>
      <c r="C2869">
        <v>2004</v>
      </c>
      <c r="D2869" s="9">
        <v>4266.1499999999996</v>
      </c>
      <c r="E2869" t="s">
        <v>56</v>
      </c>
    </row>
    <row r="2870" spans="1:5">
      <c r="A2870" t="s">
        <v>28</v>
      </c>
      <c r="B2870" s="11" t="s">
        <v>62</v>
      </c>
      <c r="C2870">
        <v>2004</v>
      </c>
      <c r="D2870" s="9">
        <v>4048.95</v>
      </c>
      <c r="E2870" t="s">
        <v>56</v>
      </c>
    </row>
    <row r="2871" spans="1:5">
      <c r="A2871" t="s">
        <v>28</v>
      </c>
      <c r="B2871" s="11" t="s">
        <v>63</v>
      </c>
      <c r="C2871">
        <v>2004</v>
      </c>
      <c r="D2871" s="9">
        <v>4866.1099999999997</v>
      </c>
      <c r="E2871" t="s">
        <v>56</v>
      </c>
    </row>
    <row r="2872" spans="1:5">
      <c r="A2872" t="s">
        <v>28</v>
      </c>
      <c r="B2872" s="11" t="s">
        <v>64</v>
      </c>
      <c r="C2872">
        <v>2004</v>
      </c>
      <c r="D2872" s="9">
        <v>4548.59</v>
      </c>
      <c r="E2872" t="s">
        <v>57</v>
      </c>
    </row>
    <row r="2873" spans="1:5">
      <c r="A2873" t="s">
        <v>28</v>
      </c>
      <c r="B2873" s="11" t="s">
        <v>65</v>
      </c>
      <c r="C2873">
        <v>2004</v>
      </c>
      <c r="D2873" s="9">
        <v>3808.18</v>
      </c>
      <c r="E2873" t="s">
        <v>57</v>
      </c>
    </row>
    <row r="2874" spans="1:5">
      <c r="A2874" t="s">
        <v>28</v>
      </c>
      <c r="B2874" s="11" t="s">
        <v>66</v>
      </c>
      <c r="C2874">
        <v>2004</v>
      </c>
      <c r="D2874" s="9">
        <v>9998.01</v>
      </c>
      <c r="E2874" t="s">
        <v>57</v>
      </c>
    </row>
    <row r="2875" spans="1:5">
      <c r="A2875" t="s">
        <v>28</v>
      </c>
      <c r="B2875" s="11" t="s">
        <v>67</v>
      </c>
      <c r="C2875">
        <v>2004</v>
      </c>
      <c r="D2875" s="9">
        <v>3038.1</v>
      </c>
      <c r="E2875" t="s">
        <v>57</v>
      </c>
    </row>
    <row r="2876" spans="1:5">
      <c r="A2876" t="s">
        <v>28</v>
      </c>
      <c r="B2876" s="11" t="s">
        <v>76</v>
      </c>
      <c r="C2876">
        <v>2004</v>
      </c>
      <c r="D2876" s="9">
        <v>1810.79</v>
      </c>
      <c r="E2876" t="s">
        <v>57</v>
      </c>
    </row>
    <row r="2877" spans="1:5">
      <c r="A2877" t="s">
        <v>28</v>
      </c>
      <c r="B2877" s="11" t="s">
        <v>68</v>
      </c>
      <c r="C2877">
        <v>2004</v>
      </c>
      <c r="D2877" s="9">
        <v>4735.74</v>
      </c>
      <c r="E2877" t="s">
        <v>58</v>
      </c>
    </row>
    <row r="2878" spans="1:5">
      <c r="A2878" t="s">
        <v>28</v>
      </c>
      <c r="B2878" s="11" t="s">
        <v>69</v>
      </c>
      <c r="C2878">
        <v>2004</v>
      </c>
      <c r="D2878" s="9">
        <v>3730.5</v>
      </c>
      <c r="E2878" t="s">
        <v>58</v>
      </c>
    </row>
    <row r="2879" spans="1:5">
      <c r="A2879" t="s">
        <v>28</v>
      </c>
      <c r="B2879" s="11" t="s">
        <v>77</v>
      </c>
      <c r="C2879">
        <v>2004</v>
      </c>
      <c r="D2879" s="9">
        <v>6553.22</v>
      </c>
      <c r="E2879" t="s">
        <v>58</v>
      </c>
    </row>
    <row r="2880" spans="1:5">
      <c r="A2880" t="s">
        <v>28</v>
      </c>
      <c r="B2880" s="11" t="s">
        <v>70</v>
      </c>
      <c r="C2880">
        <v>2004</v>
      </c>
      <c r="D2880" s="9">
        <v>7008.22</v>
      </c>
      <c r="E2880" t="s">
        <v>59</v>
      </c>
    </row>
    <row r="2881" spans="1:5">
      <c r="A2881" t="s">
        <v>28</v>
      </c>
      <c r="B2881" s="11" t="s">
        <v>71</v>
      </c>
      <c r="C2881">
        <v>2004</v>
      </c>
      <c r="D2881" s="9">
        <v>6170.82</v>
      </c>
      <c r="E2881" t="s">
        <v>59</v>
      </c>
    </row>
    <row r="2882" spans="1:5">
      <c r="A2882" t="s">
        <v>28</v>
      </c>
      <c r="B2882" s="11" t="s">
        <v>72</v>
      </c>
      <c r="C2882">
        <v>2004</v>
      </c>
      <c r="D2882" s="9">
        <v>6709.95</v>
      </c>
      <c r="E2882" t="s">
        <v>59</v>
      </c>
    </row>
    <row r="2883" spans="1:5">
      <c r="A2883" t="s">
        <v>28</v>
      </c>
      <c r="B2883" s="11" t="s">
        <v>78</v>
      </c>
      <c r="C2883">
        <v>2004</v>
      </c>
      <c r="D2883" s="9">
        <v>5107.46</v>
      </c>
      <c r="E2883" t="s">
        <v>59</v>
      </c>
    </row>
    <row r="2884" spans="1:5">
      <c r="A2884" t="s">
        <v>28</v>
      </c>
      <c r="B2884" s="11" t="s">
        <v>73</v>
      </c>
      <c r="C2884">
        <v>2004</v>
      </c>
      <c r="D2884" s="9">
        <v>4642.57</v>
      </c>
      <c r="E2884" t="s">
        <v>60</v>
      </c>
    </row>
    <row r="2885" spans="1:5">
      <c r="A2885" t="s">
        <v>28</v>
      </c>
      <c r="B2885" s="11" t="s">
        <v>74</v>
      </c>
      <c r="C2885">
        <v>2004</v>
      </c>
      <c r="D2885" s="9">
        <v>6277.51</v>
      </c>
      <c r="E2885" t="s">
        <v>60</v>
      </c>
    </row>
    <row r="2886" spans="1:5">
      <c r="A2886" t="s">
        <v>29</v>
      </c>
      <c r="B2886" s="11" t="s">
        <v>61</v>
      </c>
      <c r="C2886">
        <v>2004</v>
      </c>
      <c r="D2886" s="9">
        <v>5920.8</v>
      </c>
      <c r="E2886" t="s">
        <v>56</v>
      </c>
    </row>
    <row r="2887" spans="1:5">
      <c r="A2887" t="s">
        <v>29</v>
      </c>
      <c r="B2887" s="11" t="s">
        <v>62</v>
      </c>
      <c r="C2887">
        <v>2004</v>
      </c>
      <c r="D2887" s="9">
        <v>3522.64</v>
      </c>
      <c r="E2887" t="s">
        <v>56</v>
      </c>
    </row>
    <row r="2888" spans="1:5">
      <c r="A2888" t="s">
        <v>29</v>
      </c>
      <c r="B2888" s="11" t="s">
        <v>63</v>
      </c>
      <c r="C2888">
        <v>2004</v>
      </c>
      <c r="D2888" s="9">
        <v>5383.78</v>
      </c>
      <c r="E2888" t="s">
        <v>56</v>
      </c>
    </row>
    <row r="2889" spans="1:5">
      <c r="A2889" t="s">
        <v>29</v>
      </c>
      <c r="B2889" s="11" t="s">
        <v>75</v>
      </c>
      <c r="C2889">
        <v>2004</v>
      </c>
      <c r="D2889" s="9">
        <v>4229.28</v>
      </c>
      <c r="E2889" t="s">
        <v>56</v>
      </c>
    </row>
    <row r="2890" spans="1:5">
      <c r="A2890" t="s">
        <v>29</v>
      </c>
      <c r="B2890" s="11" t="s">
        <v>64</v>
      </c>
      <c r="C2890">
        <v>2004</v>
      </c>
      <c r="D2890" s="9">
        <v>4648.87</v>
      </c>
      <c r="E2890" t="s">
        <v>57</v>
      </c>
    </row>
    <row r="2891" spans="1:5">
      <c r="A2891" t="s">
        <v>29</v>
      </c>
      <c r="B2891" s="11" t="s">
        <v>65</v>
      </c>
      <c r="C2891">
        <v>2004</v>
      </c>
      <c r="D2891" s="9">
        <v>4670</v>
      </c>
      <c r="E2891" t="s">
        <v>57</v>
      </c>
    </row>
    <row r="2892" spans="1:5">
      <c r="A2892" t="s">
        <v>29</v>
      </c>
      <c r="B2892" s="11" t="s">
        <v>66</v>
      </c>
      <c r="C2892">
        <v>2004</v>
      </c>
      <c r="D2892" s="9">
        <v>7125.26</v>
      </c>
      <c r="E2892" t="s">
        <v>57</v>
      </c>
    </row>
    <row r="2893" spans="1:5">
      <c r="A2893" t="s">
        <v>29</v>
      </c>
      <c r="B2893" s="11" t="s">
        <v>67</v>
      </c>
      <c r="C2893">
        <v>2004</v>
      </c>
      <c r="D2893" s="9">
        <v>4258.3599999999997</v>
      </c>
      <c r="E2893" t="s">
        <v>57</v>
      </c>
    </row>
    <row r="2894" spans="1:5">
      <c r="A2894" t="s">
        <v>29</v>
      </c>
      <c r="B2894" s="11" t="s">
        <v>76</v>
      </c>
      <c r="C2894">
        <v>2004</v>
      </c>
      <c r="D2894" s="9">
        <v>2270.33</v>
      </c>
      <c r="E2894" t="s">
        <v>57</v>
      </c>
    </row>
    <row r="2895" spans="1:5">
      <c r="A2895" t="s">
        <v>29</v>
      </c>
      <c r="B2895" s="11" t="s">
        <v>68</v>
      </c>
      <c r="C2895">
        <v>2004</v>
      </c>
      <c r="D2895" s="9">
        <v>5444.73</v>
      </c>
      <c r="E2895" t="s">
        <v>58</v>
      </c>
    </row>
    <row r="2896" spans="1:5">
      <c r="A2896" t="s">
        <v>29</v>
      </c>
      <c r="B2896" s="11" t="s">
        <v>69</v>
      </c>
      <c r="C2896">
        <v>2004</v>
      </c>
      <c r="D2896" s="9">
        <v>3883.12</v>
      </c>
      <c r="E2896" t="s">
        <v>58</v>
      </c>
    </row>
    <row r="2897" spans="1:5">
      <c r="A2897" t="s">
        <v>29</v>
      </c>
      <c r="B2897" s="11" t="s">
        <v>77</v>
      </c>
      <c r="C2897">
        <v>2004</v>
      </c>
      <c r="D2897" s="9">
        <v>7106.18</v>
      </c>
      <c r="E2897" t="s">
        <v>58</v>
      </c>
    </row>
    <row r="2898" spans="1:5">
      <c r="A2898" t="s">
        <v>29</v>
      </c>
      <c r="B2898" s="11" t="s">
        <v>70</v>
      </c>
      <c r="C2898">
        <v>2004</v>
      </c>
      <c r="D2898" s="9">
        <v>5403.14</v>
      </c>
      <c r="E2898" t="s">
        <v>59</v>
      </c>
    </row>
    <row r="2899" spans="1:5">
      <c r="A2899" t="s">
        <v>29</v>
      </c>
      <c r="B2899" s="11" t="s">
        <v>71</v>
      </c>
      <c r="C2899">
        <v>2004</v>
      </c>
      <c r="D2899" s="9">
        <v>5417.95</v>
      </c>
      <c r="E2899" t="s">
        <v>59</v>
      </c>
    </row>
    <row r="2900" spans="1:5">
      <c r="A2900" t="s">
        <v>29</v>
      </c>
      <c r="B2900" s="11" t="s">
        <v>72</v>
      </c>
      <c r="C2900">
        <v>2004</v>
      </c>
      <c r="D2900" s="9">
        <v>6481.43</v>
      </c>
      <c r="E2900" t="s">
        <v>59</v>
      </c>
    </row>
    <row r="2901" spans="1:5">
      <c r="A2901" t="s">
        <v>29</v>
      </c>
      <c r="B2901" s="11" t="s">
        <v>78</v>
      </c>
      <c r="C2901">
        <v>2004</v>
      </c>
      <c r="D2901" s="9">
        <v>4449.5600000000004</v>
      </c>
      <c r="E2901" t="s">
        <v>59</v>
      </c>
    </row>
    <row r="2902" spans="1:5">
      <c r="A2902" t="s">
        <v>29</v>
      </c>
      <c r="B2902" s="11" t="s">
        <v>73</v>
      </c>
      <c r="C2902">
        <v>2004</v>
      </c>
      <c r="D2902" s="9">
        <v>5666.32</v>
      </c>
      <c r="E2902" t="s">
        <v>60</v>
      </c>
    </row>
    <row r="2903" spans="1:5">
      <c r="A2903" t="s">
        <v>29</v>
      </c>
      <c r="B2903" s="11" t="s">
        <v>74</v>
      </c>
      <c r="C2903">
        <v>2004</v>
      </c>
      <c r="D2903" s="9">
        <v>5936.72</v>
      </c>
      <c r="E2903" t="s">
        <v>60</v>
      </c>
    </row>
    <row r="2904" spans="1:5">
      <c r="A2904" t="s">
        <v>30</v>
      </c>
      <c r="B2904" s="11" t="s">
        <v>61</v>
      </c>
      <c r="C2904">
        <v>2004</v>
      </c>
      <c r="D2904" s="9">
        <v>4217.45</v>
      </c>
      <c r="E2904" t="s">
        <v>56</v>
      </c>
    </row>
    <row r="2905" spans="1:5">
      <c r="A2905" t="s">
        <v>30</v>
      </c>
      <c r="B2905" s="11" t="s">
        <v>62</v>
      </c>
      <c r="C2905">
        <v>2004</v>
      </c>
      <c r="D2905" s="9">
        <v>2691.05</v>
      </c>
      <c r="E2905" t="s">
        <v>56</v>
      </c>
    </row>
    <row r="2906" spans="1:5">
      <c r="A2906" t="s">
        <v>30</v>
      </c>
      <c r="B2906" s="11" t="s">
        <v>63</v>
      </c>
      <c r="C2906">
        <v>2004</v>
      </c>
      <c r="D2906" s="9">
        <v>4743.24</v>
      </c>
      <c r="E2906" t="s">
        <v>56</v>
      </c>
    </row>
    <row r="2907" spans="1:5">
      <c r="A2907" t="s">
        <v>30</v>
      </c>
      <c r="B2907" s="11" t="s">
        <v>75</v>
      </c>
      <c r="C2907">
        <v>2004</v>
      </c>
      <c r="D2907" s="9">
        <v>3656.3</v>
      </c>
      <c r="E2907" t="s">
        <v>56</v>
      </c>
    </row>
    <row r="2908" spans="1:5">
      <c r="A2908" t="s">
        <v>30</v>
      </c>
      <c r="B2908" s="11" t="s">
        <v>64</v>
      </c>
      <c r="C2908">
        <v>2004</v>
      </c>
      <c r="D2908" s="9">
        <v>3887.73</v>
      </c>
      <c r="E2908" t="s">
        <v>57</v>
      </c>
    </row>
    <row r="2909" spans="1:5">
      <c r="A2909" t="s">
        <v>30</v>
      </c>
      <c r="B2909" s="11" t="s">
        <v>65</v>
      </c>
      <c r="C2909">
        <v>2004</v>
      </c>
      <c r="D2909" s="9">
        <v>3164.68</v>
      </c>
      <c r="E2909" t="s">
        <v>57</v>
      </c>
    </row>
    <row r="2910" spans="1:5">
      <c r="A2910" t="s">
        <v>30</v>
      </c>
      <c r="B2910" s="11" t="s">
        <v>66</v>
      </c>
      <c r="C2910">
        <v>2004</v>
      </c>
      <c r="D2910" s="9">
        <v>6257.95</v>
      </c>
      <c r="E2910" t="s">
        <v>57</v>
      </c>
    </row>
    <row r="2911" spans="1:5">
      <c r="A2911" t="s">
        <v>30</v>
      </c>
      <c r="B2911" s="11" t="s">
        <v>67</v>
      </c>
      <c r="C2911">
        <v>2004</v>
      </c>
      <c r="D2911" s="9">
        <v>4199.5600000000004</v>
      </c>
      <c r="E2911" t="s">
        <v>57</v>
      </c>
    </row>
    <row r="2912" spans="1:5">
      <c r="A2912" t="s">
        <v>30</v>
      </c>
      <c r="B2912" s="11" t="s">
        <v>76</v>
      </c>
      <c r="C2912">
        <v>2004</v>
      </c>
      <c r="D2912" s="9">
        <v>2173.52</v>
      </c>
      <c r="E2912" t="s">
        <v>57</v>
      </c>
    </row>
    <row r="2913" spans="1:5">
      <c r="A2913" t="s">
        <v>30</v>
      </c>
      <c r="B2913" s="11" t="s">
        <v>68</v>
      </c>
      <c r="C2913">
        <v>2004</v>
      </c>
      <c r="D2913" s="9">
        <v>4470.1400000000003</v>
      </c>
      <c r="E2913" t="s">
        <v>58</v>
      </c>
    </row>
    <row r="2914" spans="1:5">
      <c r="A2914" t="s">
        <v>30</v>
      </c>
      <c r="B2914" s="11" t="s">
        <v>69</v>
      </c>
      <c r="C2914">
        <v>2004</v>
      </c>
      <c r="D2914" s="9">
        <v>4466.7700000000004</v>
      </c>
      <c r="E2914" t="s">
        <v>58</v>
      </c>
    </row>
    <row r="2915" spans="1:5">
      <c r="A2915" t="s">
        <v>30</v>
      </c>
      <c r="B2915" s="11" t="s">
        <v>77</v>
      </c>
      <c r="C2915">
        <v>2004</v>
      </c>
      <c r="D2915" s="9">
        <v>4287.6000000000004</v>
      </c>
      <c r="E2915" t="s">
        <v>58</v>
      </c>
    </row>
    <row r="2916" spans="1:5">
      <c r="A2916" t="s">
        <v>30</v>
      </c>
      <c r="B2916" s="11" t="s">
        <v>70</v>
      </c>
      <c r="C2916">
        <v>2004</v>
      </c>
      <c r="D2916" s="9">
        <v>5152.92</v>
      </c>
      <c r="E2916" t="s">
        <v>59</v>
      </c>
    </row>
    <row r="2917" spans="1:5">
      <c r="A2917" t="s">
        <v>30</v>
      </c>
      <c r="B2917" s="11" t="s">
        <v>71</v>
      </c>
      <c r="C2917">
        <v>2004</v>
      </c>
      <c r="D2917" s="9">
        <v>5714.16</v>
      </c>
      <c r="E2917" t="s">
        <v>59</v>
      </c>
    </row>
    <row r="2918" spans="1:5">
      <c r="A2918" t="s">
        <v>30</v>
      </c>
      <c r="B2918" s="11" t="s">
        <v>72</v>
      </c>
      <c r="C2918">
        <v>2004</v>
      </c>
      <c r="D2918" s="9">
        <v>5424.76</v>
      </c>
      <c r="E2918" t="s">
        <v>59</v>
      </c>
    </row>
    <row r="2919" spans="1:5">
      <c r="A2919" t="s">
        <v>30</v>
      </c>
      <c r="B2919" s="11" t="s">
        <v>78</v>
      </c>
      <c r="C2919">
        <v>2004</v>
      </c>
      <c r="D2919" s="9">
        <v>5028.3</v>
      </c>
      <c r="E2919" t="s">
        <v>59</v>
      </c>
    </row>
    <row r="2920" spans="1:5">
      <c r="A2920" t="s">
        <v>30</v>
      </c>
      <c r="B2920" s="11" t="s">
        <v>73</v>
      </c>
      <c r="C2920">
        <v>2004</v>
      </c>
      <c r="D2920" s="9">
        <v>6602.63</v>
      </c>
      <c r="E2920" t="s">
        <v>60</v>
      </c>
    </row>
    <row r="2921" spans="1:5">
      <c r="A2921" t="s">
        <v>30</v>
      </c>
      <c r="B2921" s="11" t="s">
        <v>74</v>
      </c>
      <c r="C2921">
        <v>2004</v>
      </c>
      <c r="D2921" s="9">
        <v>5737.35</v>
      </c>
      <c r="E2921" t="s">
        <v>60</v>
      </c>
    </row>
    <row r="2922" spans="1:5">
      <c r="A2922" t="s">
        <v>31</v>
      </c>
      <c r="B2922" s="11" t="s">
        <v>61</v>
      </c>
      <c r="C2922">
        <v>2004</v>
      </c>
      <c r="D2922" s="9">
        <v>4103.47</v>
      </c>
      <c r="E2922" t="s">
        <v>56</v>
      </c>
    </row>
    <row r="2923" spans="1:5">
      <c r="A2923" t="s">
        <v>31</v>
      </c>
      <c r="B2923" s="11" t="s">
        <v>62</v>
      </c>
      <c r="C2923">
        <v>2004</v>
      </c>
      <c r="D2923" s="9">
        <v>2622.51</v>
      </c>
      <c r="E2923" t="s">
        <v>56</v>
      </c>
    </row>
    <row r="2924" spans="1:5">
      <c r="A2924" t="s">
        <v>31</v>
      </c>
      <c r="B2924" s="11" t="s">
        <v>63</v>
      </c>
      <c r="C2924">
        <v>2004</v>
      </c>
      <c r="D2924" s="9">
        <v>5869.54</v>
      </c>
      <c r="E2924" t="s">
        <v>56</v>
      </c>
    </row>
    <row r="2925" spans="1:5">
      <c r="A2925" t="s">
        <v>31</v>
      </c>
      <c r="B2925" s="11" t="s">
        <v>75</v>
      </c>
      <c r="C2925">
        <v>2004</v>
      </c>
      <c r="D2925" s="9">
        <v>5353.97</v>
      </c>
      <c r="E2925" t="s">
        <v>56</v>
      </c>
    </row>
    <row r="2926" spans="1:5">
      <c r="A2926" t="s">
        <v>31</v>
      </c>
      <c r="B2926" s="11" t="s">
        <v>64</v>
      </c>
      <c r="C2926">
        <v>2004</v>
      </c>
      <c r="D2926" s="9">
        <v>5141.41</v>
      </c>
      <c r="E2926" t="s">
        <v>57</v>
      </c>
    </row>
    <row r="2927" spans="1:5">
      <c r="A2927" t="s">
        <v>31</v>
      </c>
      <c r="B2927" s="11" t="s">
        <v>65</v>
      </c>
      <c r="C2927">
        <v>2004</v>
      </c>
      <c r="D2927" s="9">
        <v>4392.05</v>
      </c>
      <c r="E2927" t="s">
        <v>57</v>
      </c>
    </row>
    <row r="2928" spans="1:5">
      <c r="A2928" t="s">
        <v>31</v>
      </c>
      <c r="B2928" s="11" t="s">
        <v>66</v>
      </c>
      <c r="C2928">
        <v>2004</v>
      </c>
      <c r="D2928" s="9">
        <v>4703.13</v>
      </c>
      <c r="E2928" t="s">
        <v>57</v>
      </c>
    </row>
    <row r="2929" spans="1:5">
      <c r="A2929" t="s">
        <v>31</v>
      </c>
      <c r="B2929" s="11" t="s">
        <v>67</v>
      </c>
      <c r="C2929">
        <v>2004</v>
      </c>
      <c r="D2929" s="9">
        <v>3102.8</v>
      </c>
      <c r="E2929" t="s">
        <v>57</v>
      </c>
    </row>
    <row r="2930" spans="1:5">
      <c r="A2930" t="s">
        <v>31</v>
      </c>
      <c r="B2930" s="11" t="s">
        <v>76</v>
      </c>
      <c r="C2930">
        <v>2004</v>
      </c>
      <c r="D2930" s="9">
        <v>2404.04</v>
      </c>
      <c r="E2930" t="s">
        <v>57</v>
      </c>
    </row>
    <row r="2931" spans="1:5">
      <c r="A2931" t="s">
        <v>31</v>
      </c>
      <c r="B2931" s="11" t="s">
        <v>68</v>
      </c>
      <c r="C2931">
        <v>2004</v>
      </c>
      <c r="D2931" s="9">
        <v>4718.1899999999996</v>
      </c>
      <c r="E2931" t="s">
        <v>58</v>
      </c>
    </row>
    <row r="2932" spans="1:5">
      <c r="A2932" t="s">
        <v>31</v>
      </c>
      <c r="B2932" s="11" t="s">
        <v>69</v>
      </c>
      <c r="C2932">
        <v>2004</v>
      </c>
      <c r="D2932" s="9">
        <v>3263.84</v>
      </c>
      <c r="E2932" t="s">
        <v>58</v>
      </c>
    </row>
    <row r="2933" spans="1:5">
      <c r="A2933" t="s">
        <v>31</v>
      </c>
      <c r="B2933" s="11" t="s">
        <v>77</v>
      </c>
      <c r="C2933">
        <v>2004</v>
      </c>
      <c r="D2933" s="9">
        <v>4210.34</v>
      </c>
      <c r="E2933" t="s">
        <v>58</v>
      </c>
    </row>
    <row r="2934" spans="1:5">
      <c r="A2934" t="s">
        <v>31</v>
      </c>
      <c r="B2934" s="11" t="s">
        <v>70</v>
      </c>
      <c r="C2934">
        <v>2004</v>
      </c>
      <c r="D2934" s="9">
        <v>4231.25</v>
      </c>
      <c r="E2934" t="s">
        <v>59</v>
      </c>
    </row>
    <row r="2935" spans="1:5">
      <c r="A2935" t="s">
        <v>31</v>
      </c>
      <c r="B2935" s="11" t="s">
        <v>71</v>
      </c>
      <c r="C2935">
        <v>2004</v>
      </c>
      <c r="D2935" s="9">
        <v>6156.6</v>
      </c>
      <c r="E2935" t="s">
        <v>59</v>
      </c>
    </row>
    <row r="2936" spans="1:5">
      <c r="A2936" t="s">
        <v>31</v>
      </c>
      <c r="B2936" s="11" t="s">
        <v>72</v>
      </c>
      <c r="C2936">
        <v>2004</v>
      </c>
      <c r="D2936" s="9">
        <v>8088.82</v>
      </c>
      <c r="E2936" t="s">
        <v>59</v>
      </c>
    </row>
    <row r="2937" spans="1:5">
      <c r="A2937" t="s">
        <v>31</v>
      </c>
      <c r="B2937" s="11" t="s">
        <v>78</v>
      </c>
      <c r="C2937">
        <v>2004</v>
      </c>
      <c r="D2937" s="9">
        <v>4148.4399999999996</v>
      </c>
      <c r="E2937" t="s">
        <v>59</v>
      </c>
    </row>
    <row r="2938" spans="1:5">
      <c r="A2938" t="s">
        <v>31</v>
      </c>
      <c r="B2938" s="11" t="s">
        <v>73</v>
      </c>
      <c r="C2938">
        <v>2004</v>
      </c>
      <c r="D2938" s="9">
        <v>7160.43</v>
      </c>
      <c r="E2938" t="s">
        <v>60</v>
      </c>
    </row>
    <row r="2939" spans="1:5">
      <c r="A2939" t="s">
        <v>31</v>
      </c>
      <c r="B2939" s="11" t="s">
        <v>74</v>
      </c>
      <c r="C2939">
        <v>2004</v>
      </c>
      <c r="D2939" s="9">
        <v>6571.75</v>
      </c>
      <c r="E2939" t="s">
        <v>60</v>
      </c>
    </row>
    <row r="2940" spans="1:5">
      <c r="A2940" t="s">
        <v>32</v>
      </c>
      <c r="B2940" s="11" t="s">
        <v>61</v>
      </c>
      <c r="C2940">
        <v>2004</v>
      </c>
      <c r="D2940" s="9">
        <v>4190.9799999999996</v>
      </c>
      <c r="E2940" t="s">
        <v>56</v>
      </c>
    </row>
    <row r="2941" spans="1:5">
      <c r="A2941" t="s">
        <v>32</v>
      </c>
      <c r="B2941" s="11" t="s">
        <v>62</v>
      </c>
      <c r="C2941">
        <v>2004</v>
      </c>
      <c r="D2941" s="9">
        <v>2610.5100000000002</v>
      </c>
      <c r="E2941" t="s">
        <v>56</v>
      </c>
    </row>
    <row r="2942" spans="1:5">
      <c r="A2942" t="s">
        <v>32</v>
      </c>
      <c r="B2942" s="11" t="s">
        <v>63</v>
      </c>
      <c r="C2942">
        <v>2004</v>
      </c>
      <c r="D2942" s="9">
        <v>4032.59</v>
      </c>
      <c r="E2942" t="s">
        <v>56</v>
      </c>
    </row>
    <row r="2943" spans="1:5">
      <c r="A2943" t="s">
        <v>32</v>
      </c>
      <c r="B2943" s="11" t="s">
        <v>75</v>
      </c>
      <c r="C2943">
        <v>2004</v>
      </c>
      <c r="D2943" s="9">
        <v>5374.69</v>
      </c>
      <c r="E2943" t="s">
        <v>56</v>
      </c>
    </row>
    <row r="2944" spans="1:5">
      <c r="A2944" t="s">
        <v>32</v>
      </c>
      <c r="B2944" s="11" t="s">
        <v>64</v>
      </c>
      <c r="C2944">
        <v>2004</v>
      </c>
      <c r="D2944" s="9">
        <v>5352.03</v>
      </c>
      <c r="E2944" t="s">
        <v>57</v>
      </c>
    </row>
    <row r="2945" spans="1:5">
      <c r="A2945" t="s">
        <v>32</v>
      </c>
      <c r="B2945" s="11" t="s">
        <v>65</v>
      </c>
      <c r="C2945">
        <v>2004</v>
      </c>
      <c r="D2945" s="9">
        <v>2807.78</v>
      </c>
      <c r="E2945" t="s">
        <v>57</v>
      </c>
    </row>
    <row r="2946" spans="1:5">
      <c r="A2946" t="s">
        <v>32</v>
      </c>
      <c r="B2946" s="11" t="s">
        <v>66</v>
      </c>
      <c r="C2946">
        <v>2004</v>
      </c>
      <c r="D2946" s="9">
        <v>7246.07</v>
      </c>
      <c r="E2946" t="s">
        <v>57</v>
      </c>
    </row>
    <row r="2947" spans="1:5">
      <c r="A2947" t="s">
        <v>32</v>
      </c>
      <c r="B2947" s="11" t="s">
        <v>67</v>
      </c>
      <c r="C2947">
        <v>2004</v>
      </c>
      <c r="D2947" s="9">
        <v>2416.0700000000002</v>
      </c>
      <c r="E2947" t="s">
        <v>57</v>
      </c>
    </row>
    <row r="2948" spans="1:5">
      <c r="A2948" t="s">
        <v>32</v>
      </c>
      <c r="B2948" s="11" t="s">
        <v>76</v>
      </c>
      <c r="C2948">
        <v>2004</v>
      </c>
      <c r="D2948" s="9">
        <v>2844.06</v>
      </c>
      <c r="E2948" t="s">
        <v>57</v>
      </c>
    </row>
    <row r="2949" spans="1:5">
      <c r="A2949" t="s">
        <v>32</v>
      </c>
      <c r="B2949" s="11" t="s">
        <v>68</v>
      </c>
      <c r="C2949">
        <v>2004</v>
      </c>
      <c r="D2949" s="9">
        <v>4615.8500000000004</v>
      </c>
      <c r="E2949" t="s">
        <v>58</v>
      </c>
    </row>
    <row r="2950" spans="1:5">
      <c r="A2950" t="s">
        <v>32</v>
      </c>
      <c r="B2950" s="11" t="s">
        <v>69</v>
      </c>
      <c r="C2950">
        <v>2004</v>
      </c>
      <c r="D2950" s="9">
        <v>4689.7700000000004</v>
      </c>
      <c r="E2950" t="s">
        <v>58</v>
      </c>
    </row>
    <row r="2951" spans="1:5">
      <c r="A2951" t="s">
        <v>32</v>
      </c>
      <c r="B2951" s="11" t="s">
        <v>77</v>
      </c>
      <c r="C2951">
        <v>2004</v>
      </c>
      <c r="D2951" s="9">
        <v>3556.55</v>
      </c>
      <c r="E2951" t="s">
        <v>58</v>
      </c>
    </row>
    <row r="2952" spans="1:5">
      <c r="A2952" t="s">
        <v>32</v>
      </c>
      <c r="B2952" s="11" t="s">
        <v>70</v>
      </c>
      <c r="C2952">
        <v>2004</v>
      </c>
      <c r="D2952" s="9">
        <v>4125.4799999999996</v>
      </c>
      <c r="E2952" t="s">
        <v>59</v>
      </c>
    </row>
    <row r="2953" spans="1:5">
      <c r="A2953" t="s">
        <v>32</v>
      </c>
      <c r="B2953" s="11" t="s">
        <v>71</v>
      </c>
      <c r="C2953">
        <v>2004</v>
      </c>
      <c r="D2953" s="9">
        <v>5991.42</v>
      </c>
      <c r="E2953" t="s">
        <v>59</v>
      </c>
    </row>
    <row r="2954" spans="1:5">
      <c r="A2954" t="s">
        <v>32</v>
      </c>
      <c r="B2954" s="11" t="s">
        <v>72</v>
      </c>
      <c r="C2954">
        <v>2004</v>
      </c>
      <c r="D2954" s="9">
        <v>6479.98</v>
      </c>
      <c r="E2954" t="s">
        <v>59</v>
      </c>
    </row>
    <row r="2955" spans="1:5">
      <c r="A2955" t="s">
        <v>32</v>
      </c>
      <c r="B2955" s="11" t="s">
        <v>78</v>
      </c>
      <c r="C2955">
        <v>2004</v>
      </c>
      <c r="D2955" s="9">
        <v>3869.72</v>
      </c>
      <c r="E2955" t="s">
        <v>59</v>
      </c>
    </row>
    <row r="2956" spans="1:5">
      <c r="A2956" t="s">
        <v>32</v>
      </c>
      <c r="B2956" s="11" t="s">
        <v>73</v>
      </c>
      <c r="C2956">
        <v>2004</v>
      </c>
      <c r="D2956" s="9">
        <v>5764.33</v>
      </c>
      <c r="E2956" t="s">
        <v>60</v>
      </c>
    </row>
    <row r="2957" spans="1:5">
      <c r="A2957" t="s">
        <v>32</v>
      </c>
      <c r="B2957" s="11" t="s">
        <v>74</v>
      </c>
      <c r="C2957">
        <v>2004</v>
      </c>
      <c r="D2957" s="9">
        <v>3359.84</v>
      </c>
      <c r="E2957" t="s">
        <v>60</v>
      </c>
    </row>
    <row r="2958" spans="1:5">
      <c r="A2958" t="s">
        <v>33</v>
      </c>
      <c r="B2958" s="11" t="s">
        <v>61</v>
      </c>
      <c r="C2958">
        <v>2004</v>
      </c>
      <c r="D2958" s="9">
        <v>5793.92</v>
      </c>
      <c r="E2958" t="s">
        <v>56</v>
      </c>
    </row>
    <row r="2959" spans="1:5">
      <c r="A2959" t="s">
        <v>33</v>
      </c>
      <c r="B2959" s="11" t="s">
        <v>62</v>
      </c>
      <c r="C2959">
        <v>2004</v>
      </c>
      <c r="D2959" s="9">
        <v>4298.5</v>
      </c>
      <c r="E2959" t="s">
        <v>56</v>
      </c>
    </row>
    <row r="2960" spans="1:5">
      <c r="A2960" t="s">
        <v>33</v>
      </c>
      <c r="B2960" s="11" t="s">
        <v>63</v>
      </c>
      <c r="C2960">
        <v>2004</v>
      </c>
      <c r="D2960" s="9">
        <v>5885.51</v>
      </c>
      <c r="E2960" t="s">
        <v>56</v>
      </c>
    </row>
    <row r="2961" spans="1:5">
      <c r="A2961" t="s">
        <v>33</v>
      </c>
      <c r="B2961" s="11" t="s">
        <v>75</v>
      </c>
      <c r="C2961">
        <v>2004</v>
      </c>
      <c r="D2961" s="9">
        <v>6154.96</v>
      </c>
      <c r="E2961" t="s">
        <v>56</v>
      </c>
    </row>
    <row r="2962" spans="1:5">
      <c r="A2962" t="s">
        <v>33</v>
      </c>
      <c r="B2962" s="11" t="s">
        <v>64</v>
      </c>
      <c r="C2962">
        <v>2004</v>
      </c>
      <c r="D2962" s="9">
        <v>4689.6400000000003</v>
      </c>
      <c r="E2962" t="s">
        <v>57</v>
      </c>
    </row>
    <row r="2963" spans="1:5">
      <c r="A2963" t="s">
        <v>33</v>
      </c>
      <c r="B2963" s="11" t="s">
        <v>65</v>
      </c>
      <c r="C2963">
        <v>2004</v>
      </c>
      <c r="D2963" s="9">
        <v>4573.25</v>
      </c>
      <c r="E2963" t="s">
        <v>57</v>
      </c>
    </row>
    <row r="2964" spans="1:5">
      <c r="A2964" t="s">
        <v>33</v>
      </c>
      <c r="B2964" s="11" t="s">
        <v>66</v>
      </c>
      <c r="C2964">
        <v>2004</v>
      </c>
      <c r="D2964" s="9">
        <v>9653.6200000000008</v>
      </c>
      <c r="E2964" t="s">
        <v>57</v>
      </c>
    </row>
    <row r="2965" spans="1:5">
      <c r="A2965" t="s">
        <v>33</v>
      </c>
      <c r="B2965" s="11" t="s">
        <v>67</v>
      </c>
      <c r="C2965">
        <v>2004</v>
      </c>
      <c r="D2965" s="9">
        <v>4356.2700000000004</v>
      </c>
      <c r="E2965" t="s">
        <v>57</v>
      </c>
    </row>
    <row r="2966" spans="1:5">
      <c r="A2966" t="s">
        <v>33</v>
      </c>
      <c r="B2966" s="11" t="s">
        <v>76</v>
      </c>
      <c r="C2966">
        <v>2004</v>
      </c>
      <c r="D2966" s="9">
        <v>2765.67</v>
      </c>
      <c r="E2966" t="s">
        <v>57</v>
      </c>
    </row>
    <row r="2967" spans="1:5">
      <c r="A2967" t="s">
        <v>33</v>
      </c>
      <c r="B2967" s="11" t="s">
        <v>68</v>
      </c>
      <c r="C2967">
        <v>2004</v>
      </c>
      <c r="D2967" s="9">
        <v>5775.92</v>
      </c>
      <c r="E2967" t="s">
        <v>58</v>
      </c>
    </row>
    <row r="2968" spans="1:5">
      <c r="A2968" t="s">
        <v>33</v>
      </c>
      <c r="B2968" s="11" t="s">
        <v>69</v>
      </c>
      <c r="C2968">
        <v>2004</v>
      </c>
      <c r="D2968" s="9">
        <v>4243.1899999999996</v>
      </c>
      <c r="E2968" t="s">
        <v>58</v>
      </c>
    </row>
    <row r="2969" spans="1:5">
      <c r="A2969" t="s">
        <v>33</v>
      </c>
      <c r="B2969" s="11" t="s">
        <v>77</v>
      </c>
      <c r="C2969">
        <v>2004</v>
      </c>
      <c r="D2969" s="9">
        <v>6749</v>
      </c>
      <c r="E2969" t="s">
        <v>58</v>
      </c>
    </row>
    <row r="2970" spans="1:5">
      <c r="A2970" t="s">
        <v>33</v>
      </c>
      <c r="B2970" s="11" t="s">
        <v>70</v>
      </c>
      <c r="C2970">
        <v>2004</v>
      </c>
      <c r="D2970" s="9">
        <v>4964.9399999999996</v>
      </c>
      <c r="E2970" t="s">
        <v>59</v>
      </c>
    </row>
    <row r="2971" spans="1:5">
      <c r="A2971" t="s">
        <v>33</v>
      </c>
      <c r="B2971" s="11" t="s">
        <v>71</v>
      </c>
      <c r="C2971">
        <v>2004</v>
      </c>
      <c r="D2971" s="9">
        <v>5182.71</v>
      </c>
      <c r="E2971" t="s">
        <v>59</v>
      </c>
    </row>
    <row r="2972" spans="1:5">
      <c r="A2972" t="s">
        <v>33</v>
      </c>
      <c r="B2972" s="11" t="s">
        <v>72</v>
      </c>
      <c r="C2972">
        <v>2004</v>
      </c>
      <c r="D2972" s="9">
        <v>5469.39</v>
      </c>
      <c r="E2972" t="s">
        <v>59</v>
      </c>
    </row>
    <row r="2973" spans="1:5">
      <c r="A2973" t="s">
        <v>33</v>
      </c>
      <c r="B2973" s="11" t="s">
        <v>78</v>
      </c>
      <c r="C2973">
        <v>2004</v>
      </c>
      <c r="D2973" s="9">
        <v>4168.74</v>
      </c>
      <c r="E2973" t="s">
        <v>59</v>
      </c>
    </row>
    <row r="2974" spans="1:5">
      <c r="A2974" t="s">
        <v>33</v>
      </c>
      <c r="B2974" s="11" t="s">
        <v>73</v>
      </c>
      <c r="C2974">
        <v>2004</v>
      </c>
      <c r="D2974" s="9">
        <v>8091.95</v>
      </c>
      <c r="E2974" t="s">
        <v>60</v>
      </c>
    </row>
    <row r="2975" spans="1:5">
      <c r="A2975" t="s">
        <v>33</v>
      </c>
      <c r="B2975" s="11" t="s">
        <v>74</v>
      </c>
      <c r="C2975">
        <v>2004</v>
      </c>
      <c r="D2975" s="9">
        <v>4277.97</v>
      </c>
      <c r="E2975" t="s">
        <v>60</v>
      </c>
    </row>
    <row r="2976" spans="1:5">
      <c r="A2976" t="s">
        <v>34</v>
      </c>
      <c r="B2976" s="11" t="s">
        <v>61</v>
      </c>
      <c r="C2976">
        <v>2004</v>
      </c>
      <c r="D2976" s="9">
        <v>4624.45</v>
      </c>
      <c r="E2976" t="s">
        <v>56</v>
      </c>
    </row>
    <row r="2977" spans="1:5">
      <c r="A2977" t="s">
        <v>34</v>
      </c>
      <c r="B2977" s="11" t="s">
        <v>62</v>
      </c>
      <c r="C2977">
        <v>2004</v>
      </c>
      <c r="D2977" s="9">
        <v>4963.63</v>
      </c>
      <c r="E2977" t="s">
        <v>56</v>
      </c>
    </row>
    <row r="2978" spans="1:5">
      <c r="A2978" t="s">
        <v>34</v>
      </c>
      <c r="B2978" s="11" t="s">
        <v>63</v>
      </c>
      <c r="C2978">
        <v>2004</v>
      </c>
      <c r="D2978" s="9">
        <v>6237.25</v>
      </c>
      <c r="E2978" t="s">
        <v>56</v>
      </c>
    </row>
    <row r="2979" spans="1:5">
      <c r="A2979" t="s">
        <v>34</v>
      </c>
      <c r="B2979" s="11" t="s">
        <v>64</v>
      </c>
      <c r="C2979">
        <v>2004</v>
      </c>
      <c r="D2979" s="9">
        <v>5766.5</v>
      </c>
      <c r="E2979" t="s">
        <v>57</v>
      </c>
    </row>
    <row r="2980" spans="1:5">
      <c r="A2980" t="s">
        <v>34</v>
      </c>
      <c r="B2980" s="11" t="s">
        <v>65</v>
      </c>
      <c r="C2980">
        <v>2004</v>
      </c>
      <c r="D2980" s="9">
        <v>4846.41</v>
      </c>
      <c r="E2980" t="s">
        <v>57</v>
      </c>
    </row>
    <row r="2981" spans="1:5">
      <c r="A2981" t="s">
        <v>34</v>
      </c>
      <c r="B2981" s="11" t="s">
        <v>66</v>
      </c>
      <c r="C2981">
        <v>2004</v>
      </c>
      <c r="D2981" s="9">
        <v>10367.25</v>
      </c>
      <c r="E2981" t="s">
        <v>57</v>
      </c>
    </row>
    <row r="2982" spans="1:5">
      <c r="A2982" t="s">
        <v>34</v>
      </c>
      <c r="B2982" s="11" t="s">
        <v>67</v>
      </c>
      <c r="C2982">
        <v>2004</v>
      </c>
      <c r="D2982" s="9">
        <v>2719.78</v>
      </c>
      <c r="E2982" t="s">
        <v>57</v>
      </c>
    </row>
    <row r="2983" spans="1:5">
      <c r="A2983" t="s">
        <v>34</v>
      </c>
      <c r="B2983" s="11" t="s">
        <v>76</v>
      </c>
      <c r="C2983">
        <v>2004</v>
      </c>
      <c r="D2983" s="9">
        <v>3331.84</v>
      </c>
      <c r="E2983" t="s">
        <v>57</v>
      </c>
    </row>
    <row r="2984" spans="1:5">
      <c r="A2984" t="s">
        <v>34</v>
      </c>
      <c r="B2984" s="11" t="s">
        <v>68</v>
      </c>
      <c r="C2984">
        <v>2004</v>
      </c>
      <c r="D2984" s="9">
        <v>5334.96</v>
      </c>
      <c r="E2984" t="s">
        <v>58</v>
      </c>
    </row>
    <row r="2985" spans="1:5">
      <c r="A2985" t="s">
        <v>34</v>
      </c>
      <c r="B2985" s="11" t="s">
        <v>69</v>
      </c>
      <c r="C2985">
        <v>2004</v>
      </c>
      <c r="D2985" s="9">
        <v>3904.92</v>
      </c>
      <c r="E2985" t="s">
        <v>58</v>
      </c>
    </row>
    <row r="2986" spans="1:5">
      <c r="A2986" t="s">
        <v>34</v>
      </c>
      <c r="B2986" s="11" t="s">
        <v>77</v>
      </c>
      <c r="C2986">
        <v>2004</v>
      </c>
      <c r="D2986" s="9">
        <v>5813.51</v>
      </c>
      <c r="E2986" t="s">
        <v>58</v>
      </c>
    </row>
    <row r="2987" spans="1:5">
      <c r="A2987" t="s">
        <v>34</v>
      </c>
      <c r="B2987" s="11" t="s">
        <v>70</v>
      </c>
      <c r="C2987">
        <v>2004</v>
      </c>
      <c r="D2987" s="9">
        <v>6071.13</v>
      </c>
      <c r="E2987" t="s">
        <v>59</v>
      </c>
    </row>
    <row r="2988" spans="1:5">
      <c r="A2988" t="s">
        <v>34</v>
      </c>
      <c r="B2988" s="11" t="s">
        <v>71</v>
      </c>
      <c r="C2988">
        <v>2004</v>
      </c>
      <c r="D2988" s="9">
        <v>5309.31</v>
      </c>
      <c r="E2988" t="s">
        <v>59</v>
      </c>
    </row>
    <row r="2989" spans="1:5">
      <c r="A2989" t="s">
        <v>34</v>
      </c>
      <c r="B2989" s="11" t="s">
        <v>72</v>
      </c>
      <c r="C2989">
        <v>2004</v>
      </c>
      <c r="D2989" s="9">
        <v>6935.37</v>
      </c>
      <c r="E2989" t="s">
        <v>59</v>
      </c>
    </row>
    <row r="2990" spans="1:5">
      <c r="A2990" t="s">
        <v>34</v>
      </c>
      <c r="B2990" s="11" t="s">
        <v>78</v>
      </c>
      <c r="C2990">
        <v>2004</v>
      </c>
      <c r="D2990" s="9">
        <v>5820.11</v>
      </c>
      <c r="E2990" t="s">
        <v>59</v>
      </c>
    </row>
    <row r="2991" spans="1:5">
      <c r="A2991" t="s">
        <v>34</v>
      </c>
      <c r="B2991" s="11" t="s">
        <v>73</v>
      </c>
      <c r="C2991">
        <v>2004</v>
      </c>
      <c r="D2991" s="9">
        <v>4990.54</v>
      </c>
      <c r="E2991" t="s">
        <v>60</v>
      </c>
    </row>
    <row r="2992" spans="1:5">
      <c r="A2992" t="s">
        <v>34</v>
      </c>
      <c r="B2992" s="11" t="s">
        <v>74</v>
      </c>
      <c r="C2992">
        <v>2004</v>
      </c>
      <c r="D2992" s="9">
        <v>4589.4799999999996</v>
      </c>
      <c r="E2992" t="s">
        <v>60</v>
      </c>
    </row>
    <row r="2993" spans="1:5">
      <c r="A2993" t="s">
        <v>35</v>
      </c>
      <c r="B2993" s="11" t="s">
        <v>61</v>
      </c>
      <c r="C2993">
        <v>2004</v>
      </c>
      <c r="D2993" s="9">
        <v>4783.71</v>
      </c>
      <c r="E2993" t="s">
        <v>56</v>
      </c>
    </row>
    <row r="2994" spans="1:5">
      <c r="A2994" t="s">
        <v>35</v>
      </c>
      <c r="B2994" s="11" t="s">
        <v>62</v>
      </c>
      <c r="C2994">
        <v>2004</v>
      </c>
      <c r="D2994" s="9">
        <v>4193.6099999999997</v>
      </c>
      <c r="E2994" t="s">
        <v>56</v>
      </c>
    </row>
    <row r="2995" spans="1:5">
      <c r="A2995" t="s">
        <v>35</v>
      </c>
      <c r="B2995" s="11" t="s">
        <v>63</v>
      </c>
      <c r="C2995">
        <v>2004</v>
      </c>
      <c r="D2995" s="9">
        <v>6814.81</v>
      </c>
      <c r="E2995" t="s">
        <v>56</v>
      </c>
    </row>
    <row r="2996" spans="1:5">
      <c r="A2996" t="s">
        <v>35</v>
      </c>
      <c r="B2996" s="11" t="s">
        <v>75</v>
      </c>
      <c r="C2996">
        <v>2004</v>
      </c>
      <c r="D2996" s="9">
        <v>5344.69</v>
      </c>
      <c r="E2996" t="s">
        <v>56</v>
      </c>
    </row>
    <row r="2997" spans="1:5">
      <c r="A2997" t="s">
        <v>35</v>
      </c>
      <c r="B2997" s="11" t="s">
        <v>64</v>
      </c>
      <c r="C2997">
        <v>2004</v>
      </c>
      <c r="D2997" s="9">
        <v>6029.19</v>
      </c>
      <c r="E2997" t="s">
        <v>57</v>
      </c>
    </row>
    <row r="2998" spans="1:5">
      <c r="A2998" t="s">
        <v>35</v>
      </c>
      <c r="B2998" s="11" t="s">
        <v>65</v>
      </c>
      <c r="C2998">
        <v>2004</v>
      </c>
      <c r="D2998" s="9">
        <v>4779.5600000000004</v>
      </c>
      <c r="E2998" t="s">
        <v>57</v>
      </c>
    </row>
    <row r="2999" spans="1:5">
      <c r="A2999" t="s">
        <v>35</v>
      </c>
      <c r="B2999" s="11" t="s">
        <v>66</v>
      </c>
      <c r="C2999">
        <v>2004</v>
      </c>
      <c r="D2999" s="9">
        <v>9324.1299999999992</v>
      </c>
      <c r="E2999" t="s">
        <v>57</v>
      </c>
    </row>
    <row r="3000" spans="1:5">
      <c r="A3000" t="s">
        <v>35</v>
      </c>
      <c r="B3000" s="11" t="s">
        <v>67</v>
      </c>
      <c r="C3000">
        <v>2004</v>
      </c>
      <c r="D3000" s="9">
        <v>3711.68</v>
      </c>
      <c r="E3000" t="s">
        <v>57</v>
      </c>
    </row>
    <row r="3001" spans="1:5">
      <c r="A3001" t="s">
        <v>35</v>
      </c>
      <c r="B3001" s="11" t="s">
        <v>76</v>
      </c>
      <c r="C3001">
        <v>2004</v>
      </c>
      <c r="D3001" s="9">
        <v>2813.46</v>
      </c>
      <c r="E3001" t="s">
        <v>57</v>
      </c>
    </row>
    <row r="3002" spans="1:5">
      <c r="A3002" t="s">
        <v>35</v>
      </c>
      <c r="B3002" s="11" t="s">
        <v>68</v>
      </c>
      <c r="C3002">
        <v>2004</v>
      </c>
      <c r="D3002" s="9">
        <v>4477.32</v>
      </c>
      <c r="E3002" t="s">
        <v>58</v>
      </c>
    </row>
    <row r="3003" spans="1:5">
      <c r="A3003" t="s">
        <v>35</v>
      </c>
      <c r="B3003" s="11" t="s">
        <v>69</v>
      </c>
      <c r="C3003">
        <v>2004</v>
      </c>
      <c r="D3003" s="9">
        <v>2752.74</v>
      </c>
      <c r="E3003" t="s">
        <v>58</v>
      </c>
    </row>
    <row r="3004" spans="1:5">
      <c r="A3004" t="s">
        <v>35</v>
      </c>
      <c r="B3004" s="11" t="s">
        <v>77</v>
      </c>
      <c r="C3004">
        <v>2004</v>
      </c>
      <c r="D3004" s="9">
        <v>5708.12</v>
      </c>
      <c r="E3004" t="s">
        <v>58</v>
      </c>
    </row>
    <row r="3005" spans="1:5">
      <c r="A3005" t="s">
        <v>35</v>
      </c>
      <c r="B3005" s="11" t="s">
        <v>70</v>
      </c>
      <c r="C3005">
        <v>2004</v>
      </c>
      <c r="D3005" s="9">
        <v>4588.74</v>
      </c>
      <c r="E3005" t="s">
        <v>59</v>
      </c>
    </row>
    <row r="3006" spans="1:5">
      <c r="A3006" t="s">
        <v>35</v>
      </c>
      <c r="B3006" s="11" t="s">
        <v>71</v>
      </c>
      <c r="C3006">
        <v>2004</v>
      </c>
      <c r="D3006" s="9">
        <v>6491.68</v>
      </c>
      <c r="E3006" t="s">
        <v>59</v>
      </c>
    </row>
    <row r="3007" spans="1:5">
      <c r="A3007" t="s">
        <v>35</v>
      </c>
      <c r="B3007" s="11" t="s">
        <v>72</v>
      </c>
      <c r="C3007">
        <v>2004</v>
      </c>
      <c r="D3007" s="9">
        <v>7174.95</v>
      </c>
      <c r="E3007" t="s">
        <v>59</v>
      </c>
    </row>
    <row r="3008" spans="1:5">
      <c r="A3008" t="s">
        <v>35</v>
      </c>
      <c r="B3008" s="11" t="s">
        <v>78</v>
      </c>
      <c r="C3008">
        <v>2004</v>
      </c>
      <c r="D3008" s="9">
        <v>5247.52</v>
      </c>
      <c r="E3008" t="s">
        <v>59</v>
      </c>
    </row>
    <row r="3009" spans="1:5">
      <c r="A3009" t="s">
        <v>35</v>
      </c>
      <c r="B3009" s="11" t="s">
        <v>73</v>
      </c>
      <c r="C3009">
        <v>2004</v>
      </c>
      <c r="D3009" s="9">
        <v>6158.8</v>
      </c>
      <c r="E3009" t="s">
        <v>60</v>
      </c>
    </row>
    <row r="3010" spans="1:5">
      <c r="A3010" t="s">
        <v>35</v>
      </c>
      <c r="B3010" s="11" t="s">
        <v>74</v>
      </c>
      <c r="C3010">
        <v>2004</v>
      </c>
      <c r="D3010" s="9">
        <v>5376.13</v>
      </c>
      <c r="E3010" t="s">
        <v>60</v>
      </c>
    </row>
    <row r="3011" spans="1:5">
      <c r="A3011" t="s">
        <v>36</v>
      </c>
      <c r="B3011" s="11" t="s">
        <v>61</v>
      </c>
      <c r="C3011">
        <v>2004</v>
      </c>
      <c r="D3011" s="9">
        <v>4463.2299999999996</v>
      </c>
      <c r="E3011" t="s">
        <v>56</v>
      </c>
    </row>
    <row r="3012" spans="1:5">
      <c r="A3012" t="s">
        <v>36</v>
      </c>
      <c r="B3012" s="11" t="s">
        <v>62</v>
      </c>
      <c r="C3012">
        <v>2004</v>
      </c>
      <c r="D3012" s="9">
        <v>2651.39</v>
      </c>
      <c r="E3012" t="s">
        <v>56</v>
      </c>
    </row>
    <row r="3013" spans="1:5">
      <c r="A3013" t="s">
        <v>36</v>
      </c>
      <c r="B3013" s="11" t="s">
        <v>63</v>
      </c>
      <c r="C3013">
        <v>2004</v>
      </c>
      <c r="D3013" s="9">
        <v>4672.3500000000004</v>
      </c>
      <c r="E3013" t="s">
        <v>56</v>
      </c>
    </row>
    <row r="3014" spans="1:5">
      <c r="A3014" t="s">
        <v>36</v>
      </c>
      <c r="B3014" s="11" t="s">
        <v>75</v>
      </c>
      <c r="C3014">
        <v>2004</v>
      </c>
      <c r="D3014" s="9">
        <v>5329.9</v>
      </c>
      <c r="E3014" t="s">
        <v>56</v>
      </c>
    </row>
    <row r="3015" spans="1:5">
      <c r="A3015" t="s">
        <v>36</v>
      </c>
      <c r="B3015" s="11" t="s">
        <v>64</v>
      </c>
      <c r="C3015">
        <v>2004</v>
      </c>
      <c r="D3015" s="9">
        <v>4978.7700000000004</v>
      </c>
      <c r="E3015" t="s">
        <v>57</v>
      </c>
    </row>
    <row r="3016" spans="1:5">
      <c r="A3016" t="s">
        <v>36</v>
      </c>
      <c r="B3016" s="11" t="s">
        <v>65</v>
      </c>
      <c r="C3016">
        <v>2004</v>
      </c>
      <c r="D3016" s="9">
        <v>2521.0100000000002</v>
      </c>
      <c r="E3016" t="s">
        <v>57</v>
      </c>
    </row>
    <row r="3017" spans="1:5">
      <c r="A3017" t="s">
        <v>36</v>
      </c>
      <c r="B3017" s="11" t="s">
        <v>66</v>
      </c>
      <c r="C3017">
        <v>2004</v>
      </c>
      <c r="D3017" s="9">
        <v>7496.5</v>
      </c>
      <c r="E3017" t="s">
        <v>57</v>
      </c>
    </row>
    <row r="3018" spans="1:5">
      <c r="A3018" t="s">
        <v>36</v>
      </c>
      <c r="B3018" s="11" t="s">
        <v>67</v>
      </c>
      <c r="C3018">
        <v>2004</v>
      </c>
      <c r="D3018" s="9">
        <v>3629.96</v>
      </c>
      <c r="E3018" t="s">
        <v>57</v>
      </c>
    </row>
    <row r="3019" spans="1:5">
      <c r="A3019" t="s">
        <v>36</v>
      </c>
      <c r="B3019" s="11" t="s">
        <v>76</v>
      </c>
      <c r="C3019">
        <v>2004</v>
      </c>
      <c r="D3019" s="9">
        <v>2583.27</v>
      </c>
      <c r="E3019" t="s">
        <v>57</v>
      </c>
    </row>
    <row r="3020" spans="1:5">
      <c r="A3020" t="s">
        <v>36</v>
      </c>
      <c r="B3020" s="11" t="s">
        <v>68</v>
      </c>
      <c r="C3020">
        <v>2004</v>
      </c>
      <c r="D3020" s="9">
        <v>4460.67</v>
      </c>
      <c r="E3020" t="s">
        <v>58</v>
      </c>
    </row>
    <row r="3021" spans="1:5">
      <c r="A3021" t="s">
        <v>36</v>
      </c>
      <c r="B3021" s="11" t="s">
        <v>69</v>
      </c>
      <c r="C3021">
        <v>2004</v>
      </c>
      <c r="D3021" s="9">
        <v>3407.63</v>
      </c>
      <c r="E3021" t="s">
        <v>58</v>
      </c>
    </row>
    <row r="3022" spans="1:5">
      <c r="A3022" t="s">
        <v>36</v>
      </c>
      <c r="B3022" s="11" t="s">
        <v>77</v>
      </c>
      <c r="C3022">
        <v>2004</v>
      </c>
      <c r="D3022" s="9">
        <v>4792.13</v>
      </c>
      <c r="E3022" t="s">
        <v>58</v>
      </c>
    </row>
    <row r="3023" spans="1:5">
      <c r="A3023" t="s">
        <v>36</v>
      </c>
      <c r="B3023" s="11" t="s">
        <v>70</v>
      </c>
      <c r="C3023">
        <v>2004</v>
      </c>
      <c r="D3023" s="9">
        <v>3218.99</v>
      </c>
      <c r="E3023" t="s">
        <v>59</v>
      </c>
    </row>
    <row r="3024" spans="1:5">
      <c r="A3024" t="s">
        <v>36</v>
      </c>
      <c r="B3024" s="11" t="s">
        <v>71</v>
      </c>
      <c r="C3024">
        <v>2004</v>
      </c>
      <c r="D3024" s="9">
        <v>6311.44</v>
      </c>
      <c r="E3024" t="s">
        <v>59</v>
      </c>
    </row>
    <row r="3025" spans="1:5">
      <c r="A3025" t="s">
        <v>36</v>
      </c>
      <c r="B3025" s="11" t="s">
        <v>72</v>
      </c>
      <c r="C3025">
        <v>2004</v>
      </c>
      <c r="D3025" s="9">
        <v>6486.73</v>
      </c>
      <c r="E3025" t="s">
        <v>59</v>
      </c>
    </row>
    <row r="3026" spans="1:5">
      <c r="A3026" t="s">
        <v>36</v>
      </c>
      <c r="B3026" s="11" t="s">
        <v>78</v>
      </c>
      <c r="C3026">
        <v>2004</v>
      </c>
      <c r="D3026" s="9">
        <v>4028.24</v>
      </c>
      <c r="E3026" t="s">
        <v>59</v>
      </c>
    </row>
    <row r="3027" spans="1:5">
      <c r="A3027" t="s">
        <v>36</v>
      </c>
      <c r="B3027" s="11" t="s">
        <v>73</v>
      </c>
      <c r="C3027">
        <v>2004</v>
      </c>
      <c r="D3027" s="9">
        <v>5876.29</v>
      </c>
      <c r="E3027" t="s">
        <v>60</v>
      </c>
    </row>
    <row r="3028" spans="1:5">
      <c r="A3028" t="s">
        <v>36</v>
      </c>
      <c r="B3028" s="11" t="s">
        <v>74</v>
      </c>
      <c r="C3028">
        <v>2004</v>
      </c>
      <c r="D3028" s="9">
        <v>6249.7</v>
      </c>
      <c r="E3028" t="s">
        <v>60</v>
      </c>
    </row>
    <row r="3029" spans="1:5">
      <c r="A3029" t="s">
        <v>37</v>
      </c>
      <c r="B3029" s="11" t="s">
        <v>61</v>
      </c>
      <c r="C3029">
        <v>2004</v>
      </c>
      <c r="D3029" s="9">
        <v>5566.51</v>
      </c>
      <c r="E3029" t="s">
        <v>56</v>
      </c>
    </row>
    <row r="3030" spans="1:5">
      <c r="A3030" t="s">
        <v>37</v>
      </c>
      <c r="B3030" s="11" t="s">
        <v>62</v>
      </c>
      <c r="C3030">
        <v>2004</v>
      </c>
      <c r="D3030" s="9">
        <v>2571.87</v>
      </c>
      <c r="E3030" t="s">
        <v>56</v>
      </c>
    </row>
    <row r="3031" spans="1:5">
      <c r="A3031" t="s">
        <v>37</v>
      </c>
      <c r="B3031" s="11" t="s">
        <v>63</v>
      </c>
      <c r="C3031">
        <v>2004</v>
      </c>
      <c r="D3031" s="9">
        <v>4941.78</v>
      </c>
      <c r="E3031" t="s">
        <v>56</v>
      </c>
    </row>
    <row r="3032" spans="1:5">
      <c r="A3032" t="s">
        <v>37</v>
      </c>
      <c r="B3032" s="11" t="s">
        <v>75</v>
      </c>
      <c r="C3032">
        <v>2004</v>
      </c>
      <c r="D3032" s="9">
        <v>5433.88</v>
      </c>
      <c r="E3032" t="s">
        <v>56</v>
      </c>
    </row>
    <row r="3033" spans="1:5">
      <c r="A3033" t="s">
        <v>37</v>
      </c>
      <c r="B3033" s="11" t="s">
        <v>64</v>
      </c>
      <c r="C3033">
        <v>2004</v>
      </c>
      <c r="D3033" s="9">
        <v>4835.01</v>
      </c>
      <c r="E3033" t="s">
        <v>57</v>
      </c>
    </row>
    <row r="3034" spans="1:5">
      <c r="A3034" t="s">
        <v>37</v>
      </c>
      <c r="B3034" s="11" t="s">
        <v>65</v>
      </c>
      <c r="C3034">
        <v>2004</v>
      </c>
      <c r="D3034" s="9">
        <v>3300.43</v>
      </c>
      <c r="E3034" t="s">
        <v>57</v>
      </c>
    </row>
    <row r="3035" spans="1:5">
      <c r="A3035" t="s">
        <v>37</v>
      </c>
      <c r="B3035" s="11" t="s">
        <v>66</v>
      </c>
      <c r="C3035">
        <v>2004</v>
      </c>
      <c r="D3035" s="9">
        <v>7230.54</v>
      </c>
      <c r="E3035" t="s">
        <v>57</v>
      </c>
    </row>
    <row r="3036" spans="1:5">
      <c r="A3036" t="s">
        <v>37</v>
      </c>
      <c r="B3036" s="11" t="s">
        <v>67</v>
      </c>
      <c r="C3036">
        <v>2004</v>
      </c>
      <c r="D3036" s="9">
        <v>3979.53</v>
      </c>
      <c r="E3036" t="s">
        <v>57</v>
      </c>
    </row>
    <row r="3037" spans="1:5">
      <c r="A3037" t="s">
        <v>37</v>
      </c>
      <c r="B3037" s="11" t="s">
        <v>76</v>
      </c>
      <c r="C3037">
        <v>2004</v>
      </c>
      <c r="D3037" s="9">
        <v>2336.7399999999998</v>
      </c>
      <c r="E3037" t="s">
        <v>57</v>
      </c>
    </row>
    <row r="3038" spans="1:5">
      <c r="A3038" t="s">
        <v>37</v>
      </c>
      <c r="B3038" s="11" t="s">
        <v>68</v>
      </c>
      <c r="C3038">
        <v>2004</v>
      </c>
      <c r="D3038" s="9">
        <v>3694.96</v>
      </c>
      <c r="E3038" t="s">
        <v>58</v>
      </c>
    </row>
    <row r="3039" spans="1:5">
      <c r="A3039" t="s">
        <v>37</v>
      </c>
      <c r="B3039" s="11" t="s">
        <v>69</v>
      </c>
      <c r="C3039">
        <v>2004</v>
      </c>
      <c r="D3039" s="9">
        <v>3858.09</v>
      </c>
      <c r="E3039" t="s">
        <v>58</v>
      </c>
    </row>
    <row r="3040" spans="1:5">
      <c r="A3040" t="s">
        <v>37</v>
      </c>
      <c r="B3040" s="11" t="s">
        <v>77</v>
      </c>
      <c r="C3040">
        <v>2004</v>
      </c>
      <c r="D3040" s="9">
        <v>3999.78</v>
      </c>
      <c r="E3040" t="s">
        <v>58</v>
      </c>
    </row>
    <row r="3041" spans="1:5">
      <c r="A3041" t="s">
        <v>37</v>
      </c>
      <c r="B3041" s="11" t="s">
        <v>70</v>
      </c>
      <c r="C3041">
        <v>2004</v>
      </c>
      <c r="D3041" s="9">
        <v>4090.2</v>
      </c>
      <c r="E3041" t="s">
        <v>59</v>
      </c>
    </row>
    <row r="3042" spans="1:5">
      <c r="A3042" t="s">
        <v>37</v>
      </c>
      <c r="B3042" s="11" t="s">
        <v>71</v>
      </c>
      <c r="C3042">
        <v>2004</v>
      </c>
      <c r="D3042" s="9">
        <v>7473.93</v>
      </c>
      <c r="E3042" t="s">
        <v>59</v>
      </c>
    </row>
    <row r="3043" spans="1:5">
      <c r="A3043" t="s">
        <v>37</v>
      </c>
      <c r="B3043" s="11" t="s">
        <v>72</v>
      </c>
      <c r="C3043">
        <v>2004</v>
      </c>
      <c r="D3043" s="9">
        <v>5423.56</v>
      </c>
      <c r="E3043" t="s">
        <v>59</v>
      </c>
    </row>
    <row r="3044" spans="1:5">
      <c r="A3044" t="s">
        <v>37</v>
      </c>
      <c r="B3044" s="11" t="s">
        <v>78</v>
      </c>
      <c r="C3044">
        <v>2004</v>
      </c>
      <c r="D3044" s="9">
        <v>3863.74</v>
      </c>
      <c r="E3044" t="s">
        <v>59</v>
      </c>
    </row>
    <row r="3045" spans="1:5">
      <c r="A3045" t="s">
        <v>37</v>
      </c>
      <c r="B3045" s="11" t="s">
        <v>73</v>
      </c>
      <c r="C3045">
        <v>2004</v>
      </c>
      <c r="D3045" s="9">
        <v>6192.8</v>
      </c>
      <c r="E3045" t="s">
        <v>60</v>
      </c>
    </row>
    <row r="3046" spans="1:5">
      <c r="A3046" t="s">
        <v>37</v>
      </c>
      <c r="B3046" s="11" t="s">
        <v>74</v>
      </c>
      <c r="C3046">
        <v>2004</v>
      </c>
      <c r="D3046" s="9">
        <v>4292.3599999999997</v>
      </c>
      <c r="E3046" t="s">
        <v>60</v>
      </c>
    </row>
    <row r="3047" spans="1:5">
      <c r="A3047" t="s">
        <v>38</v>
      </c>
      <c r="B3047" s="11" t="s">
        <v>61</v>
      </c>
      <c r="C3047">
        <v>2004</v>
      </c>
      <c r="D3047" s="9">
        <v>4805.6499999999996</v>
      </c>
      <c r="E3047" t="s">
        <v>56</v>
      </c>
    </row>
    <row r="3048" spans="1:5">
      <c r="A3048" t="s">
        <v>38</v>
      </c>
      <c r="B3048" s="11" t="s">
        <v>62</v>
      </c>
      <c r="C3048">
        <v>2004</v>
      </c>
      <c r="D3048" s="9">
        <v>2643.55</v>
      </c>
      <c r="E3048" t="s">
        <v>56</v>
      </c>
    </row>
    <row r="3049" spans="1:5">
      <c r="A3049" t="s">
        <v>38</v>
      </c>
      <c r="B3049" s="11" t="s">
        <v>63</v>
      </c>
      <c r="C3049">
        <v>2004</v>
      </c>
      <c r="D3049" s="9">
        <v>5021.24</v>
      </c>
      <c r="E3049" t="s">
        <v>56</v>
      </c>
    </row>
    <row r="3050" spans="1:5">
      <c r="A3050" t="s">
        <v>38</v>
      </c>
      <c r="B3050" s="11" t="s">
        <v>75</v>
      </c>
      <c r="C3050">
        <v>2004</v>
      </c>
      <c r="D3050" s="9">
        <v>6292.15</v>
      </c>
      <c r="E3050" t="s">
        <v>56</v>
      </c>
    </row>
    <row r="3051" spans="1:5">
      <c r="A3051" t="s">
        <v>38</v>
      </c>
      <c r="B3051" s="11" t="s">
        <v>64</v>
      </c>
      <c r="C3051">
        <v>2004</v>
      </c>
      <c r="D3051" s="9">
        <v>5181.18</v>
      </c>
      <c r="E3051" t="s">
        <v>57</v>
      </c>
    </row>
    <row r="3052" spans="1:5">
      <c r="A3052" t="s">
        <v>38</v>
      </c>
      <c r="B3052" s="11" t="s">
        <v>65</v>
      </c>
      <c r="C3052">
        <v>2004</v>
      </c>
      <c r="D3052" s="9">
        <v>3345.91</v>
      </c>
      <c r="E3052" t="s">
        <v>57</v>
      </c>
    </row>
    <row r="3053" spans="1:5">
      <c r="A3053" t="s">
        <v>38</v>
      </c>
      <c r="B3053" s="11" t="s">
        <v>66</v>
      </c>
      <c r="C3053">
        <v>2004</v>
      </c>
      <c r="D3053" s="9">
        <v>7517.98</v>
      </c>
      <c r="E3053" t="s">
        <v>57</v>
      </c>
    </row>
    <row r="3054" spans="1:5">
      <c r="A3054" t="s">
        <v>38</v>
      </c>
      <c r="B3054" s="11" t="s">
        <v>67</v>
      </c>
      <c r="C3054">
        <v>2004</v>
      </c>
      <c r="D3054" s="9">
        <v>3308.41</v>
      </c>
      <c r="E3054" t="s">
        <v>57</v>
      </c>
    </row>
    <row r="3055" spans="1:5">
      <c r="A3055" t="s">
        <v>38</v>
      </c>
      <c r="B3055" s="11" t="s">
        <v>76</v>
      </c>
      <c r="C3055">
        <v>2004</v>
      </c>
      <c r="D3055" s="9">
        <v>2246.8000000000002</v>
      </c>
      <c r="E3055" t="s">
        <v>57</v>
      </c>
    </row>
    <row r="3056" spans="1:5">
      <c r="A3056" t="s">
        <v>38</v>
      </c>
      <c r="B3056" s="11" t="s">
        <v>68</v>
      </c>
      <c r="C3056">
        <v>2004</v>
      </c>
      <c r="D3056" s="9">
        <v>2916.61</v>
      </c>
      <c r="E3056" t="s">
        <v>58</v>
      </c>
    </row>
    <row r="3057" spans="1:5">
      <c r="A3057" t="s">
        <v>38</v>
      </c>
      <c r="B3057" s="11" t="s">
        <v>69</v>
      </c>
      <c r="C3057">
        <v>2004</v>
      </c>
      <c r="D3057" s="9">
        <v>3796.31</v>
      </c>
      <c r="E3057" t="s">
        <v>58</v>
      </c>
    </row>
    <row r="3058" spans="1:5">
      <c r="A3058" t="s">
        <v>38</v>
      </c>
      <c r="B3058" s="11" t="s">
        <v>77</v>
      </c>
      <c r="C3058">
        <v>2004</v>
      </c>
      <c r="D3058" s="9">
        <v>3427.69</v>
      </c>
      <c r="E3058" t="s">
        <v>58</v>
      </c>
    </row>
    <row r="3059" spans="1:5">
      <c r="A3059" t="s">
        <v>38</v>
      </c>
      <c r="B3059" s="11" t="s">
        <v>70</v>
      </c>
      <c r="C3059">
        <v>2004</v>
      </c>
      <c r="D3059" s="9">
        <v>5463.24</v>
      </c>
      <c r="E3059" t="s">
        <v>59</v>
      </c>
    </row>
    <row r="3060" spans="1:5">
      <c r="A3060" t="s">
        <v>38</v>
      </c>
      <c r="B3060" s="11" t="s">
        <v>71</v>
      </c>
      <c r="C3060">
        <v>2004</v>
      </c>
      <c r="D3060" s="9">
        <v>5871.81</v>
      </c>
      <c r="E3060" t="s">
        <v>59</v>
      </c>
    </row>
    <row r="3061" spans="1:5">
      <c r="A3061" t="s">
        <v>38</v>
      </c>
      <c r="B3061" s="11" t="s">
        <v>72</v>
      </c>
      <c r="C3061">
        <v>2004</v>
      </c>
      <c r="D3061" s="9">
        <v>6524.97</v>
      </c>
      <c r="E3061" t="s">
        <v>59</v>
      </c>
    </row>
    <row r="3062" spans="1:5">
      <c r="A3062" t="s">
        <v>38</v>
      </c>
      <c r="B3062" s="11" t="s">
        <v>78</v>
      </c>
      <c r="C3062">
        <v>2004</v>
      </c>
      <c r="D3062" s="9">
        <v>4002.58</v>
      </c>
      <c r="E3062" t="s">
        <v>59</v>
      </c>
    </row>
    <row r="3063" spans="1:5">
      <c r="A3063" t="s">
        <v>38</v>
      </c>
      <c r="B3063" s="11" t="s">
        <v>73</v>
      </c>
      <c r="C3063">
        <v>2004</v>
      </c>
      <c r="D3063" s="9">
        <v>7101.69</v>
      </c>
      <c r="E3063" t="s">
        <v>60</v>
      </c>
    </row>
    <row r="3064" spans="1:5">
      <c r="A3064" t="s">
        <v>38</v>
      </c>
      <c r="B3064" s="11" t="s">
        <v>74</v>
      </c>
      <c r="C3064">
        <v>2004</v>
      </c>
      <c r="D3064" s="9">
        <v>3766.13</v>
      </c>
      <c r="E3064" t="s">
        <v>60</v>
      </c>
    </row>
    <row r="3065" spans="1:5">
      <c r="A3065" t="s">
        <v>39</v>
      </c>
      <c r="B3065" s="11" t="s">
        <v>61</v>
      </c>
      <c r="C3065">
        <v>2004</v>
      </c>
      <c r="D3065" s="9">
        <v>3876.01</v>
      </c>
      <c r="E3065" t="s">
        <v>56</v>
      </c>
    </row>
    <row r="3066" spans="1:5">
      <c r="A3066" t="s">
        <v>39</v>
      </c>
      <c r="B3066" s="11" t="s">
        <v>62</v>
      </c>
      <c r="C3066">
        <v>2004</v>
      </c>
      <c r="D3066" s="9">
        <v>2580.6799999999998</v>
      </c>
      <c r="E3066" t="s">
        <v>56</v>
      </c>
    </row>
    <row r="3067" spans="1:5">
      <c r="A3067" t="s">
        <v>39</v>
      </c>
      <c r="B3067" s="11" t="s">
        <v>63</v>
      </c>
      <c r="C3067">
        <v>2004</v>
      </c>
      <c r="D3067" s="9">
        <v>4531.04</v>
      </c>
      <c r="E3067" t="s">
        <v>56</v>
      </c>
    </row>
    <row r="3068" spans="1:5">
      <c r="A3068" t="s">
        <v>39</v>
      </c>
      <c r="B3068" s="11" t="s">
        <v>75</v>
      </c>
      <c r="C3068">
        <v>2004</v>
      </c>
      <c r="D3068" s="9">
        <v>4172.4399999999996</v>
      </c>
      <c r="E3068" t="s">
        <v>56</v>
      </c>
    </row>
    <row r="3069" spans="1:5">
      <c r="A3069" t="s">
        <v>39</v>
      </c>
      <c r="B3069" s="11" t="s">
        <v>64</v>
      </c>
      <c r="C3069">
        <v>2004</v>
      </c>
      <c r="D3069" s="9">
        <v>5042.51</v>
      </c>
      <c r="E3069" t="s">
        <v>57</v>
      </c>
    </row>
    <row r="3070" spans="1:5">
      <c r="A3070" t="s">
        <v>39</v>
      </c>
      <c r="B3070" s="11" t="s">
        <v>65</v>
      </c>
      <c r="C3070">
        <v>2004</v>
      </c>
      <c r="D3070" s="9">
        <v>4273.6099999999997</v>
      </c>
      <c r="E3070" t="s">
        <v>57</v>
      </c>
    </row>
    <row r="3071" spans="1:5">
      <c r="A3071" t="s">
        <v>39</v>
      </c>
      <c r="B3071" s="11" t="s">
        <v>66</v>
      </c>
      <c r="C3071">
        <v>2004</v>
      </c>
      <c r="D3071" s="9">
        <v>6836.51</v>
      </c>
      <c r="E3071" t="s">
        <v>57</v>
      </c>
    </row>
    <row r="3072" spans="1:5">
      <c r="A3072" t="s">
        <v>39</v>
      </c>
      <c r="B3072" s="11" t="s">
        <v>67</v>
      </c>
      <c r="C3072">
        <v>2004</v>
      </c>
      <c r="D3072" s="9">
        <v>2934.01</v>
      </c>
      <c r="E3072" t="s">
        <v>57</v>
      </c>
    </row>
    <row r="3073" spans="1:5">
      <c r="A3073" t="s">
        <v>39</v>
      </c>
      <c r="B3073" s="11" t="s">
        <v>76</v>
      </c>
      <c r="C3073">
        <v>2004</v>
      </c>
      <c r="D3073" s="9">
        <v>2570.41</v>
      </c>
      <c r="E3073" t="s">
        <v>57</v>
      </c>
    </row>
    <row r="3074" spans="1:5">
      <c r="A3074" t="s">
        <v>39</v>
      </c>
      <c r="B3074" s="11" t="s">
        <v>68</v>
      </c>
      <c r="C3074">
        <v>2004</v>
      </c>
      <c r="D3074" s="9">
        <v>5175.47</v>
      </c>
      <c r="E3074" t="s">
        <v>58</v>
      </c>
    </row>
    <row r="3075" spans="1:5">
      <c r="A3075" t="s">
        <v>39</v>
      </c>
      <c r="B3075" s="11" t="s">
        <v>69</v>
      </c>
      <c r="C3075">
        <v>2004</v>
      </c>
      <c r="D3075" s="9">
        <v>3726.28</v>
      </c>
      <c r="E3075" t="s">
        <v>58</v>
      </c>
    </row>
    <row r="3076" spans="1:5">
      <c r="A3076" t="s">
        <v>39</v>
      </c>
      <c r="B3076" s="11" t="s">
        <v>77</v>
      </c>
      <c r="C3076">
        <v>2004</v>
      </c>
      <c r="D3076" s="9">
        <v>6404.3</v>
      </c>
      <c r="E3076" t="s">
        <v>58</v>
      </c>
    </row>
    <row r="3077" spans="1:5">
      <c r="A3077" t="s">
        <v>39</v>
      </c>
      <c r="B3077" s="11" t="s">
        <v>70</v>
      </c>
      <c r="C3077">
        <v>2004</v>
      </c>
      <c r="D3077" s="9">
        <v>5703.8</v>
      </c>
      <c r="E3077" t="s">
        <v>59</v>
      </c>
    </row>
    <row r="3078" spans="1:5">
      <c r="A3078" t="s">
        <v>39</v>
      </c>
      <c r="B3078" s="11" t="s">
        <v>71</v>
      </c>
      <c r="C3078">
        <v>2004</v>
      </c>
      <c r="D3078" s="9">
        <v>5436.07</v>
      </c>
      <c r="E3078" t="s">
        <v>59</v>
      </c>
    </row>
    <row r="3079" spans="1:5">
      <c r="A3079" t="s">
        <v>39</v>
      </c>
      <c r="B3079" s="11" t="s">
        <v>72</v>
      </c>
      <c r="C3079">
        <v>2004</v>
      </c>
      <c r="D3079" s="9">
        <v>7557.55</v>
      </c>
      <c r="E3079" t="s">
        <v>59</v>
      </c>
    </row>
    <row r="3080" spans="1:5">
      <c r="A3080" t="s">
        <v>39</v>
      </c>
      <c r="B3080" s="11" t="s">
        <v>78</v>
      </c>
      <c r="C3080">
        <v>2004</v>
      </c>
      <c r="D3080" s="9">
        <v>3692.23</v>
      </c>
      <c r="E3080" t="s">
        <v>59</v>
      </c>
    </row>
    <row r="3081" spans="1:5">
      <c r="A3081" t="s">
        <v>39</v>
      </c>
      <c r="B3081" s="11" t="s">
        <v>73</v>
      </c>
      <c r="C3081">
        <v>2004</v>
      </c>
      <c r="D3081" s="9">
        <v>5186.26</v>
      </c>
      <c r="E3081" t="s">
        <v>60</v>
      </c>
    </row>
    <row r="3082" spans="1:5">
      <c r="A3082" t="s">
        <v>39</v>
      </c>
      <c r="B3082" s="11" t="s">
        <v>74</v>
      </c>
      <c r="C3082">
        <v>2004</v>
      </c>
      <c r="D3082" s="9">
        <v>4202</v>
      </c>
      <c r="E3082" t="s">
        <v>60</v>
      </c>
    </row>
    <row r="3083" spans="1:5">
      <c r="A3083" t="s">
        <v>28</v>
      </c>
      <c r="B3083" s="11" t="s">
        <v>61</v>
      </c>
      <c r="C3083">
        <v>2005</v>
      </c>
      <c r="D3083" s="9">
        <v>626.45000000000005</v>
      </c>
      <c r="E3083" t="s">
        <v>56</v>
      </c>
    </row>
    <row r="3084" spans="1:5">
      <c r="A3084" t="s">
        <v>28</v>
      </c>
      <c r="B3084" s="11" t="s">
        <v>62</v>
      </c>
      <c r="C3084">
        <v>2005</v>
      </c>
      <c r="D3084" s="9">
        <v>578.07000000000005</v>
      </c>
      <c r="E3084" t="s">
        <v>56</v>
      </c>
    </row>
    <row r="3085" spans="1:5">
      <c r="A3085" t="s">
        <v>28</v>
      </c>
      <c r="B3085" s="11" t="s">
        <v>63</v>
      </c>
      <c r="C3085">
        <v>2005</v>
      </c>
      <c r="D3085" s="9">
        <v>595.04</v>
      </c>
      <c r="E3085" t="s">
        <v>56</v>
      </c>
    </row>
    <row r="3086" spans="1:5">
      <c r="A3086" t="s">
        <v>28</v>
      </c>
      <c r="B3086" s="11" t="s">
        <v>64</v>
      </c>
      <c r="C3086">
        <v>2005</v>
      </c>
      <c r="D3086" s="9">
        <v>636.29</v>
      </c>
      <c r="E3086" t="s">
        <v>57</v>
      </c>
    </row>
    <row r="3087" spans="1:5">
      <c r="A3087" t="s">
        <v>28</v>
      </c>
      <c r="B3087" s="11" t="s">
        <v>65</v>
      </c>
      <c r="C3087">
        <v>2005</v>
      </c>
      <c r="D3087" s="9">
        <v>463</v>
      </c>
      <c r="E3087" t="s">
        <v>57</v>
      </c>
    </row>
    <row r="3088" spans="1:5">
      <c r="A3088" t="s">
        <v>28</v>
      </c>
      <c r="B3088" s="11" t="s">
        <v>66</v>
      </c>
      <c r="C3088">
        <v>2005</v>
      </c>
      <c r="D3088" s="9">
        <v>1619</v>
      </c>
      <c r="E3088" t="s">
        <v>57</v>
      </c>
    </row>
    <row r="3089" spans="1:5">
      <c r="A3089" t="s">
        <v>28</v>
      </c>
      <c r="B3089" s="11" t="s">
        <v>67</v>
      </c>
      <c r="C3089">
        <v>2005</v>
      </c>
      <c r="D3089" s="9">
        <v>508.98</v>
      </c>
      <c r="E3089" t="s">
        <v>57</v>
      </c>
    </row>
    <row r="3090" spans="1:5">
      <c r="A3090" t="s">
        <v>28</v>
      </c>
      <c r="B3090" s="11" t="s">
        <v>76</v>
      </c>
      <c r="C3090">
        <v>2005</v>
      </c>
      <c r="D3090" s="9">
        <v>300.58999999999997</v>
      </c>
      <c r="E3090" t="s">
        <v>57</v>
      </c>
    </row>
    <row r="3091" spans="1:5">
      <c r="A3091" t="s">
        <v>28</v>
      </c>
      <c r="B3091" s="11" t="s">
        <v>68</v>
      </c>
      <c r="C3091">
        <v>2005</v>
      </c>
      <c r="D3091" s="9">
        <v>867.19</v>
      </c>
      <c r="E3091" t="s">
        <v>58</v>
      </c>
    </row>
    <row r="3092" spans="1:5">
      <c r="A3092" t="s">
        <v>28</v>
      </c>
      <c r="B3092" s="11" t="s">
        <v>69</v>
      </c>
      <c r="C3092">
        <v>2005</v>
      </c>
      <c r="D3092" s="9">
        <v>592.88</v>
      </c>
      <c r="E3092" t="s">
        <v>58</v>
      </c>
    </row>
    <row r="3093" spans="1:5">
      <c r="A3093" t="s">
        <v>28</v>
      </c>
      <c r="B3093" s="11" t="s">
        <v>77</v>
      </c>
      <c r="C3093">
        <v>2005</v>
      </c>
      <c r="D3093" s="9">
        <v>925.16</v>
      </c>
      <c r="E3093" t="s">
        <v>58</v>
      </c>
    </row>
    <row r="3094" spans="1:5">
      <c r="A3094" t="s">
        <v>28</v>
      </c>
      <c r="B3094" s="11" t="s">
        <v>70</v>
      </c>
      <c r="C3094">
        <v>2005</v>
      </c>
      <c r="D3094" s="9">
        <v>918.45</v>
      </c>
      <c r="E3094" t="s">
        <v>59</v>
      </c>
    </row>
    <row r="3095" spans="1:5">
      <c r="A3095" t="s">
        <v>28</v>
      </c>
      <c r="B3095" s="11" t="s">
        <v>71</v>
      </c>
      <c r="C3095">
        <v>2005</v>
      </c>
      <c r="D3095" s="9">
        <v>1129.98</v>
      </c>
      <c r="E3095" t="s">
        <v>59</v>
      </c>
    </row>
    <row r="3096" spans="1:5">
      <c r="A3096" t="s">
        <v>28</v>
      </c>
      <c r="B3096" s="11" t="s">
        <v>72</v>
      </c>
      <c r="C3096">
        <v>2005</v>
      </c>
      <c r="D3096" s="9">
        <v>878</v>
      </c>
      <c r="E3096" t="s">
        <v>59</v>
      </c>
    </row>
    <row r="3097" spans="1:5">
      <c r="A3097" t="s">
        <v>28</v>
      </c>
      <c r="B3097" s="11" t="s">
        <v>78</v>
      </c>
      <c r="C3097">
        <v>2005</v>
      </c>
      <c r="D3097" s="9">
        <v>888.7</v>
      </c>
      <c r="E3097" t="s">
        <v>59</v>
      </c>
    </row>
    <row r="3098" spans="1:5">
      <c r="A3098" t="s">
        <v>28</v>
      </c>
      <c r="B3098" s="11" t="s">
        <v>73</v>
      </c>
      <c r="C3098">
        <v>2005</v>
      </c>
      <c r="D3098" s="9">
        <v>705.55</v>
      </c>
      <c r="E3098" t="s">
        <v>60</v>
      </c>
    </row>
    <row r="3099" spans="1:5">
      <c r="A3099" t="s">
        <v>28</v>
      </c>
      <c r="B3099" s="11" t="s">
        <v>74</v>
      </c>
      <c r="C3099">
        <v>2005</v>
      </c>
      <c r="D3099" s="9">
        <v>1021.04</v>
      </c>
      <c r="E3099" t="s">
        <v>60</v>
      </c>
    </row>
    <row r="3100" spans="1:5">
      <c r="A3100" t="s">
        <v>29</v>
      </c>
      <c r="B3100" s="11" t="s">
        <v>61</v>
      </c>
      <c r="C3100">
        <v>2005</v>
      </c>
      <c r="D3100" s="9">
        <v>929.91</v>
      </c>
      <c r="E3100" t="s">
        <v>56</v>
      </c>
    </row>
    <row r="3101" spans="1:5">
      <c r="A3101" t="s">
        <v>29</v>
      </c>
      <c r="B3101" s="11" t="s">
        <v>62</v>
      </c>
      <c r="C3101">
        <v>2005</v>
      </c>
      <c r="D3101" s="9">
        <v>496.94</v>
      </c>
      <c r="E3101" t="s">
        <v>56</v>
      </c>
    </row>
    <row r="3102" spans="1:5">
      <c r="A3102" t="s">
        <v>29</v>
      </c>
      <c r="B3102" s="11" t="s">
        <v>63</v>
      </c>
      <c r="C3102">
        <v>2005</v>
      </c>
      <c r="D3102" s="9">
        <v>712.56</v>
      </c>
      <c r="E3102" t="s">
        <v>56</v>
      </c>
    </row>
    <row r="3103" spans="1:5">
      <c r="A3103" t="s">
        <v>29</v>
      </c>
      <c r="B3103" s="11" t="s">
        <v>75</v>
      </c>
      <c r="C3103">
        <v>2005</v>
      </c>
      <c r="D3103" s="9">
        <v>596.63</v>
      </c>
      <c r="E3103" t="s">
        <v>56</v>
      </c>
    </row>
    <row r="3104" spans="1:5">
      <c r="A3104" t="s">
        <v>29</v>
      </c>
      <c r="B3104" s="11" t="s">
        <v>64</v>
      </c>
      <c r="C3104">
        <v>2005</v>
      </c>
      <c r="D3104" s="9">
        <v>679.68</v>
      </c>
      <c r="E3104" t="s">
        <v>57</v>
      </c>
    </row>
    <row r="3105" spans="1:5">
      <c r="A3105" t="s">
        <v>29</v>
      </c>
      <c r="B3105" s="11" t="s">
        <v>65</v>
      </c>
      <c r="C3105">
        <v>2005</v>
      </c>
      <c r="D3105" s="9">
        <v>667.14</v>
      </c>
      <c r="E3105" t="s">
        <v>57</v>
      </c>
    </row>
    <row r="3106" spans="1:5">
      <c r="A3106" t="s">
        <v>29</v>
      </c>
      <c r="B3106" s="11" t="s">
        <v>66</v>
      </c>
      <c r="C3106">
        <v>2005</v>
      </c>
      <c r="D3106" s="9">
        <v>941</v>
      </c>
      <c r="E3106" t="s">
        <v>57</v>
      </c>
    </row>
    <row r="3107" spans="1:5">
      <c r="A3107" t="s">
        <v>29</v>
      </c>
      <c r="B3107" s="11" t="s">
        <v>67</v>
      </c>
      <c r="C3107">
        <v>2005</v>
      </c>
      <c r="D3107" s="9">
        <v>600.73</v>
      </c>
      <c r="E3107" t="s">
        <v>57</v>
      </c>
    </row>
    <row r="3108" spans="1:5">
      <c r="A3108" t="s">
        <v>29</v>
      </c>
      <c r="B3108" s="11" t="s">
        <v>76</v>
      </c>
      <c r="C3108">
        <v>2005</v>
      </c>
      <c r="D3108" s="9">
        <v>391</v>
      </c>
      <c r="E3108" t="s">
        <v>57</v>
      </c>
    </row>
    <row r="3109" spans="1:5">
      <c r="A3109" t="s">
        <v>29</v>
      </c>
      <c r="B3109" s="11" t="s">
        <v>68</v>
      </c>
      <c r="C3109">
        <v>2005</v>
      </c>
      <c r="D3109" s="9">
        <v>867.12</v>
      </c>
      <c r="E3109" t="s">
        <v>58</v>
      </c>
    </row>
    <row r="3110" spans="1:5">
      <c r="A3110" t="s">
        <v>29</v>
      </c>
      <c r="B3110" s="11" t="s">
        <v>69</v>
      </c>
      <c r="C3110">
        <v>2005</v>
      </c>
      <c r="D3110" s="9">
        <v>575.45000000000005</v>
      </c>
      <c r="E3110" t="s">
        <v>58</v>
      </c>
    </row>
    <row r="3111" spans="1:5">
      <c r="A3111" t="s">
        <v>29</v>
      </c>
      <c r="B3111" s="11" t="s">
        <v>77</v>
      </c>
      <c r="C3111">
        <v>2005</v>
      </c>
      <c r="D3111" s="9">
        <v>920.06</v>
      </c>
      <c r="E3111" t="s">
        <v>58</v>
      </c>
    </row>
    <row r="3112" spans="1:5">
      <c r="A3112" t="s">
        <v>29</v>
      </c>
      <c r="B3112" s="11" t="s">
        <v>70</v>
      </c>
      <c r="C3112">
        <v>2005</v>
      </c>
      <c r="D3112" s="9">
        <v>873.62</v>
      </c>
      <c r="E3112" t="s">
        <v>59</v>
      </c>
    </row>
    <row r="3113" spans="1:5">
      <c r="A3113" t="s">
        <v>29</v>
      </c>
      <c r="B3113" s="11" t="s">
        <v>71</v>
      </c>
      <c r="C3113">
        <v>2005</v>
      </c>
      <c r="D3113" s="9">
        <v>909.44</v>
      </c>
      <c r="E3113" t="s">
        <v>59</v>
      </c>
    </row>
    <row r="3114" spans="1:5">
      <c r="A3114" t="s">
        <v>29</v>
      </c>
      <c r="B3114" s="11" t="s">
        <v>72</v>
      </c>
      <c r="C3114">
        <v>2005</v>
      </c>
      <c r="D3114" s="9">
        <v>901.08</v>
      </c>
      <c r="E3114" t="s">
        <v>59</v>
      </c>
    </row>
    <row r="3115" spans="1:5">
      <c r="A3115" t="s">
        <v>29</v>
      </c>
      <c r="B3115" s="11" t="s">
        <v>78</v>
      </c>
      <c r="C3115">
        <v>2005</v>
      </c>
      <c r="D3115" s="9">
        <v>674.85</v>
      </c>
      <c r="E3115" t="s">
        <v>59</v>
      </c>
    </row>
    <row r="3116" spans="1:5">
      <c r="A3116" t="s">
        <v>29</v>
      </c>
      <c r="B3116" s="11" t="s">
        <v>73</v>
      </c>
      <c r="C3116">
        <v>2005</v>
      </c>
      <c r="D3116" s="9">
        <v>877.97</v>
      </c>
      <c r="E3116" t="s">
        <v>60</v>
      </c>
    </row>
    <row r="3117" spans="1:5">
      <c r="A3117" t="s">
        <v>29</v>
      </c>
      <c r="B3117" s="11" t="s">
        <v>74</v>
      </c>
      <c r="C3117">
        <v>2005</v>
      </c>
      <c r="D3117" s="9">
        <v>925.66</v>
      </c>
      <c r="E3117" t="s">
        <v>60</v>
      </c>
    </row>
    <row r="3118" spans="1:5">
      <c r="A3118" t="s">
        <v>30</v>
      </c>
      <c r="B3118" s="11" t="s">
        <v>61</v>
      </c>
      <c r="C3118">
        <v>2005</v>
      </c>
      <c r="D3118" s="9">
        <v>676.25</v>
      </c>
      <c r="E3118" t="s">
        <v>56</v>
      </c>
    </row>
    <row r="3119" spans="1:5">
      <c r="A3119" t="s">
        <v>30</v>
      </c>
      <c r="B3119" s="11" t="s">
        <v>62</v>
      </c>
      <c r="C3119">
        <v>2005</v>
      </c>
      <c r="D3119" s="9">
        <v>399.17</v>
      </c>
      <c r="E3119" t="s">
        <v>56</v>
      </c>
    </row>
    <row r="3120" spans="1:5">
      <c r="A3120" t="s">
        <v>30</v>
      </c>
      <c r="B3120" s="11" t="s">
        <v>63</v>
      </c>
      <c r="C3120">
        <v>2005</v>
      </c>
      <c r="D3120" s="9">
        <v>688.29</v>
      </c>
      <c r="E3120" t="s">
        <v>56</v>
      </c>
    </row>
    <row r="3121" spans="1:5">
      <c r="A3121" t="s">
        <v>30</v>
      </c>
      <c r="B3121" s="11" t="s">
        <v>75</v>
      </c>
      <c r="C3121">
        <v>2005</v>
      </c>
      <c r="D3121" s="9">
        <v>572.82000000000005</v>
      </c>
      <c r="E3121" t="s">
        <v>56</v>
      </c>
    </row>
    <row r="3122" spans="1:5">
      <c r="A3122" t="s">
        <v>30</v>
      </c>
      <c r="B3122" s="11" t="s">
        <v>64</v>
      </c>
      <c r="C3122">
        <v>2005</v>
      </c>
      <c r="D3122" s="9">
        <v>612.32000000000005</v>
      </c>
      <c r="E3122" t="s">
        <v>57</v>
      </c>
    </row>
    <row r="3123" spans="1:5">
      <c r="A3123" t="s">
        <v>30</v>
      </c>
      <c r="B3123" s="11" t="s">
        <v>65</v>
      </c>
      <c r="C3123">
        <v>2005</v>
      </c>
      <c r="D3123" s="9">
        <v>513.79</v>
      </c>
      <c r="E3123" t="s">
        <v>57</v>
      </c>
    </row>
    <row r="3124" spans="1:5">
      <c r="A3124" t="s">
        <v>30</v>
      </c>
      <c r="B3124" s="11" t="s">
        <v>66</v>
      </c>
      <c r="C3124">
        <v>2005</v>
      </c>
      <c r="D3124" s="9">
        <v>1114.7</v>
      </c>
      <c r="E3124" t="s">
        <v>57</v>
      </c>
    </row>
    <row r="3125" spans="1:5">
      <c r="A3125" t="s">
        <v>30</v>
      </c>
      <c r="B3125" s="11" t="s">
        <v>67</v>
      </c>
      <c r="C3125">
        <v>2005</v>
      </c>
      <c r="D3125" s="9">
        <v>650.70000000000005</v>
      </c>
      <c r="E3125" t="s">
        <v>57</v>
      </c>
    </row>
    <row r="3126" spans="1:5">
      <c r="A3126" t="s">
        <v>30</v>
      </c>
      <c r="B3126" s="11" t="s">
        <v>76</v>
      </c>
      <c r="C3126">
        <v>2005</v>
      </c>
      <c r="D3126" s="9">
        <v>344.34</v>
      </c>
      <c r="E3126" t="s">
        <v>57</v>
      </c>
    </row>
    <row r="3127" spans="1:5">
      <c r="A3127" t="s">
        <v>30</v>
      </c>
      <c r="B3127" s="11" t="s">
        <v>68</v>
      </c>
      <c r="C3127">
        <v>2005</v>
      </c>
      <c r="D3127" s="9">
        <v>678.8</v>
      </c>
      <c r="E3127" t="s">
        <v>58</v>
      </c>
    </row>
    <row r="3128" spans="1:5">
      <c r="A3128" t="s">
        <v>30</v>
      </c>
      <c r="B3128" s="11" t="s">
        <v>69</v>
      </c>
      <c r="C3128">
        <v>2005</v>
      </c>
      <c r="D3128" s="9">
        <v>633.20000000000005</v>
      </c>
      <c r="E3128" t="s">
        <v>58</v>
      </c>
    </row>
    <row r="3129" spans="1:5">
      <c r="A3129" t="s">
        <v>30</v>
      </c>
      <c r="B3129" s="11" t="s">
        <v>77</v>
      </c>
      <c r="C3129">
        <v>2005</v>
      </c>
      <c r="D3129" s="9">
        <v>643.14</v>
      </c>
      <c r="E3129" t="s">
        <v>58</v>
      </c>
    </row>
    <row r="3130" spans="1:5">
      <c r="A3130" t="s">
        <v>30</v>
      </c>
      <c r="B3130" s="11" t="s">
        <v>70</v>
      </c>
      <c r="C3130">
        <v>2005</v>
      </c>
      <c r="D3130" s="9">
        <v>764.35</v>
      </c>
      <c r="E3130" t="s">
        <v>59</v>
      </c>
    </row>
    <row r="3131" spans="1:5">
      <c r="A3131" t="s">
        <v>30</v>
      </c>
      <c r="B3131" s="11" t="s">
        <v>71</v>
      </c>
      <c r="C3131">
        <v>2005</v>
      </c>
      <c r="D3131" s="9">
        <v>780.93</v>
      </c>
      <c r="E3131" t="s">
        <v>59</v>
      </c>
    </row>
    <row r="3132" spans="1:5">
      <c r="A3132" t="s">
        <v>30</v>
      </c>
      <c r="B3132" s="11" t="s">
        <v>72</v>
      </c>
      <c r="C3132">
        <v>2005</v>
      </c>
      <c r="D3132" s="9">
        <v>793.37</v>
      </c>
      <c r="E3132" t="s">
        <v>59</v>
      </c>
    </row>
    <row r="3133" spans="1:5">
      <c r="A3133" t="s">
        <v>30</v>
      </c>
      <c r="B3133" s="11" t="s">
        <v>78</v>
      </c>
      <c r="C3133">
        <v>2005</v>
      </c>
      <c r="D3133" s="9">
        <v>710.9</v>
      </c>
      <c r="E3133" t="s">
        <v>59</v>
      </c>
    </row>
    <row r="3134" spans="1:5">
      <c r="A3134" t="s">
        <v>30</v>
      </c>
      <c r="B3134" s="11" t="s">
        <v>73</v>
      </c>
      <c r="C3134">
        <v>2005</v>
      </c>
      <c r="D3134" s="9">
        <v>906.99</v>
      </c>
      <c r="E3134" t="s">
        <v>60</v>
      </c>
    </row>
    <row r="3135" spans="1:5">
      <c r="A3135" t="s">
        <v>30</v>
      </c>
      <c r="B3135" s="11" t="s">
        <v>74</v>
      </c>
      <c r="C3135">
        <v>2005</v>
      </c>
      <c r="D3135" s="9">
        <v>761.68</v>
      </c>
      <c r="E3135" t="s">
        <v>60</v>
      </c>
    </row>
    <row r="3136" spans="1:5">
      <c r="A3136" t="s">
        <v>31</v>
      </c>
      <c r="B3136" s="11" t="s">
        <v>61</v>
      </c>
      <c r="C3136">
        <v>2005</v>
      </c>
      <c r="D3136" s="9">
        <v>697.1</v>
      </c>
      <c r="E3136" t="s">
        <v>56</v>
      </c>
    </row>
    <row r="3137" spans="1:5">
      <c r="A3137" t="s">
        <v>31</v>
      </c>
      <c r="B3137" s="11" t="s">
        <v>62</v>
      </c>
      <c r="C3137">
        <v>2005</v>
      </c>
      <c r="D3137" s="9">
        <v>375.29</v>
      </c>
      <c r="E3137" t="s">
        <v>56</v>
      </c>
    </row>
    <row r="3138" spans="1:5">
      <c r="A3138" t="s">
        <v>31</v>
      </c>
      <c r="B3138" s="11" t="s">
        <v>63</v>
      </c>
      <c r="C3138">
        <v>2005</v>
      </c>
      <c r="D3138" s="9">
        <v>889.9</v>
      </c>
      <c r="E3138" t="s">
        <v>56</v>
      </c>
    </row>
    <row r="3139" spans="1:5">
      <c r="A3139" t="s">
        <v>31</v>
      </c>
      <c r="B3139" s="11" t="s">
        <v>75</v>
      </c>
      <c r="C3139">
        <v>2005</v>
      </c>
      <c r="D3139" s="9">
        <v>782.76</v>
      </c>
      <c r="E3139" t="s">
        <v>56</v>
      </c>
    </row>
    <row r="3140" spans="1:5">
      <c r="A3140" t="s">
        <v>31</v>
      </c>
      <c r="B3140" s="11" t="s">
        <v>64</v>
      </c>
      <c r="C3140">
        <v>2005</v>
      </c>
      <c r="D3140" s="9">
        <v>696.58</v>
      </c>
      <c r="E3140" t="s">
        <v>57</v>
      </c>
    </row>
    <row r="3141" spans="1:5">
      <c r="A3141" t="s">
        <v>31</v>
      </c>
      <c r="B3141" s="11" t="s">
        <v>65</v>
      </c>
      <c r="C3141">
        <v>2005</v>
      </c>
      <c r="D3141" s="9">
        <v>579.16999999999996</v>
      </c>
      <c r="E3141" t="s">
        <v>57</v>
      </c>
    </row>
    <row r="3142" spans="1:5">
      <c r="A3142" t="s">
        <v>31</v>
      </c>
      <c r="B3142" s="11" t="s">
        <v>66</v>
      </c>
      <c r="C3142">
        <v>2005</v>
      </c>
      <c r="D3142" s="9">
        <v>761.91</v>
      </c>
      <c r="E3142" t="s">
        <v>57</v>
      </c>
    </row>
    <row r="3143" spans="1:5">
      <c r="A3143" t="s">
        <v>31</v>
      </c>
      <c r="B3143" s="11" t="s">
        <v>67</v>
      </c>
      <c r="C3143">
        <v>2005</v>
      </c>
      <c r="D3143" s="9">
        <v>491.57</v>
      </c>
      <c r="E3143" t="s">
        <v>57</v>
      </c>
    </row>
    <row r="3144" spans="1:5">
      <c r="A3144" t="s">
        <v>31</v>
      </c>
      <c r="B3144" s="11" t="s">
        <v>76</v>
      </c>
      <c r="C3144">
        <v>2005</v>
      </c>
      <c r="D3144" s="9">
        <v>333.75</v>
      </c>
      <c r="E3144" t="s">
        <v>57</v>
      </c>
    </row>
    <row r="3145" spans="1:5">
      <c r="A3145" t="s">
        <v>31</v>
      </c>
      <c r="B3145" s="11" t="s">
        <v>68</v>
      </c>
      <c r="C3145">
        <v>2005</v>
      </c>
      <c r="D3145" s="9">
        <v>707.73</v>
      </c>
      <c r="E3145" t="s">
        <v>58</v>
      </c>
    </row>
    <row r="3146" spans="1:5">
      <c r="A3146" t="s">
        <v>31</v>
      </c>
      <c r="B3146" s="11" t="s">
        <v>69</v>
      </c>
      <c r="C3146">
        <v>2005</v>
      </c>
      <c r="D3146" s="9">
        <v>465.69</v>
      </c>
      <c r="E3146" t="s">
        <v>58</v>
      </c>
    </row>
    <row r="3147" spans="1:5">
      <c r="A3147" t="s">
        <v>31</v>
      </c>
      <c r="B3147" s="11" t="s">
        <v>77</v>
      </c>
      <c r="C3147">
        <v>2005</v>
      </c>
      <c r="D3147" s="9">
        <v>631.54999999999995</v>
      </c>
      <c r="E3147" t="s">
        <v>58</v>
      </c>
    </row>
    <row r="3148" spans="1:5">
      <c r="A3148" t="s">
        <v>31</v>
      </c>
      <c r="B3148" s="11" t="s">
        <v>70</v>
      </c>
      <c r="C3148">
        <v>2005</v>
      </c>
      <c r="D3148" s="9">
        <v>655.84</v>
      </c>
      <c r="E3148" t="s">
        <v>59</v>
      </c>
    </row>
    <row r="3149" spans="1:5">
      <c r="A3149" t="s">
        <v>31</v>
      </c>
      <c r="B3149" s="11" t="s">
        <v>71</v>
      </c>
      <c r="C3149">
        <v>2005</v>
      </c>
      <c r="D3149" s="9">
        <v>913.67</v>
      </c>
      <c r="E3149" t="s">
        <v>59</v>
      </c>
    </row>
    <row r="3150" spans="1:5">
      <c r="A3150" t="s">
        <v>31</v>
      </c>
      <c r="B3150" s="11" t="s">
        <v>72</v>
      </c>
      <c r="C3150">
        <v>2005</v>
      </c>
      <c r="D3150" s="9">
        <v>1187.51</v>
      </c>
      <c r="E3150" t="s">
        <v>59</v>
      </c>
    </row>
    <row r="3151" spans="1:5">
      <c r="A3151" t="s">
        <v>31</v>
      </c>
      <c r="B3151" s="11" t="s">
        <v>78</v>
      </c>
      <c r="C3151">
        <v>2005</v>
      </c>
      <c r="D3151" s="9">
        <v>571.02</v>
      </c>
      <c r="E3151" t="s">
        <v>59</v>
      </c>
    </row>
    <row r="3152" spans="1:5">
      <c r="A3152" t="s">
        <v>31</v>
      </c>
      <c r="B3152" s="11" t="s">
        <v>73</v>
      </c>
      <c r="C3152">
        <v>2005</v>
      </c>
      <c r="D3152" s="9">
        <v>994.92</v>
      </c>
      <c r="E3152" t="s">
        <v>60</v>
      </c>
    </row>
    <row r="3153" spans="1:5">
      <c r="A3153" t="s">
        <v>31</v>
      </c>
      <c r="B3153" s="11" t="s">
        <v>74</v>
      </c>
      <c r="C3153">
        <v>2005</v>
      </c>
      <c r="D3153" s="9">
        <v>920.05</v>
      </c>
      <c r="E3153" t="s">
        <v>60</v>
      </c>
    </row>
    <row r="3154" spans="1:5">
      <c r="A3154" t="s">
        <v>32</v>
      </c>
      <c r="B3154" s="11" t="s">
        <v>61</v>
      </c>
      <c r="C3154">
        <v>2005</v>
      </c>
      <c r="D3154" s="9">
        <v>523.87</v>
      </c>
      <c r="E3154" t="s">
        <v>56</v>
      </c>
    </row>
    <row r="3155" spans="1:5">
      <c r="A3155" t="s">
        <v>32</v>
      </c>
      <c r="B3155" s="11" t="s">
        <v>62</v>
      </c>
      <c r="C3155">
        <v>2005</v>
      </c>
      <c r="D3155" s="9">
        <v>376.71</v>
      </c>
      <c r="E3155" t="s">
        <v>56</v>
      </c>
    </row>
    <row r="3156" spans="1:5">
      <c r="A3156" t="s">
        <v>32</v>
      </c>
      <c r="B3156" s="11" t="s">
        <v>63</v>
      </c>
      <c r="C3156">
        <v>2005</v>
      </c>
      <c r="D3156" s="9">
        <v>707.01</v>
      </c>
      <c r="E3156" t="s">
        <v>56</v>
      </c>
    </row>
    <row r="3157" spans="1:5">
      <c r="A3157" t="s">
        <v>32</v>
      </c>
      <c r="B3157" s="11" t="s">
        <v>75</v>
      </c>
      <c r="C3157">
        <v>2005</v>
      </c>
      <c r="D3157" s="9">
        <v>806.2</v>
      </c>
      <c r="E3157" t="s">
        <v>56</v>
      </c>
    </row>
    <row r="3158" spans="1:5">
      <c r="A3158" t="s">
        <v>32</v>
      </c>
      <c r="B3158" s="11" t="s">
        <v>64</v>
      </c>
      <c r="C3158">
        <v>2005</v>
      </c>
      <c r="D3158" s="9">
        <v>709.85</v>
      </c>
      <c r="E3158" t="s">
        <v>57</v>
      </c>
    </row>
    <row r="3159" spans="1:5">
      <c r="A3159" t="s">
        <v>32</v>
      </c>
      <c r="B3159" s="11" t="s">
        <v>65</v>
      </c>
      <c r="C3159">
        <v>2005</v>
      </c>
      <c r="D3159" s="9">
        <v>448.87</v>
      </c>
      <c r="E3159" t="s">
        <v>57</v>
      </c>
    </row>
    <row r="3160" spans="1:5">
      <c r="A3160" t="s">
        <v>32</v>
      </c>
      <c r="B3160" s="11" t="s">
        <v>66</v>
      </c>
      <c r="C3160">
        <v>2005</v>
      </c>
      <c r="D3160" s="9">
        <v>1186.8599999999999</v>
      </c>
      <c r="E3160" t="s">
        <v>57</v>
      </c>
    </row>
    <row r="3161" spans="1:5">
      <c r="A3161" t="s">
        <v>32</v>
      </c>
      <c r="B3161" s="11" t="s">
        <v>67</v>
      </c>
      <c r="C3161">
        <v>2005</v>
      </c>
      <c r="D3161" s="9">
        <v>434.89</v>
      </c>
      <c r="E3161" t="s">
        <v>57</v>
      </c>
    </row>
    <row r="3162" spans="1:5">
      <c r="A3162" t="s">
        <v>32</v>
      </c>
      <c r="B3162" s="11" t="s">
        <v>76</v>
      </c>
      <c r="C3162">
        <v>2005</v>
      </c>
      <c r="D3162" s="9">
        <v>402.64</v>
      </c>
      <c r="E3162" t="s">
        <v>57</v>
      </c>
    </row>
    <row r="3163" spans="1:5">
      <c r="A3163" t="s">
        <v>32</v>
      </c>
      <c r="B3163" s="11" t="s">
        <v>68</v>
      </c>
      <c r="C3163">
        <v>2005</v>
      </c>
      <c r="D3163" s="9">
        <v>639.12</v>
      </c>
      <c r="E3163" t="s">
        <v>58</v>
      </c>
    </row>
    <row r="3164" spans="1:5">
      <c r="A3164" t="s">
        <v>32</v>
      </c>
      <c r="B3164" s="11" t="s">
        <v>69</v>
      </c>
      <c r="C3164">
        <v>2005</v>
      </c>
      <c r="D3164" s="9">
        <v>584.99</v>
      </c>
      <c r="E3164" t="s">
        <v>58</v>
      </c>
    </row>
    <row r="3165" spans="1:5">
      <c r="A3165" t="s">
        <v>32</v>
      </c>
      <c r="B3165" s="11" t="s">
        <v>77</v>
      </c>
      <c r="C3165">
        <v>2005</v>
      </c>
      <c r="D3165" s="9">
        <v>558.89</v>
      </c>
      <c r="E3165" t="s">
        <v>58</v>
      </c>
    </row>
    <row r="3166" spans="1:5">
      <c r="A3166" t="s">
        <v>32</v>
      </c>
      <c r="B3166" s="11" t="s">
        <v>70</v>
      </c>
      <c r="C3166">
        <v>2005</v>
      </c>
      <c r="D3166" s="9">
        <v>556.24</v>
      </c>
      <c r="E3166" t="s">
        <v>59</v>
      </c>
    </row>
    <row r="3167" spans="1:5">
      <c r="A3167" t="s">
        <v>32</v>
      </c>
      <c r="B3167" s="11" t="s">
        <v>71</v>
      </c>
      <c r="C3167">
        <v>2005</v>
      </c>
      <c r="D3167" s="9">
        <v>836.73</v>
      </c>
      <c r="E3167" t="s">
        <v>59</v>
      </c>
    </row>
    <row r="3168" spans="1:5">
      <c r="A3168" t="s">
        <v>32</v>
      </c>
      <c r="B3168" s="11" t="s">
        <v>72</v>
      </c>
      <c r="C3168">
        <v>2005</v>
      </c>
      <c r="D3168" s="9">
        <v>1048.73</v>
      </c>
      <c r="E3168" t="s">
        <v>59</v>
      </c>
    </row>
    <row r="3169" spans="1:5">
      <c r="A3169" t="s">
        <v>32</v>
      </c>
      <c r="B3169" s="11" t="s">
        <v>78</v>
      </c>
      <c r="C3169">
        <v>2005</v>
      </c>
      <c r="D3169" s="9">
        <v>595.34</v>
      </c>
      <c r="E3169" t="s">
        <v>59</v>
      </c>
    </row>
    <row r="3170" spans="1:5">
      <c r="A3170" t="s">
        <v>32</v>
      </c>
      <c r="B3170" s="11" t="s">
        <v>73</v>
      </c>
      <c r="C3170">
        <v>2005</v>
      </c>
      <c r="D3170" s="9">
        <v>955.14</v>
      </c>
      <c r="E3170" t="s">
        <v>60</v>
      </c>
    </row>
    <row r="3171" spans="1:5">
      <c r="A3171" t="s">
        <v>32</v>
      </c>
      <c r="B3171" s="11" t="s">
        <v>74</v>
      </c>
      <c r="C3171">
        <v>2005</v>
      </c>
      <c r="D3171" s="9">
        <v>472.48</v>
      </c>
      <c r="E3171" t="s">
        <v>60</v>
      </c>
    </row>
    <row r="3172" spans="1:5">
      <c r="A3172" t="s">
        <v>33</v>
      </c>
      <c r="B3172" s="11" t="s">
        <v>61</v>
      </c>
      <c r="C3172">
        <v>2005</v>
      </c>
      <c r="D3172" s="9">
        <v>827.2</v>
      </c>
      <c r="E3172" t="s">
        <v>56</v>
      </c>
    </row>
    <row r="3173" spans="1:5">
      <c r="A3173" t="s">
        <v>33</v>
      </c>
      <c r="B3173" s="11" t="s">
        <v>62</v>
      </c>
      <c r="C3173">
        <v>2005</v>
      </c>
      <c r="D3173" s="9">
        <v>529.39</v>
      </c>
      <c r="E3173" t="s">
        <v>56</v>
      </c>
    </row>
    <row r="3174" spans="1:5">
      <c r="A3174" t="s">
        <v>33</v>
      </c>
      <c r="B3174" s="11" t="s">
        <v>63</v>
      </c>
      <c r="C3174">
        <v>2005</v>
      </c>
      <c r="D3174" s="9">
        <v>1000.54</v>
      </c>
      <c r="E3174" t="s">
        <v>56</v>
      </c>
    </row>
    <row r="3175" spans="1:5">
      <c r="A3175" t="s">
        <v>33</v>
      </c>
      <c r="B3175" s="11" t="s">
        <v>75</v>
      </c>
      <c r="C3175">
        <v>2005</v>
      </c>
      <c r="D3175" s="9">
        <v>1084.81</v>
      </c>
      <c r="E3175" t="s">
        <v>56</v>
      </c>
    </row>
    <row r="3176" spans="1:5">
      <c r="A3176" t="s">
        <v>33</v>
      </c>
      <c r="B3176" s="11" t="s">
        <v>64</v>
      </c>
      <c r="C3176">
        <v>2005</v>
      </c>
      <c r="D3176" s="9">
        <v>752.52</v>
      </c>
      <c r="E3176" t="s">
        <v>57</v>
      </c>
    </row>
    <row r="3177" spans="1:5">
      <c r="A3177" t="s">
        <v>33</v>
      </c>
      <c r="B3177" s="11" t="s">
        <v>65</v>
      </c>
      <c r="C3177">
        <v>2005</v>
      </c>
      <c r="D3177" s="9">
        <v>643.64</v>
      </c>
      <c r="E3177" t="s">
        <v>57</v>
      </c>
    </row>
    <row r="3178" spans="1:5">
      <c r="A3178" t="s">
        <v>33</v>
      </c>
      <c r="B3178" s="11" t="s">
        <v>66</v>
      </c>
      <c r="C3178">
        <v>2005</v>
      </c>
      <c r="D3178" s="9">
        <v>1429.48</v>
      </c>
      <c r="E3178" t="s">
        <v>57</v>
      </c>
    </row>
    <row r="3179" spans="1:5">
      <c r="A3179" t="s">
        <v>33</v>
      </c>
      <c r="B3179" s="11" t="s">
        <v>67</v>
      </c>
      <c r="C3179">
        <v>2005</v>
      </c>
      <c r="D3179" s="9">
        <v>709.22</v>
      </c>
      <c r="E3179" t="s">
        <v>57</v>
      </c>
    </row>
    <row r="3180" spans="1:5">
      <c r="A3180" t="s">
        <v>33</v>
      </c>
      <c r="B3180" s="11" t="s">
        <v>76</v>
      </c>
      <c r="C3180">
        <v>2005</v>
      </c>
      <c r="D3180" s="9">
        <v>439.54</v>
      </c>
      <c r="E3180" t="s">
        <v>57</v>
      </c>
    </row>
    <row r="3181" spans="1:5">
      <c r="A3181" t="s">
        <v>33</v>
      </c>
      <c r="B3181" s="11" t="s">
        <v>68</v>
      </c>
      <c r="C3181">
        <v>2005</v>
      </c>
      <c r="D3181" s="9">
        <v>782.54</v>
      </c>
      <c r="E3181" t="s">
        <v>58</v>
      </c>
    </row>
    <row r="3182" spans="1:5">
      <c r="A3182" t="s">
        <v>33</v>
      </c>
      <c r="B3182" s="11" t="s">
        <v>69</v>
      </c>
      <c r="C3182">
        <v>2005</v>
      </c>
      <c r="D3182" s="9">
        <v>679.39</v>
      </c>
      <c r="E3182" t="s">
        <v>58</v>
      </c>
    </row>
    <row r="3183" spans="1:5">
      <c r="A3183" t="s">
        <v>33</v>
      </c>
      <c r="B3183" s="11" t="s">
        <v>77</v>
      </c>
      <c r="C3183">
        <v>2005</v>
      </c>
      <c r="D3183" s="9">
        <v>877.37</v>
      </c>
      <c r="E3183" t="s">
        <v>58</v>
      </c>
    </row>
    <row r="3184" spans="1:5">
      <c r="A3184" t="s">
        <v>33</v>
      </c>
      <c r="B3184" s="11" t="s">
        <v>70</v>
      </c>
      <c r="C3184">
        <v>2005</v>
      </c>
      <c r="D3184" s="9">
        <v>843.44</v>
      </c>
      <c r="E3184" t="s">
        <v>59</v>
      </c>
    </row>
    <row r="3185" spans="1:5">
      <c r="A3185" t="s">
        <v>33</v>
      </c>
      <c r="B3185" s="11" t="s">
        <v>71</v>
      </c>
      <c r="C3185">
        <v>2005</v>
      </c>
      <c r="D3185" s="9">
        <v>872.21</v>
      </c>
      <c r="E3185" t="s">
        <v>59</v>
      </c>
    </row>
    <row r="3186" spans="1:5">
      <c r="A3186" t="s">
        <v>33</v>
      </c>
      <c r="B3186" s="11" t="s">
        <v>72</v>
      </c>
      <c r="C3186">
        <v>2005</v>
      </c>
      <c r="D3186" s="9">
        <v>874.38</v>
      </c>
      <c r="E3186" t="s">
        <v>59</v>
      </c>
    </row>
    <row r="3187" spans="1:5">
      <c r="A3187" t="s">
        <v>33</v>
      </c>
      <c r="B3187" s="11" t="s">
        <v>78</v>
      </c>
      <c r="C3187">
        <v>2005</v>
      </c>
      <c r="D3187" s="9">
        <v>649.05999999999995</v>
      </c>
      <c r="E3187" t="s">
        <v>59</v>
      </c>
    </row>
    <row r="3188" spans="1:5">
      <c r="A3188" t="s">
        <v>33</v>
      </c>
      <c r="B3188" s="11" t="s">
        <v>73</v>
      </c>
      <c r="C3188">
        <v>2005</v>
      </c>
      <c r="D3188" s="9">
        <v>1200.45</v>
      </c>
      <c r="E3188" t="s">
        <v>60</v>
      </c>
    </row>
    <row r="3189" spans="1:5">
      <c r="A3189" t="s">
        <v>33</v>
      </c>
      <c r="B3189" s="11" t="s">
        <v>74</v>
      </c>
      <c r="C3189">
        <v>2005</v>
      </c>
      <c r="D3189" s="9">
        <v>627.28</v>
      </c>
      <c r="E3189" t="s">
        <v>60</v>
      </c>
    </row>
    <row r="3190" spans="1:5">
      <c r="A3190" t="s">
        <v>34</v>
      </c>
      <c r="B3190" s="11" t="s">
        <v>61</v>
      </c>
      <c r="C3190">
        <v>2005</v>
      </c>
      <c r="D3190" s="9">
        <v>591.19000000000005</v>
      </c>
      <c r="E3190" t="s">
        <v>56</v>
      </c>
    </row>
    <row r="3191" spans="1:5">
      <c r="A3191" t="s">
        <v>34</v>
      </c>
      <c r="B3191" s="11" t="s">
        <v>62</v>
      </c>
      <c r="C3191">
        <v>2005</v>
      </c>
      <c r="D3191" s="9">
        <v>850.91</v>
      </c>
      <c r="E3191" t="s">
        <v>56</v>
      </c>
    </row>
    <row r="3192" spans="1:5">
      <c r="A3192" t="s">
        <v>34</v>
      </c>
      <c r="B3192" s="11" t="s">
        <v>63</v>
      </c>
      <c r="C3192">
        <v>2005</v>
      </c>
      <c r="D3192" s="9">
        <v>1002.41</v>
      </c>
      <c r="E3192" t="s">
        <v>56</v>
      </c>
    </row>
    <row r="3193" spans="1:5">
      <c r="A3193" t="s">
        <v>34</v>
      </c>
      <c r="B3193" s="11" t="s">
        <v>64</v>
      </c>
      <c r="C3193">
        <v>2005</v>
      </c>
      <c r="D3193" s="9">
        <v>883.78</v>
      </c>
      <c r="E3193" t="s">
        <v>57</v>
      </c>
    </row>
    <row r="3194" spans="1:5">
      <c r="A3194" t="s">
        <v>34</v>
      </c>
      <c r="B3194" s="11" t="s">
        <v>65</v>
      </c>
      <c r="C3194">
        <v>2005</v>
      </c>
      <c r="D3194" s="9">
        <v>742.6</v>
      </c>
      <c r="E3194" t="s">
        <v>57</v>
      </c>
    </row>
    <row r="3195" spans="1:5">
      <c r="A3195" t="s">
        <v>34</v>
      </c>
      <c r="B3195" s="11" t="s">
        <v>66</v>
      </c>
      <c r="C3195">
        <v>2005</v>
      </c>
      <c r="D3195" s="9">
        <v>1609.97</v>
      </c>
      <c r="E3195" t="s">
        <v>57</v>
      </c>
    </row>
    <row r="3196" spans="1:5">
      <c r="A3196" t="s">
        <v>34</v>
      </c>
      <c r="B3196" s="11" t="s">
        <v>67</v>
      </c>
      <c r="C3196">
        <v>2005</v>
      </c>
      <c r="D3196" s="9">
        <v>466.95</v>
      </c>
      <c r="E3196" t="s">
        <v>57</v>
      </c>
    </row>
    <row r="3197" spans="1:5">
      <c r="A3197" t="s">
        <v>34</v>
      </c>
      <c r="B3197" s="11" t="s">
        <v>76</v>
      </c>
      <c r="C3197">
        <v>2005</v>
      </c>
      <c r="D3197" s="9">
        <v>510.64</v>
      </c>
      <c r="E3197" t="s">
        <v>57</v>
      </c>
    </row>
    <row r="3198" spans="1:5">
      <c r="A3198" t="s">
        <v>34</v>
      </c>
      <c r="B3198" s="11" t="s">
        <v>68</v>
      </c>
      <c r="C3198">
        <v>2005</v>
      </c>
      <c r="D3198" s="9">
        <v>682.03</v>
      </c>
      <c r="E3198" t="s">
        <v>58</v>
      </c>
    </row>
    <row r="3199" spans="1:5">
      <c r="A3199" t="s">
        <v>34</v>
      </c>
      <c r="B3199" s="11" t="s">
        <v>69</v>
      </c>
      <c r="C3199">
        <v>2005</v>
      </c>
      <c r="D3199" s="9">
        <v>592.04</v>
      </c>
      <c r="E3199" t="s">
        <v>58</v>
      </c>
    </row>
    <row r="3200" spans="1:5">
      <c r="A3200" t="s">
        <v>34</v>
      </c>
      <c r="B3200" s="11" t="s">
        <v>77</v>
      </c>
      <c r="C3200">
        <v>2005</v>
      </c>
      <c r="D3200" s="9">
        <v>813.89</v>
      </c>
      <c r="E3200" t="s">
        <v>58</v>
      </c>
    </row>
    <row r="3201" spans="1:5">
      <c r="A3201" t="s">
        <v>34</v>
      </c>
      <c r="B3201" s="11" t="s">
        <v>70</v>
      </c>
      <c r="C3201">
        <v>2005</v>
      </c>
      <c r="D3201" s="9">
        <v>921.14</v>
      </c>
      <c r="E3201" t="s">
        <v>59</v>
      </c>
    </row>
    <row r="3202" spans="1:5">
      <c r="A3202" t="s">
        <v>34</v>
      </c>
      <c r="B3202" s="11" t="s">
        <v>71</v>
      </c>
      <c r="C3202">
        <v>2005</v>
      </c>
      <c r="D3202" s="9">
        <v>915.86</v>
      </c>
      <c r="E3202" t="s">
        <v>59</v>
      </c>
    </row>
    <row r="3203" spans="1:5">
      <c r="A3203" t="s">
        <v>34</v>
      </c>
      <c r="B3203" s="11" t="s">
        <v>72</v>
      </c>
      <c r="C3203">
        <v>2005</v>
      </c>
      <c r="D3203" s="9">
        <v>1013.63</v>
      </c>
      <c r="E3203" t="s">
        <v>59</v>
      </c>
    </row>
    <row r="3204" spans="1:5">
      <c r="A3204" t="s">
        <v>34</v>
      </c>
      <c r="B3204" s="11" t="s">
        <v>78</v>
      </c>
      <c r="C3204">
        <v>2005</v>
      </c>
      <c r="D3204" s="9">
        <v>904.96</v>
      </c>
      <c r="E3204" t="s">
        <v>59</v>
      </c>
    </row>
    <row r="3205" spans="1:5">
      <c r="A3205" t="s">
        <v>34</v>
      </c>
      <c r="B3205" s="11" t="s">
        <v>73</v>
      </c>
      <c r="C3205">
        <v>2005</v>
      </c>
      <c r="D3205" s="9">
        <v>858.37</v>
      </c>
      <c r="E3205" t="s">
        <v>60</v>
      </c>
    </row>
    <row r="3206" spans="1:5">
      <c r="A3206" t="s">
        <v>34</v>
      </c>
      <c r="B3206" s="11" t="s">
        <v>74</v>
      </c>
      <c r="C3206">
        <v>2005</v>
      </c>
      <c r="D3206" s="9">
        <v>801.71</v>
      </c>
      <c r="E3206" t="s">
        <v>60</v>
      </c>
    </row>
    <row r="3207" spans="1:5">
      <c r="A3207" t="s">
        <v>35</v>
      </c>
      <c r="B3207" s="11" t="s">
        <v>61</v>
      </c>
      <c r="C3207">
        <v>2005</v>
      </c>
      <c r="D3207" s="9">
        <v>698.92</v>
      </c>
      <c r="E3207" t="s">
        <v>56</v>
      </c>
    </row>
    <row r="3208" spans="1:5">
      <c r="A3208" t="s">
        <v>35</v>
      </c>
      <c r="B3208" s="11" t="s">
        <v>62</v>
      </c>
      <c r="C3208">
        <v>2005</v>
      </c>
      <c r="D3208" s="9">
        <v>676.22</v>
      </c>
      <c r="E3208" t="s">
        <v>56</v>
      </c>
    </row>
    <row r="3209" spans="1:5">
      <c r="A3209" t="s">
        <v>35</v>
      </c>
      <c r="B3209" s="11" t="s">
        <v>63</v>
      </c>
      <c r="C3209">
        <v>2005</v>
      </c>
      <c r="D3209" s="9">
        <v>1022.22</v>
      </c>
      <c r="E3209" t="s">
        <v>56</v>
      </c>
    </row>
    <row r="3210" spans="1:5">
      <c r="A3210" t="s">
        <v>35</v>
      </c>
      <c r="B3210" s="11" t="s">
        <v>75</v>
      </c>
      <c r="C3210">
        <v>2005</v>
      </c>
      <c r="D3210" s="9">
        <v>740.7</v>
      </c>
      <c r="E3210" t="s">
        <v>56</v>
      </c>
    </row>
    <row r="3211" spans="1:5">
      <c r="A3211" t="s">
        <v>35</v>
      </c>
      <c r="B3211" s="11" t="s">
        <v>64</v>
      </c>
      <c r="C3211">
        <v>2005</v>
      </c>
      <c r="D3211" s="9">
        <v>994.82</v>
      </c>
      <c r="E3211" t="s">
        <v>57</v>
      </c>
    </row>
    <row r="3212" spans="1:5">
      <c r="A3212" t="s">
        <v>35</v>
      </c>
      <c r="B3212" s="11" t="s">
        <v>65</v>
      </c>
      <c r="C3212">
        <v>2005</v>
      </c>
      <c r="D3212" s="9">
        <v>689.71</v>
      </c>
      <c r="E3212" t="s">
        <v>57</v>
      </c>
    </row>
    <row r="3213" spans="1:5">
      <c r="A3213" t="s">
        <v>35</v>
      </c>
      <c r="B3213" s="11" t="s">
        <v>66</v>
      </c>
      <c r="C3213">
        <v>2005</v>
      </c>
      <c r="D3213" s="9">
        <v>1506.21</v>
      </c>
      <c r="E3213" t="s">
        <v>57</v>
      </c>
    </row>
    <row r="3214" spans="1:5">
      <c r="A3214" t="s">
        <v>35</v>
      </c>
      <c r="B3214" s="11" t="s">
        <v>67</v>
      </c>
      <c r="C3214">
        <v>2005</v>
      </c>
      <c r="D3214" s="9">
        <v>530.86</v>
      </c>
      <c r="E3214" t="s">
        <v>57</v>
      </c>
    </row>
    <row r="3215" spans="1:5">
      <c r="A3215" t="s">
        <v>35</v>
      </c>
      <c r="B3215" s="11" t="s">
        <v>76</v>
      </c>
      <c r="C3215">
        <v>2005</v>
      </c>
      <c r="D3215" s="9">
        <v>399.81</v>
      </c>
      <c r="E3215" t="s">
        <v>57</v>
      </c>
    </row>
    <row r="3216" spans="1:5">
      <c r="A3216" t="s">
        <v>35</v>
      </c>
      <c r="B3216" s="11" t="s">
        <v>68</v>
      </c>
      <c r="C3216">
        <v>2005</v>
      </c>
      <c r="D3216" s="9">
        <v>664.38</v>
      </c>
      <c r="E3216" t="s">
        <v>58</v>
      </c>
    </row>
    <row r="3217" spans="1:5">
      <c r="A3217" t="s">
        <v>35</v>
      </c>
      <c r="B3217" s="11" t="s">
        <v>69</v>
      </c>
      <c r="C3217">
        <v>2005</v>
      </c>
      <c r="D3217" s="9">
        <v>478.11</v>
      </c>
      <c r="E3217" t="s">
        <v>58</v>
      </c>
    </row>
    <row r="3218" spans="1:5">
      <c r="A3218" t="s">
        <v>35</v>
      </c>
      <c r="B3218" s="11" t="s">
        <v>77</v>
      </c>
      <c r="C3218">
        <v>2005</v>
      </c>
      <c r="D3218" s="9">
        <v>886.09</v>
      </c>
      <c r="E3218" t="s">
        <v>58</v>
      </c>
    </row>
    <row r="3219" spans="1:5">
      <c r="A3219" t="s">
        <v>35</v>
      </c>
      <c r="B3219" s="11" t="s">
        <v>70</v>
      </c>
      <c r="C3219">
        <v>2005</v>
      </c>
      <c r="D3219" s="9">
        <v>638.54999999999995</v>
      </c>
      <c r="E3219" t="s">
        <v>59</v>
      </c>
    </row>
    <row r="3220" spans="1:5">
      <c r="A3220" t="s">
        <v>35</v>
      </c>
      <c r="B3220" s="11" t="s">
        <v>71</v>
      </c>
      <c r="C3220">
        <v>2005</v>
      </c>
      <c r="D3220" s="9">
        <v>1063.29</v>
      </c>
      <c r="E3220" t="s">
        <v>59</v>
      </c>
    </row>
    <row r="3221" spans="1:5">
      <c r="A3221" t="s">
        <v>35</v>
      </c>
      <c r="B3221" s="11" t="s">
        <v>72</v>
      </c>
      <c r="C3221">
        <v>2005</v>
      </c>
      <c r="D3221" s="9">
        <v>1127.49</v>
      </c>
      <c r="E3221" t="s">
        <v>59</v>
      </c>
    </row>
    <row r="3222" spans="1:5">
      <c r="A3222" t="s">
        <v>35</v>
      </c>
      <c r="B3222" s="11" t="s">
        <v>78</v>
      </c>
      <c r="C3222">
        <v>2005</v>
      </c>
      <c r="D3222" s="9">
        <v>705.7</v>
      </c>
      <c r="E3222" t="s">
        <v>59</v>
      </c>
    </row>
    <row r="3223" spans="1:5">
      <c r="A3223" t="s">
        <v>35</v>
      </c>
      <c r="B3223" s="11" t="s">
        <v>73</v>
      </c>
      <c r="C3223">
        <v>2005</v>
      </c>
      <c r="D3223" s="9">
        <v>912.95</v>
      </c>
      <c r="E3223" t="s">
        <v>60</v>
      </c>
    </row>
    <row r="3224" spans="1:5">
      <c r="A3224" t="s">
        <v>35</v>
      </c>
      <c r="B3224" s="11" t="s">
        <v>74</v>
      </c>
      <c r="C3224">
        <v>2005</v>
      </c>
      <c r="D3224" s="9">
        <v>833.3</v>
      </c>
      <c r="E3224" t="s">
        <v>60</v>
      </c>
    </row>
    <row r="3225" spans="1:5">
      <c r="A3225" t="s">
        <v>36</v>
      </c>
      <c r="B3225" s="11" t="s">
        <v>61</v>
      </c>
      <c r="C3225">
        <v>2005</v>
      </c>
      <c r="D3225" s="9">
        <v>677.65</v>
      </c>
      <c r="E3225" t="s">
        <v>56</v>
      </c>
    </row>
    <row r="3226" spans="1:5">
      <c r="A3226" t="s">
        <v>36</v>
      </c>
      <c r="B3226" s="11" t="s">
        <v>62</v>
      </c>
      <c r="C3226">
        <v>2005</v>
      </c>
      <c r="D3226" s="9">
        <v>422.88</v>
      </c>
      <c r="E3226" t="s">
        <v>56</v>
      </c>
    </row>
    <row r="3227" spans="1:5">
      <c r="A3227" t="s">
        <v>36</v>
      </c>
      <c r="B3227" s="11" t="s">
        <v>63</v>
      </c>
      <c r="C3227">
        <v>2005</v>
      </c>
      <c r="D3227" s="9">
        <v>652.52</v>
      </c>
      <c r="E3227" t="s">
        <v>56</v>
      </c>
    </row>
    <row r="3228" spans="1:5">
      <c r="A3228" t="s">
        <v>36</v>
      </c>
      <c r="B3228" s="11" t="s">
        <v>75</v>
      </c>
      <c r="C3228">
        <v>2005</v>
      </c>
      <c r="D3228" s="9">
        <v>884.14</v>
      </c>
      <c r="E3228" t="s">
        <v>56</v>
      </c>
    </row>
    <row r="3229" spans="1:5">
      <c r="A3229" t="s">
        <v>36</v>
      </c>
      <c r="B3229" s="11" t="s">
        <v>64</v>
      </c>
      <c r="C3229">
        <v>2005</v>
      </c>
      <c r="D3229" s="9">
        <v>715.37</v>
      </c>
      <c r="E3229" t="s">
        <v>57</v>
      </c>
    </row>
    <row r="3230" spans="1:5">
      <c r="A3230" t="s">
        <v>36</v>
      </c>
      <c r="B3230" s="11" t="s">
        <v>65</v>
      </c>
      <c r="C3230">
        <v>2005</v>
      </c>
      <c r="D3230" s="9">
        <v>382.6</v>
      </c>
      <c r="E3230" t="s">
        <v>57</v>
      </c>
    </row>
    <row r="3231" spans="1:5">
      <c r="A3231" t="s">
        <v>36</v>
      </c>
      <c r="B3231" s="11" t="s">
        <v>66</v>
      </c>
      <c r="C3231">
        <v>2005</v>
      </c>
      <c r="D3231" s="9">
        <v>1334.38</v>
      </c>
      <c r="E3231" t="s">
        <v>57</v>
      </c>
    </row>
    <row r="3232" spans="1:5">
      <c r="A3232" t="s">
        <v>36</v>
      </c>
      <c r="B3232" s="11" t="s">
        <v>67</v>
      </c>
      <c r="C3232">
        <v>2005</v>
      </c>
      <c r="D3232" s="9">
        <v>494.43</v>
      </c>
      <c r="E3232" t="s">
        <v>57</v>
      </c>
    </row>
    <row r="3233" spans="1:5">
      <c r="A3233" t="s">
        <v>36</v>
      </c>
      <c r="B3233" s="11" t="s">
        <v>76</v>
      </c>
      <c r="C3233">
        <v>2005</v>
      </c>
      <c r="D3233" s="9">
        <v>438.23</v>
      </c>
      <c r="E3233" t="s">
        <v>57</v>
      </c>
    </row>
    <row r="3234" spans="1:5">
      <c r="A3234" t="s">
        <v>36</v>
      </c>
      <c r="B3234" s="11" t="s">
        <v>68</v>
      </c>
      <c r="C3234">
        <v>2005</v>
      </c>
      <c r="D3234" s="9">
        <v>644.62</v>
      </c>
      <c r="E3234" t="s">
        <v>58</v>
      </c>
    </row>
    <row r="3235" spans="1:5">
      <c r="A3235" t="s">
        <v>36</v>
      </c>
      <c r="B3235" s="11" t="s">
        <v>69</v>
      </c>
      <c r="C3235">
        <v>2005</v>
      </c>
      <c r="D3235" s="9">
        <v>439.69</v>
      </c>
      <c r="E3235" t="s">
        <v>58</v>
      </c>
    </row>
    <row r="3236" spans="1:5">
      <c r="A3236" t="s">
        <v>36</v>
      </c>
      <c r="B3236" s="11" t="s">
        <v>77</v>
      </c>
      <c r="C3236">
        <v>2005</v>
      </c>
      <c r="D3236" s="9">
        <v>847.84</v>
      </c>
      <c r="E3236" t="s">
        <v>58</v>
      </c>
    </row>
    <row r="3237" spans="1:5">
      <c r="A3237" t="s">
        <v>36</v>
      </c>
      <c r="B3237" s="11" t="s">
        <v>70</v>
      </c>
      <c r="C3237">
        <v>2005</v>
      </c>
      <c r="D3237" s="9">
        <v>545.55999999999995</v>
      </c>
      <c r="E3237" t="s">
        <v>59</v>
      </c>
    </row>
    <row r="3238" spans="1:5">
      <c r="A3238" t="s">
        <v>36</v>
      </c>
      <c r="B3238" s="11" t="s">
        <v>71</v>
      </c>
      <c r="C3238">
        <v>2005</v>
      </c>
      <c r="D3238" s="9">
        <v>892.93</v>
      </c>
      <c r="E3238" t="s">
        <v>59</v>
      </c>
    </row>
    <row r="3239" spans="1:5">
      <c r="A3239" t="s">
        <v>36</v>
      </c>
      <c r="B3239" s="11" t="s">
        <v>72</v>
      </c>
      <c r="C3239">
        <v>2005</v>
      </c>
      <c r="D3239" s="9">
        <v>984.73</v>
      </c>
      <c r="E3239" t="s">
        <v>59</v>
      </c>
    </row>
    <row r="3240" spans="1:5">
      <c r="A3240" t="s">
        <v>36</v>
      </c>
      <c r="B3240" s="11" t="s">
        <v>78</v>
      </c>
      <c r="C3240">
        <v>2005</v>
      </c>
      <c r="D3240" s="9">
        <v>558.26</v>
      </c>
      <c r="E3240" t="s">
        <v>59</v>
      </c>
    </row>
    <row r="3241" spans="1:5">
      <c r="A3241" t="s">
        <v>36</v>
      </c>
      <c r="B3241" s="11" t="s">
        <v>73</v>
      </c>
      <c r="C3241">
        <v>2005</v>
      </c>
      <c r="D3241" s="9">
        <v>840.92</v>
      </c>
      <c r="E3241" t="s">
        <v>60</v>
      </c>
    </row>
    <row r="3242" spans="1:5">
      <c r="A3242" t="s">
        <v>36</v>
      </c>
      <c r="B3242" s="11" t="s">
        <v>74</v>
      </c>
      <c r="C3242">
        <v>2005</v>
      </c>
      <c r="D3242" s="9">
        <v>873.54</v>
      </c>
      <c r="E3242" t="s">
        <v>60</v>
      </c>
    </row>
    <row r="3243" spans="1:5">
      <c r="A3243" t="s">
        <v>37</v>
      </c>
      <c r="B3243" s="11" t="s">
        <v>61</v>
      </c>
      <c r="C3243">
        <v>2005</v>
      </c>
      <c r="D3243" s="9">
        <v>782.24</v>
      </c>
      <c r="E3243" t="s">
        <v>56</v>
      </c>
    </row>
    <row r="3244" spans="1:5">
      <c r="A3244" t="s">
        <v>37</v>
      </c>
      <c r="B3244" s="11" t="s">
        <v>62</v>
      </c>
      <c r="C3244">
        <v>2005</v>
      </c>
      <c r="D3244" s="9">
        <v>376.01</v>
      </c>
      <c r="E3244" t="s">
        <v>56</v>
      </c>
    </row>
    <row r="3245" spans="1:5">
      <c r="A3245" t="s">
        <v>37</v>
      </c>
      <c r="B3245" s="11" t="s">
        <v>63</v>
      </c>
      <c r="C3245">
        <v>2005</v>
      </c>
      <c r="D3245" s="9">
        <v>814.48</v>
      </c>
      <c r="E3245" t="s">
        <v>56</v>
      </c>
    </row>
    <row r="3246" spans="1:5">
      <c r="A3246" t="s">
        <v>37</v>
      </c>
      <c r="B3246" s="11" t="s">
        <v>75</v>
      </c>
      <c r="C3246">
        <v>2005</v>
      </c>
      <c r="D3246" s="9">
        <v>825.4</v>
      </c>
      <c r="E3246" t="s">
        <v>56</v>
      </c>
    </row>
    <row r="3247" spans="1:5">
      <c r="A3247" t="s">
        <v>37</v>
      </c>
      <c r="B3247" s="11" t="s">
        <v>64</v>
      </c>
      <c r="C3247">
        <v>2005</v>
      </c>
      <c r="D3247" s="9">
        <v>699.95</v>
      </c>
      <c r="E3247" t="s">
        <v>57</v>
      </c>
    </row>
    <row r="3248" spans="1:5">
      <c r="A3248" t="s">
        <v>37</v>
      </c>
      <c r="B3248" s="11" t="s">
        <v>65</v>
      </c>
      <c r="C3248">
        <v>2005</v>
      </c>
      <c r="D3248" s="9">
        <v>415.22</v>
      </c>
      <c r="E3248" t="s">
        <v>57</v>
      </c>
    </row>
    <row r="3249" spans="1:5">
      <c r="A3249" t="s">
        <v>37</v>
      </c>
      <c r="B3249" s="11" t="s">
        <v>66</v>
      </c>
      <c r="C3249">
        <v>2005</v>
      </c>
      <c r="D3249" s="9">
        <v>1320.96</v>
      </c>
      <c r="E3249" t="s">
        <v>57</v>
      </c>
    </row>
    <row r="3250" spans="1:5">
      <c r="A3250" t="s">
        <v>37</v>
      </c>
      <c r="B3250" s="11" t="s">
        <v>67</v>
      </c>
      <c r="C3250">
        <v>2005</v>
      </c>
      <c r="D3250" s="9">
        <v>532.04999999999995</v>
      </c>
      <c r="E3250" t="s">
        <v>57</v>
      </c>
    </row>
    <row r="3251" spans="1:5">
      <c r="A3251" t="s">
        <v>37</v>
      </c>
      <c r="B3251" s="11" t="s">
        <v>76</v>
      </c>
      <c r="C3251">
        <v>2005</v>
      </c>
      <c r="D3251" s="9">
        <v>342.97</v>
      </c>
      <c r="E3251" t="s">
        <v>57</v>
      </c>
    </row>
    <row r="3252" spans="1:5">
      <c r="A3252" t="s">
        <v>37</v>
      </c>
      <c r="B3252" s="11" t="s">
        <v>68</v>
      </c>
      <c r="C3252">
        <v>2005</v>
      </c>
      <c r="D3252" s="9">
        <v>596.88</v>
      </c>
      <c r="E3252" t="s">
        <v>58</v>
      </c>
    </row>
    <row r="3253" spans="1:5">
      <c r="A3253" t="s">
        <v>37</v>
      </c>
      <c r="B3253" s="11" t="s">
        <v>69</v>
      </c>
      <c r="C3253">
        <v>2005</v>
      </c>
      <c r="D3253" s="9">
        <v>551.48</v>
      </c>
      <c r="E3253" t="s">
        <v>58</v>
      </c>
    </row>
    <row r="3254" spans="1:5">
      <c r="A3254" t="s">
        <v>37</v>
      </c>
      <c r="B3254" s="11" t="s">
        <v>77</v>
      </c>
      <c r="C3254">
        <v>2005</v>
      </c>
      <c r="D3254" s="9">
        <v>524.97</v>
      </c>
      <c r="E3254" t="s">
        <v>58</v>
      </c>
    </row>
    <row r="3255" spans="1:5">
      <c r="A3255" t="s">
        <v>37</v>
      </c>
      <c r="B3255" s="11" t="s">
        <v>70</v>
      </c>
      <c r="C3255">
        <v>2005</v>
      </c>
      <c r="D3255" s="9">
        <v>634.69000000000005</v>
      </c>
      <c r="E3255" t="s">
        <v>59</v>
      </c>
    </row>
    <row r="3256" spans="1:5">
      <c r="A3256" t="s">
        <v>37</v>
      </c>
      <c r="B3256" s="11" t="s">
        <v>71</v>
      </c>
      <c r="C3256">
        <v>2005</v>
      </c>
      <c r="D3256" s="9">
        <v>1027.67</v>
      </c>
      <c r="E3256" t="s">
        <v>59</v>
      </c>
    </row>
    <row r="3257" spans="1:5">
      <c r="A3257" t="s">
        <v>37</v>
      </c>
      <c r="B3257" s="11" t="s">
        <v>72</v>
      </c>
      <c r="C3257">
        <v>2005</v>
      </c>
      <c r="D3257" s="9">
        <v>785.8</v>
      </c>
      <c r="E3257" t="s">
        <v>59</v>
      </c>
    </row>
    <row r="3258" spans="1:5">
      <c r="A3258" t="s">
        <v>37</v>
      </c>
      <c r="B3258" s="11" t="s">
        <v>78</v>
      </c>
      <c r="C3258">
        <v>2005</v>
      </c>
      <c r="D3258" s="9">
        <v>549.05999999999995</v>
      </c>
      <c r="E3258" t="s">
        <v>59</v>
      </c>
    </row>
    <row r="3259" spans="1:5">
      <c r="A3259" t="s">
        <v>37</v>
      </c>
      <c r="B3259" s="11" t="s">
        <v>73</v>
      </c>
      <c r="C3259">
        <v>2005</v>
      </c>
      <c r="D3259" s="9">
        <v>762.69</v>
      </c>
      <c r="E3259" t="s">
        <v>60</v>
      </c>
    </row>
    <row r="3260" spans="1:5">
      <c r="A3260" t="s">
        <v>37</v>
      </c>
      <c r="B3260" s="11" t="s">
        <v>74</v>
      </c>
      <c r="C3260">
        <v>2005</v>
      </c>
      <c r="D3260" s="9">
        <v>621.65</v>
      </c>
      <c r="E3260" t="s">
        <v>60</v>
      </c>
    </row>
    <row r="3261" spans="1:5">
      <c r="A3261" t="s">
        <v>38</v>
      </c>
      <c r="B3261" s="11" t="s">
        <v>61</v>
      </c>
      <c r="C3261">
        <v>2005</v>
      </c>
      <c r="D3261" s="9">
        <v>779.52</v>
      </c>
      <c r="E3261" t="s">
        <v>56</v>
      </c>
    </row>
    <row r="3262" spans="1:5">
      <c r="A3262" t="s">
        <v>38</v>
      </c>
      <c r="B3262" s="11" t="s">
        <v>62</v>
      </c>
      <c r="C3262">
        <v>2005</v>
      </c>
      <c r="D3262" s="9">
        <v>431.23</v>
      </c>
      <c r="E3262" t="s">
        <v>56</v>
      </c>
    </row>
    <row r="3263" spans="1:5">
      <c r="A3263" t="s">
        <v>38</v>
      </c>
      <c r="B3263" s="11" t="s">
        <v>63</v>
      </c>
      <c r="C3263">
        <v>2005</v>
      </c>
      <c r="D3263" s="9">
        <v>818.28</v>
      </c>
      <c r="E3263" t="s">
        <v>56</v>
      </c>
    </row>
    <row r="3264" spans="1:5">
      <c r="A3264" t="s">
        <v>38</v>
      </c>
      <c r="B3264" s="11" t="s">
        <v>75</v>
      </c>
      <c r="C3264">
        <v>2005</v>
      </c>
      <c r="D3264" s="9">
        <v>798.62</v>
      </c>
      <c r="E3264" t="s">
        <v>56</v>
      </c>
    </row>
    <row r="3265" spans="1:5">
      <c r="A3265" t="s">
        <v>38</v>
      </c>
      <c r="B3265" s="11" t="s">
        <v>64</v>
      </c>
      <c r="C3265">
        <v>2005</v>
      </c>
      <c r="D3265" s="9">
        <v>731.46</v>
      </c>
      <c r="E3265" t="s">
        <v>57</v>
      </c>
    </row>
    <row r="3266" spans="1:5">
      <c r="A3266" t="s">
        <v>38</v>
      </c>
      <c r="B3266" s="11" t="s">
        <v>65</v>
      </c>
      <c r="C3266">
        <v>2005</v>
      </c>
      <c r="D3266" s="9">
        <v>515.27</v>
      </c>
      <c r="E3266" t="s">
        <v>57</v>
      </c>
    </row>
    <row r="3267" spans="1:5">
      <c r="A3267" t="s">
        <v>38</v>
      </c>
      <c r="B3267" s="11" t="s">
        <v>66</v>
      </c>
      <c r="C3267">
        <v>2005</v>
      </c>
      <c r="D3267" s="9">
        <v>1030.69</v>
      </c>
      <c r="E3267" t="s">
        <v>57</v>
      </c>
    </row>
    <row r="3268" spans="1:5">
      <c r="A3268" t="s">
        <v>38</v>
      </c>
      <c r="B3268" s="11" t="s">
        <v>67</v>
      </c>
      <c r="C3268">
        <v>2005</v>
      </c>
      <c r="D3268" s="9">
        <v>527.66999999999996</v>
      </c>
      <c r="E3268" t="s">
        <v>57</v>
      </c>
    </row>
    <row r="3269" spans="1:5">
      <c r="A3269" t="s">
        <v>38</v>
      </c>
      <c r="B3269" s="11" t="s">
        <v>76</v>
      </c>
      <c r="C3269">
        <v>2005</v>
      </c>
      <c r="D3269" s="9">
        <v>384.55</v>
      </c>
      <c r="E3269" t="s">
        <v>57</v>
      </c>
    </row>
    <row r="3270" spans="1:5">
      <c r="A3270" t="s">
        <v>38</v>
      </c>
      <c r="B3270" s="11" t="s">
        <v>68</v>
      </c>
      <c r="C3270">
        <v>2005</v>
      </c>
      <c r="D3270" s="9">
        <v>448.43</v>
      </c>
      <c r="E3270" t="s">
        <v>58</v>
      </c>
    </row>
    <row r="3271" spans="1:5">
      <c r="A3271" t="s">
        <v>38</v>
      </c>
      <c r="B3271" s="11" t="s">
        <v>69</v>
      </c>
      <c r="C3271">
        <v>2005</v>
      </c>
      <c r="D3271" s="9">
        <v>508.43</v>
      </c>
      <c r="E3271" t="s">
        <v>58</v>
      </c>
    </row>
    <row r="3272" spans="1:5">
      <c r="A3272" t="s">
        <v>38</v>
      </c>
      <c r="B3272" s="11" t="s">
        <v>77</v>
      </c>
      <c r="C3272">
        <v>2005</v>
      </c>
      <c r="D3272" s="9">
        <v>642.69000000000005</v>
      </c>
      <c r="E3272" t="s">
        <v>58</v>
      </c>
    </row>
    <row r="3273" spans="1:5">
      <c r="A3273" t="s">
        <v>38</v>
      </c>
      <c r="B3273" s="11" t="s">
        <v>70</v>
      </c>
      <c r="C3273">
        <v>2005</v>
      </c>
      <c r="D3273" s="9">
        <v>878.73</v>
      </c>
      <c r="E3273" t="s">
        <v>59</v>
      </c>
    </row>
    <row r="3274" spans="1:5">
      <c r="A3274" t="s">
        <v>38</v>
      </c>
      <c r="B3274" s="11" t="s">
        <v>71</v>
      </c>
      <c r="C3274">
        <v>2005</v>
      </c>
      <c r="D3274" s="9">
        <v>792.69</v>
      </c>
      <c r="E3274" t="s">
        <v>59</v>
      </c>
    </row>
    <row r="3275" spans="1:5">
      <c r="A3275" t="s">
        <v>38</v>
      </c>
      <c r="B3275" s="11" t="s">
        <v>72</v>
      </c>
      <c r="C3275">
        <v>2005</v>
      </c>
      <c r="D3275" s="9">
        <v>958.14</v>
      </c>
      <c r="E3275" t="s">
        <v>59</v>
      </c>
    </row>
    <row r="3276" spans="1:5">
      <c r="A3276" t="s">
        <v>38</v>
      </c>
      <c r="B3276" s="11" t="s">
        <v>78</v>
      </c>
      <c r="C3276">
        <v>2005</v>
      </c>
      <c r="D3276" s="9">
        <v>614.51</v>
      </c>
      <c r="E3276" t="s">
        <v>59</v>
      </c>
    </row>
    <row r="3277" spans="1:5">
      <c r="A3277" t="s">
        <v>38</v>
      </c>
      <c r="B3277" s="11" t="s">
        <v>73</v>
      </c>
      <c r="C3277">
        <v>2005</v>
      </c>
      <c r="D3277" s="9">
        <v>1029.3499999999999</v>
      </c>
      <c r="E3277" t="s">
        <v>60</v>
      </c>
    </row>
    <row r="3278" spans="1:5">
      <c r="A3278" t="s">
        <v>38</v>
      </c>
      <c r="B3278" s="11" t="s">
        <v>74</v>
      </c>
      <c r="C3278">
        <v>2005</v>
      </c>
      <c r="D3278" s="9">
        <v>647.77</v>
      </c>
      <c r="E3278" t="s">
        <v>60</v>
      </c>
    </row>
    <row r="3279" spans="1:5">
      <c r="A3279" t="s">
        <v>39</v>
      </c>
      <c r="B3279" s="11" t="s">
        <v>61</v>
      </c>
      <c r="C3279">
        <v>2005</v>
      </c>
      <c r="D3279" s="9">
        <v>561.58000000000004</v>
      </c>
      <c r="E3279" t="s">
        <v>56</v>
      </c>
    </row>
    <row r="3280" spans="1:5">
      <c r="A3280" t="s">
        <v>39</v>
      </c>
      <c r="B3280" s="11" t="s">
        <v>62</v>
      </c>
      <c r="C3280">
        <v>2005</v>
      </c>
      <c r="D3280" s="9">
        <v>364.6</v>
      </c>
      <c r="E3280" t="s">
        <v>56</v>
      </c>
    </row>
    <row r="3281" spans="1:5">
      <c r="A3281" t="s">
        <v>39</v>
      </c>
      <c r="B3281" s="11" t="s">
        <v>63</v>
      </c>
      <c r="C3281">
        <v>2005</v>
      </c>
      <c r="D3281" s="9">
        <v>602.41999999999996</v>
      </c>
      <c r="E3281" t="s">
        <v>56</v>
      </c>
    </row>
    <row r="3282" spans="1:5">
      <c r="A3282" t="s">
        <v>39</v>
      </c>
      <c r="B3282" s="11" t="s">
        <v>75</v>
      </c>
      <c r="C3282">
        <v>2005</v>
      </c>
      <c r="D3282" s="9">
        <v>682.03</v>
      </c>
      <c r="E3282" t="s">
        <v>56</v>
      </c>
    </row>
    <row r="3283" spans="1:5">
      <c r="A3283" t="s">
        <v>39</v>
      </c>
      <c r="B3283" s="11" t="s">
        <v>64</v>
      </c>
      <c r="C3283">
        <v>2005</v>
      </c>
      <c r="D3283" s="9">
        <v>611.54</v>
      </c>
      <c r="E3283" t="s">
        <v>57</v>
      </c>
    </row>
    <row r="3284" spans="1:5">
      <c r="A3284" t="s">
        <v>39</v>
      </c>
      <c r="B3284" s="11" t="s">
        <v>65</v>
      </c>
      <c r="C3284">
        <v>2005</v>
      </c>
      <c r="D3284" s="9">
        <v>690.99</v>
      </c>
      <c r="E3284" t="s">
        <v>57</v>
      </c>
    </row>
    <row r="3285" spans="1:5">
      <c r="A3285" t="s">
        <v>39</v>
      </c>
      <c r="B3285" s="11" t="s">
        <v>66</v>
      </c>
      <c r="C3285">
        <v>2005</v>
      </c>
      <c r="D3285" s="9">
        <v>884.03</v>
      </c>
      <c r="E3285" t="s">
        <v>57</v>
      </c>
    </row>
    <row r="3286" spans="1:5">
      <c r="A3286" t="s">
        <v>39</v>
      </c>
      <c r="B3286" s="11" t="s">
        <v>67</v>
      </c>
      <c r="C3286">
        <v>2005</v>
      </c>
      <c r="D3286" s="9">
        <v>471.54</v>
      </c>
      <c r="E3286" t="s">
        <v>57</v>
      </c>
    </row>
    <row r="3287" spans="1:5">
      <c r="A3287" t="s">
        <v>39</v>
      </c>
      <c r="B3287" s="11" t="s">
        <v>76</v>
      </c>
      <c r="C3287">
        <v>2005</v>
      </c>
      <c r="D3287" s="9">
        <v>417.31</v>
      </c>
      <c r="E3287" t="s">
        <v>57</v>
      </c>
    </row>
    <row r="3288" spans="1:5">
      <c r="A3288" t="s">
        <v>39</v>
      </c>
      <c r="B3288" s="11" t="s">
        <v>68</v>
      </c>
      <c r="C3288">
        <v>2005</v>
      </c>
      <c r="D3288" s="9">
        <v>801.91</v>
      </c>
      <c r="E3288" t="s">
        <v>58</v>
      </c>
    </row>
    <row r="3289" spans="1:5">
      <c r="A3289" t="s">
        <v>39</v>
      </c>
      <c r="B3289" s="11" t="s">
        <v>69</v>
      </c>
      <c r="C3289">
        <v>2005</v>
      </c>
      <c r="D3289" s="9">
        <v>572.41</v>
      </c>
      <c r="E3289" t="s">
        <v>58</v>
      </c>
    </row>
    <row r="3290" spans="1:5">
      <c r="A3290" t="s">
        <v>39</v>
      </c>
      <c r="B3290" s="11" t="s">
        <v>77</v>
      </c>
      <c r="C3290">
        <v>2005</v>
      </c>
      <c r="D3290" s="9">
        <v>1002.87</v>
      </c>
      <c r="E3290" t="s">
        <v>58</v>
      </c>
    </row>
    <row r="3291" spans="1:5">
      <c r="A3291" t="s">
        <v>39</v>
      </c>
      <c r="B3291" s="11" t="s">
        <v>70</v>
      </c>
      <c r="C3291">
        <v>2005</v>
      </c>
      <c r="D3291" s="9">
        <v>775.05</v>
      </c>
      <c r="E3291" t="s">
        <v>59</v>
      </c>
    </row>
    <row r="3292" spans="1:5">
      <c r="A3292" t="s">
        <v>39</v>
      </c>
      <c r="B3292" s="11" t="s">
        <v>71</v>
      </c>
      <c r="C3292">
        <v>2005</v>
      </c>
      <c r="D3292" s="9">
        <v>761.05</v>
      </c>
      <c r="E3292" t="s">
        <v>59</v>
      </c>
    </row>
    <row r="3293" spans="1:5">
      <c r="A3293" t="s">
        <v>39</v>
      </c>
      <c r="B3293" s="11" t="s">
        <v>72</v>
      </c>
      <c r="C3293">
        <v>2005</v>
      </c>
      <c r="D3293" s="9">
        <v>1147.46</v>
      </c>
      <c r="E3293" t="s">
        <v>59</v>
      </c>
    </row>
    <row r="3294" spans="1:5">
      <c r="A3294" t="s">
        <v>39</v>
      </c>
      <c r="B3294" s="11" t="s">
        <v>78</v>
      </c>
      <c r="C3294">
        <v>2005</v>
      </c>
      <c r="D3294" s="9">
        <v>473.84</v>
      </c>
      <c r="E3294" t="s">
        <v>59</v>
      </c>
    </row>
    <row r="3295" spans="1:5">
      <c r="A3295" t="s">
        <v>39</v>
      </c>
      <c r="B3295" s="11" t="s">
        <v>73</v>
      </c>
      <c r="C3295">
        <v>2005</v>
      </c>
      <c r="D3295" s="9">
        <v>717.43</v>
      </c>
      <c r="E3295" t="s">
        <v>60</v>
      </c>
    </row>
    <row r="3296" spans="1:5">
      <c r="A3296" t="s">
        <v>39</v>
      </c>
      <c r="B3296" s="11" t="s">
        <v>74</v>
      </c>
      <c r="C3296">
        <v>2005</v>
      </c>
      <c r="D3296" s="9">
        <v>615.11</v>
      </c>
      <c r="E3296" t="s">
        <v>60</v>
      </c>
    </row>
    <row r="3297" spans="1:5">
      <c r="A3297" t="s">
        <v>28</v>
      </c>
      <c r="B3297" s="11" t="s">
        <v>61</v>
      </c>
      <c r="C3297">
        <v>3001</v>
      </c>
      <c r="D3297" s="9">
        <v>2705.56</v>
      </c>
      <c r="E3297" t="s">
        <v>56</v>
      </c>
    </row>
    <row r="3298" spans="1:5">
      <c r="A3298" t="s">
        <v>28</v>
      </c>
      <c r="B3298" s="11" t="s">
        <v>62</v>
      </c>
      <c r="C3298">
        <v>3001</v>
      </c>
      <c r="D3298" s="9">
        <v>4289.45</v>
      </c>
      <c r="E3298" t="s">
        <v>56</v>
      </c>
    </row>
    <row r="3299" spans="1:5">
      <c r="A3299" t="s">
        <v>28</v>
      </c>
      <c r="B3299" s="11" t="s">
        <v>63</v>
      </c>
      <c r="C3299">
        <v>3001</v>
      </c>
      <c r="D3299" s="9">
        <v>4392.46</v>
      </c>
      <c r="E3299" t="s">
        <v>56</v>
      </c>
    </row>
    <row r="3300" spans="1:5">
      <c r="A3300" t="s">
        <v>28</v>
      </c>
      <c r="B3300" s="11" t="s">
        <v>64</v>
      </c>
      <c r="C3300">
        <v>3001</v>
      </c>
      <c r="D3300" s="9">
        <v>3994.58</v>
      </c>
      <c r="E3300" t="s">
        <v>57</v>
      </c>
    </row>
    <row r="3301" spans="1:5">
      <c r="A3301" t="s">
        <v>28</v>
      </c>
      <c r="B3301" s="11" t="s">
        <v>65</v>
      </c>
      <c r="C3301">
        <v>3001</v>
      </c>
      <c r="D3301" s="9">
        <v>3328.95</v>
      </c>
      <c r="E3301" t="s">
        <v>57</v>
      </c>
    </row>
    <row r="3302" spans="1:5">
      <c r="A3302" t="s">
        <v>28</v>
      </c>
      <c r="B3302" s="11" t="s">
        <v>66</v>
      </c>
      <c r="C3302">
        <v>3001</v>
      </c>
      <c r="D3302" s="9">
        <v>9620.0499999999993</v>
      </c>
      <c r="E3302" t="s">
        <v>57</v>
      </c>
    </row>
    <row r="3303" spans="1:5">
      <c r="A3303" t="s">
        <v>28</v>
      </c>
      <c r="B3303" s="11" t="s">
        <v>67</v>
      </c>
      <c r="C3303">
        <v>3001</v>
      </c>
      <c r="D3303" s="9">
        <v>2826.88</v>
      </c>
      <c r="E3303" t="s">
        <v>57</v>
      </c>
    </row>
    <row r="3304" spans="1:5">
      <c r="A3304" t="s">
        <v>28</v>
      </c>
      <c r="B3304" s="11" t="s">
        <v>76</v>
      </c>
      <c r="C3304">
        <v>3001</v>
      </c>
      <c r="D3304" s="9">
        <v>1572.57</v>
      </c>
      <c r="E3304" t="s">
        <v>57</v>
      </c>
    </row>
    <row r="3305" spans="1:5">
      <c r="A3305" t="s">
        <v>28</v>
      </c>
      <c r="B3305" s="11" t="s">
        <v>68</v>
      </c>
      <c r="C3305">
        <v>3001</v>
      </c>
      <c r="D3305" s="9">
        <v>5307.82</v>
      </c>
      <c r="E3305" t="s">
        <v>58</v>
      </c>
    </row>
    <row r="3306" spans="1:5">
      <c r="A3306" t="s">
        <v>28</v>
      </c>
      <c r="B3306" s="11" t="s">
        <v>69</v>
      </c>
      <c r="C3306">
        <v>3001</v>
      </c>
      <c r="D3306" s="9">
        <v>3688.09</v>
      </c>
      <c r="E3306" t="s">
        <v>58</v>
      </c>
    </row>
    <row r="3307" spans="1:5">
      <c r="A3307" t="s">
        <v>28</v>
      </c>
      <c r="B3307" s="11" t="s">
        <v>77</v>
      </c>
      <c r="C3307">
        <v>3001</v>
      </c>
      <c r="D3307" s="9">
        <v>6025.88</v>
      </c>
      <c r="E3307" t="s">
        <v>58</v>
      </c>
    </row>
    <row r="3308" spans="1:5">
      <c r="A3308" t="s">
        <v>28</v>
      </c>
      <c r="B3308" s="11" t="s">
        <v>70</v>
      </c>
      <c r="C3308">
        <v>3001</v>
      </c>
      <c r="D3308" s="9">
        <v>6606.78</v>
      </c>
      <c r="E3308" t="s">
        <v>59</v>
      </c>
    </row>
    <row r="3309" spans="1:5">
      <c r="A3309" t="s">
        <v>28</v>
      </c>
      <c r="B3309" s="11" t="s">
        <v>71</v>
      </c>
      <c r="C3309">
        <v>3001</v>
      </c>
      <c r="D3309" s="9">
        <v>5611.3</v>
      </c>
      <c r="E3309" t="s">
        <v>59</v>
      </c>
    </row>
    <row r="3310" spans="1:5">
      <c r="A3310" t="s">
        <v>28</v>
      </c>
      <c r="B3310" s="11" t="s">
        <v>72</v>
      </c>
      <c r="C3310">
        <v>3001</v>
      </c>
      <c r="D3310" s="9">
        <v>4184.4399999999996</v>
      </c>
      <c r="E3310" t="s">
        <v>59</v>
      </c>
    </row>
    <row r="3311" spans="1:5">
      <c r="A3311" t="s">
        <v>28</v>
      </c>
      <c r="B3311" s="11" t="s">
        <v>78</v>
      </c>
      <c r="C3311">
        <v>3001</v>
      </c>
      <c r="D3311" s="9">
        <v>4879.1000000000004</v>
      </c>
      <c r="E3311" t="s">
        <v>59</v>
      </c>
    </row>
    <row r="3312" spans="1:5">
      <c r="A3312" t="s">
        <v>28</v>
      </c>
      <c r="B3312" s="11" t="s">
        <v>73</v>
      </c>
      <c r="C3312">
        <v>3001</v>
      </c>
      <c r="D3312" s="9">
        <v>5271.86</v>
      </c>
      <c r="E3312" t="s">
        <v>60</v>
      </c>
    </row>
    <row r="3313" spans="1:5">
      <c r="A3313" t="s">
        <v>28</v>
      </c>
      <c r="B3313" s="11" t="s">
        <v>74</v>
      </c>
      <c r="C3313">
        <v>3001</v>
      </c>
      <c r="D3313" s="9">
        <v>6527.22</v>
      </c>
      <c r="E3313" t="s">
        <v>60</v>
      </c>
    </row>
    <row r="3314" spans="1:5">
      <c r="A3314" t="s">
        <v>29</v>
      </c>
      <c r="B3314" s="11" t="s">
        <v>61</v>
      </c>
      <c r="C3314">
        <v>3001</v>
      </c>
      <c r="D3314" s="9">
        <v>6124.9</v>
      </c>
      <c r="E3314" t="s">
        <v>56</v>
      </c>
    </row>
    <row r="3315" spans="1:5">
      <c r="A3315" t="s">
        <v>29</v>
      </c>
      <c r="B3315" s="11" t="s">
        <v>62</v>
      </c>
      <c r="C3315">
        <v>3001</v>
      </c>
      <c r="D3315" s="9">
        <v>2663.15</v>
      </c>
      <c r="E3315" t="s">
        <v>56</v>
      </c>
    </row>
    <row r="3316" spans="1:5">
      <c r="A3316" t="s">
        <v>29</v>
      </c>
      <c r="B3316" s="11" t="s">
        <v>63</v>
      </c>
      <c r="C3316">
        <v>3001</v>
      </c>
      <c r="D3316" s="9">
        <v>4022.32</v>
      </c>
      <c r="E3316" t="s">
        <v>56</v>
      </c>
    </row>
    <row r="3317" spans="1:5">
      <c r="A3317" t="s">
        <v>29</v>
      </c>
      <c r="B3317" s="11" t="s">
        <v>75</v>
      </c>
      <c r="C3317">
        <v>3001</v>
      </c>
      <c r="D3317" s="9">
        <v>3279.37</v>
      </c>
      <c r="E3317" t="s">
        <v>56</v>
      </c>
    </row>
    <row r="3318" spans="1:5">
      <c r="A3318" t="s">
        <v>29</v>
      </c>
      <c r="B3318" s="11" t="s">
        <v>64</v>
      </c>
      <c r="C3318">
        <v>3001</v>
      </c>
      <c r="D3318" s="9">
        <v>4982.7299999999996</v>
      </c>
      <c r="E3318" t="s">
        <v>57</v>
      </c>
    </row>
    <row r="3319" spans="1:5">
      <c r="A3319" t="s">
        <v>29</v>
      </c>
      <c r="B3319" s="11" t="s">
        <v>65</v>
      </c>
      <c r="C3319">
        <v>3001</v>
      </c>
      <c r="D3319" s="9">
        <v>4345.32</v>
      </c>
      <c r="E3319" t="s">
        <v>57</v>
      </c>
    </row>
    <row r="3320" spans="1:5">
      <c r="A3320" t="s">
        <v>29</v>
      </c>
      <c r="B3320" s="11" t="s">
        <v>66</v>
      </c>
      <c r="C3320">
        <v>3001</v>
      </c>
      <c r="D3320" s="9">
        <v>4792.26</v>
      </c>
      <c r="E3320" t="s">
        <v>57</v>
      </c>
    </row>
    <row r="3321" spans="1:5">
      <c r="A3321" t="s">
        <v>29</v>
      </c>
      <c r="B3321" s="11" t="s">
        <v>67</v>
      </c>
      <c r="C3321">
        <v>3001</v>
      </c>
      <c r="D3321" s="9">
        <v>4540.1400000000003</v>
      </c>
      <c r="E3321" t="s">
        <v>57</v>
      </c>
    </row>
    <row r="3322" spans="1:5">
      <c r="A3322" t="s">
        <v>29</v>
      </c>
      <c r="B3322" s="11" t="s">
        <v>76</v>
      </c>
      <c r="C3322">
        <v>3001</v>
      </c>
      <c r="D3322" s="9">
        <v>1643.05</v>
      </c>
      <c r="E3322" t="s">
        <v>57</v>
      </c>
    </row>
    <row r="3323" spans="1:5">
      <c r="A3323" t="s">
        <v>29</v>
      </c>
      <c r="B3323" s="11" t="s">
        <v>68</v>
      </c>
      <c r="C3323">
        <v>3001</v>
      </c>
      <c r="D3323" s="9">
        <v>5691.64</v>
      </c>
      <c r="E3323" t="s">
        <v>58</v>
      </c>
    </row>
    <row r="3324" spans="1:5">
      <c r="A3324" t="s">
        <v>29</v>
      </c>
      <c r="B3324" s="11" t="s">
        <v>69</v>
      </c>
      <c r="C3324">
        <v>3001</v>
      </c>
      <c r="D3324" s="9">
        <v>3732.86</v>
      </c>
      <c r="E3324" t="s">
        <v>58</v>
      </c>
    </row>
    <row r="3325" spans="1:5">
      <c r="A3325" t="s">
        <v>29</v>
      </c>
      <c r="B3325" s="11" t="s">
        <v>77</v>
      </c>
      <c r="C3325">
        <v>3001</v>
      </c>
      <c r="D3325" s="9">
        <v>5115.7</v>
      </c>
      <c r="E3325" t="s">
        <v>58</v>
      </c>
    </row>
    <row r="3326" spans="1:5">
      <c r="A3326" t="s">
        <v>29</v>
      </c>
      <c r="B3326" s="11" t="s">
        <v>70</v>
      </c>
      <c r="C3326">
        <v>3001</v>
      </c>
      <c r="D3326" s="9">
        <v>5256.02</v>
      </c>
      <c r="E3326" t="s">
        <v>59</v>
      </c>
    </row>
    <row r="3327" spans="1:5">
      <c r="A3327" t="s">
        <v>29</v>
      </c>
      <c r="B3327" s="11" t="s">
        <v>71</v>
      </c>
      <c r="C3327">
        <v>3001</v>
      </c>
      <c r="D3327" s="9">
        <v>5776.46</v>
      </c>
      <c r="E3327" t="s">
        <v>59</v>
      </c>
    </row>
    <row r="3328" spans="1:5">
      <c r="A3328" t="s">
        <v>29</v>
      </c>
      <c r="B3328" s="11" t="s">
        <v>72</v>
      </c>
      <c r="C3328">
        <v>3001</v>
      </c>
      <c r="D3328" s="9">
        <v>6564.03</v>
      </c>
      <c r="E3328" t="s">
        <v>59</v>
      </c>
    </row>
    <row r="3329" spans="1:5">
      <c r="A3329" t="s">
        <v>29</v>
      </c>
      <c r="B3329" s="11" t="s">
        <v>78</v>
      </c>
      <c r="C3329">
        <v>3001</v>
      </c>
      <c r="D3329" s="9">
        <v>3783.69</v>
      </c>
      <c r="E3329" t="s">
        <v>59</v>
      </c>
    </row>
    <row r="3330" spans="1:5">
      <c r="A3330" t="s">
        <v>29</v>
      </c>
      <c r="B3330" s="11" t="s">
        <v>73</v>
      </c>
      <c r="C3330">
        <v>3001</v>
      </c>
      <c r="D3330" s="9">
        <v>5170.9799999999996</v>
      </c>
      <c r="E3330" t="s">
        <v>60</v>
      </c>
    </row>
    <row r="3331" spans="1:5">
      <c r="A3331" t="s">
        <v>29</v>
      </c>
      <c r="B3331" s="11" t="s">
        <v>74</v>
      </c>
      <c r="C3331">
        <v>3001</v>
      </c>
      <c r="D3331" s="9">
        <v>5215.07</v>
      </c>
      <c r="E3331" t="s">
        <v>60</v>
      </c>
    </row>
    <row r="3332" spans="1:5">
      <c r="A3332" t="s">
        <v>30</v>
      </c>
      <c r="B3332" s="11" t="s">
        <v>61</v>
      </c>
      <c r="C3332">
        <v>3001</v>
      </c>
      <c r="D3332" s="9">
        <v>3078.49</v>
      </c>
      <c r="E3332" t="s">
        <v>56</v>
      </c>
    </row>
    <row r="3333" spans="1:5">
      <c r="A3333" t="s">
        <v>30</v>
      </c>
      <c r="B3333" s="11" t="s">
        <v>62</v>
      </c>
      <c r="C3333">
        <v>3001</v>
      </c>
      <c r="D3333" s="9">
        <v>2677.85</v>
      </c>
      <c r="E3333" t="s">
        <v>56</v>
      </c>
    </row>
    <row r="3334" spans="1:5">
      <c r="A3334" t="s">
        <v>30</v>
      </c>
      <c r="B3334" s="11" t="s">
        <v>63</v>
      </c>
      <c r="C3334">
        <v>3001</v>
      </c>
      <c r="D3334" s="9">
        <v>3274.12</v>
      </c>
      <c r="E3334" t="s">
        <v>56</v>
      </c>
    </row>
    <row r="3335" spans="1:5">
      <c r="A3335" t="s">
        <v>30</v>
      </c>
      <c r="B3335" s="11" t="s">
        <v>75</v>
      </c>
      <c r="C3335">
        <v>3001</v>
      </c>
      <c r="D3335" s="9">
        <v>2646.08</v>
      </c>
      <c r="E3335" t="s">
        <v>56</v>
      </c>
    </row>
    <row r="3336" spans="1:5">
      <c r="A3336" t="s">
        <v>30</v>
      </c>
      <c r="B3336" s="11" t="s">
        <v>64</v>
      </c>
      <c r="C3336">
        <v>3001</v>
      </c>
      <c r="D3336" s="9">
        <v>3244.39</v>
      </c>
      <c r="E3336" t="s">
        <v>57</v>
      </c>
    </row>
    <row r="3337" spans="1:5">
      <c r="A3337" t="s">
        <v>30</v>
      </c>
      <c r="B3337" s="11" t="s">
        <v>65</v>
      </c>
      <c r="C3337">
        <v>3001</v>
      </c>
      <c r="D3337" s="9">
        <v>3273.77</v>
      </c>
      <c r="E3337" t="s">
        <v>57</v>
      </c>
    </row>
    <row r="3338" spans="1:5">
      <c r="A3338" t="s">
        <v>30</v>
      </c>
      <c r="B3338" s="11" t="s">
        <v>66</v>
      </c>
      <c r="C3338">
        <v>3001</v>
      </c>
      <c r="D3338" s="9">
        <v>6114.01</v>
      </c>
      <c r="E3338" t="s">
        <v>57</v>
      </c>
    </row>
    <row r="3339" spans="1:5">
      <c r="A3339" t="s">
        <v>30</v>
      </c>
      <c r="B3339" s="11" t="s">
        <v>67</v>
      </c>
      <c r="C3339">
        <v>3001</v>
      </c>
      <c r="D3339" s="9">
        <v>3982.73</v>
      </c>
      <c r="E3339" t="s">
        <v>57</v>
      </c>
    </row>
    <row r="3340" spans="1:5">
      <c r="A3340" t="s">
        <v>30</v>
      </c>
      <c r="B3340" s="11" t="s">
        <v>76</v>
      </c>
      <c r="C3340">
        <v>3001</v>
      </c>
      <c r="D3340" s="9">
        <v>1789.49</v>
      </c>
      <c r="E3340" t="s">
        <v>57</v>
      </c>
    </row>
    <row r="3341" spans="1:5">
      <c r="A3341" t="s">
        <v>30</v>
      </c>
      <c r="B3341" s="11" t="s">
        <v>68</v>
      </c>
      <c r="C3341">
        <v>3001</v>
      </c>
      <c r="D3341" s="9">
        <v>4582.99</v>
      </c>
      <c r="E3341" t="s">
        <v>58</v>
      </c>
    </row>
    <row r="3342" spans="1:5">
      <c r="A3342" t="s">
        <v>30</v>
      </c>
      <c r="B3342" s="11" t="s">
        <v>69</v>
      </c>
      <c r="C3342">
        <v>3001</v>
      </c>
      <c r="D3342" s="9">
        <v>3197.09</v>
      </c>
      <c r="E3342" t="s">
        <v>58</v>
      </c>
    </row>
    <row r="3343" spans="1:5">
      <c r="A3343" t="s">
        <v>30</v>
      </c>
      <c r="B3343" s="11" t="s">
        <v>77</v>
      </c>
      <c r="C3343">
        <v>3001</v>
      </c>
      <c r="D3343" s="9">
        <v>3787.91</v>
      </c>
      <c r="E3343" t="s">
        <v>58</v>
      </c>
    </row>
    <row r="3344" spans="1:5">
      <c r="A3344" t="s">
        <v>30</v>
      </c>
      <c r="B3344" s="11" t="s">
        <v>70</v>
      </c>
      <c r="C3344">
        <v>3001</v>
      </c>
      <c r="D3344" s="9">
        <v>4475.03</v>
      </c>
      <c r="E3344" t="s">
        <v>59</v>
      </c>
    </row>
    <row r="3345" spans="1:5">
      <c r="A3345" t="s">
        <v>30</v>
      </c>
      <c r="B3345" s="11" t="s">
        <v>71</v>
      </c>
      <c r="C3345">
        <v>3001</v>
      </c>
      <c r="D3345" s="9">
        <v>3618.44</v>
      </c>
      <c r="E3345" t="s">
        <v>59</v>
      </c>
    </row>
    <row r="3346" spans="1:5">
      <c r="A3346" t="s">
        <v>30</v>
      </c>
      <c r="B3346" s="11" t="s">
        <v>72</v>
      </c>
      <c r="C3346">
        <v>3001</v>
      </c>
      <c r="D3346" s="9">
        <v>4968.74</v>
      </c>
      <c r="E3346" t="s">
        <v>59</v>
      </c>
    </row>
    <row r="3347" spans="1:5">
      <c r="A3347" t="s">
        <v>30</v>
      </c>
      <c r="B3347" s="11" t="s">
        <v>78</v>
      </c>
      <c r="C3347">
        <v>3001</v>
      </c>
      <c r="D3347" s="9">
        <v>5082.05</v>
      </c>
      <c r="E3347" t="s">
        <v>59</v>
      </c>
    </row>
    <row r="3348" spans="1:5">
      <c r="A3348" t="s">
        <v>30</v>
      </c>
      <c r="B3348" s="11" t="s">
        <v>73</v>
      </c>
      <c r="C3348">
        <v>3001</v>
      </c>
      <c r="D3348" s="9">
        <v>4187.34</v>
      </c>
      <c r="E3348" t="s">
        <v>60</v>
      </c>
    </row>
    <row r="3349" spans="1:5">
      <c r="A3349" t="s">
        <v>30</v>
      </c>
      <c r="B3349" s="11" t="s">
        <v>74</v>
      </c>
      <c r="C3349">
        <v>3001</v>
      </c>
      <c r="D3349" s="9">
        <v>4724.8500000000004</v>
      </c>
      <c r="E3349" t="s">
        <v>60</v>
      </c>
    </row>
    <row r="3350" spans="1:5">
      <c r="A3350" t="s">
        <v>31</v>
      </c>
      <c r="B3350" s="11" t="s">
        <v>61</v>
      </c>
      <c r="C3350">
        <v>3001</v>
      </c>
      <c r="D3350" s="9">
        <v>3059.14</v>
      </c>
      <c r="E3350" t="s">
        <v>56</v>
      </c>
    </row>
    <row r="3351" spans="1:5">
      <c r="A3351" t="s">
        <v>31</v>
      </c>
      <c r="B3351" s="11" t="s">
        <v>62</v>
      </c>
      <c r="C3351">
        <v>3001</v>
      </c>
      <c r="D3351" s="9">
        <v>2208.79</v>
      </c>
      <c r="E3351" t="s">
        <v>56</v>
      </c>
    </row>
    <row r="3352" spans="1:5">
      <c r="A3352" t="s">
        <v>31</v>
      </c>
      <c r="B3352" s="11" t="s">
        <v>63</v>
      </c>
      <c r="C3352">
        <v>3001</v>
      </c>
      <c r="D3352" s="9">
        <v>5241.25</v>
      </c>
      <c r="E3352" t="s">
        <v>56</v>
      </c>
    </row>
    <row r="3353" spans="1:5">
      <c r="A3353" t="s">
        <v>31</v>
      </c>
      <c r="B3353" s="11" t="s">
        <v>75</v>
      </c>
      <c r="C3353">
        <v>3001</v>
      </c>
      <c r="D3353" s="9">
        <v>5959.17</v>
      </c>
      <c r="E3353" t="s">
        <v>56</v>
      </c>
    </row>
    <row r="3354" spans="1:5">
      <c r="A3354" t="s">
        <v>31</v>
      </c>
      <c r="B3354" s="11" t="s">
        <v>64</v>
      </c>
      <c r="C3354">
        <v>3001</v>
      </c>
      <c r="D3354" s="9">
        <v>3780.87</v>
      </c>
      <c r="E3354" t="s">
        <v>57</v>
      </c>
    </row>
    <row r="3355" spans="1:5">
      <c r="A3355" t="s">
        <v>31</v>
      </c>
      <c r="B3355" s="11" t="s">
        <v>65</v>
      </c>
      <c r="C3355">
        <v>3001</v>
      </c>
      <c r="D3355" s="9">
        <v>4008.11</v>
      </c>
      <c r="E3355" t="s">
        <v>57</v>
      </c>
    </row>
    <row r="3356" spans="1:5">
      <c r="A3356" t="s">
        <v>31</v>
      </c>
      <c r="B3356" s="11" t="s">
        <v>66</v>
      </c>
      <c r="C3356">
        <v>3001</v>
      </c>
      <c r="D3356" s="9">
        <v>4390.7299999999996</v>
      </c>
      <c r="E3356" t="s">
        <v>57</v>
      </c>
    </row>
    <row r="3357" spans="1:5">
      <c r="A3357" t="s">
        <v>31</v>
      </c>
      <c r="B3357" s="11" t="s">
        <v>67</v>
      </c>
      <c r="C3357">
        <v>3001</v>
      </c>
      <c r="D3357" s="9">
        <v>2554.58</v>
      </c>
      <c r="E3357" t="s">
        <v>57</v>
      </c>
    </row>
    <row r="3358" spans="1:5">
      <c r="A3358" t="s">
        <v>31</v>
      </c>
      <c r="B3358" s="11" t="s">
        <v>76</v>
      </c>
      <c r="C3358">
        <v>3001</v>
      </c>
      <c r="D3358" s="9">
        <v>2082.2199999999998</v>
      </c>
      <c r="E3358" t="s">
        <v>57</v>
      </c>
    </row>
    <row r="3359" spans="1:5">
      <c r="A3359" t="s">
        <v>31</v>
      </c>
      <c r="B3359" s="11" t="s">
        <v>68</v>
      </c>
      <c r="C3359">
        <v>3001</v>
      </c>
      <c r="D3359" s="9">
        <v>3517.42</v>
      </c>
      <c r="E3359" t="s">
        <v>58</v>
      </c>
    </row>
    <row r="3360" spans="1:5">
      <c r="A3360" t="s">
        <v>31</v>
      </c>
      <c r="B3360" s="11" t="s">
        <v>69</v>
      </c>
      <c r="C3360">
        <v>3001</v>
      </c>
      <c r="D3360" s="9">
        <v>2657.31</v>
      </c>
      <c r="E3360" t="s">
        <v>58</v>
      </c>
    </row>
    <row r="3361" spans="1:5">
      <c r="A3361" t="s">
        <v>31</v>
      </c>
      <c r="B3361" s="11" t="s">
        <v>77</v>
      </c>
      <c r="C3361">
        <v>3001</v>
      </c>
      <c r="D3361" s="9">
        <v>3774.56</v>
      </c>
      <c r="E3361" t="s">
        <v>58</v>
      </c>
    </row>
    <row r="3362" spans="1:5">
      <c r="A3362" t="s">
        <v>31</v>
      </c>
      <c r="B3362" s="11" t="s">
        <v>70</v>
      </c>
      <c r="C3362">
        <v>3001</v>
      </c>
      <c r="D3362" s="9">
        <v>3904.26</v>
      </c>
      <c r="E3362" t="s">
        <v>59</v>
      </c>
    </row>
    <row r="3363" spans="1:5">
      <c r="A3363" t="s">
        <v>31</v>
      </c>
      <c r="B3363" s="11" t="s">
        <v>71</v>
      </c>
      <c r="C3363">
        <v>3001</v>
      </c>
      <c r="D3363" s="9">
        <v>5652.39</v>
      </c>
      <c r="E3363" t="s">
        <v>59</v>
      </c>
    </row>
    <row r="3364" spans="1:5">
      <c r="A3364" t="s">
        <v>31</v>
      </c>
      <c r="B3364" s="11" t="s">
        <v>72</v>
      </c>
      <c r="C3364">
        <v>3001</v>
      </c>
      <c r="D3364" s="9">
        <v>6865.88</v>
      </c>
      <c r="E3364" t="s">
        <v>59</v>
      </c>
    </row>
    <row r="3365" spans="1:5">
      <c r="A3365" t="s">
        <v>31</v>
      </c>
      <c r="B3365" s="11" t="s">
        <v>78</v>
      </c>
      <c r="C3365">
        <v>3001</v>
      </c>
      <c r="D3365" s="9">
        <v>3258.32</v>
      </c>
      <c r="E3365" t="s">
        <v>59</v>
      </c>
    </row>
    <row r="3366" spans="1:5">
      <c r="A3366" t="s">
        <v>31</v>
      </c>
      <c r="B3366" s="11" t="s">
        <v>73</v>
      </c>
      <c r="C3366">
        <v>3001</v>
      </c>
      <c r="D3366" s="9">
        <v>5522.95</v>
      </c>
      <c r="E3366" t="s">
        <v>60</v>
      </c>
    </row>
    <row r="3367" spans="1:5">
      <c r="A3367" t="s">
        <v>31</v>
      </c>
      <c r="B3367" s="11" t="s">
        <v>74</v>
      </c>
      <c r="C3367">
        <v>3001</v>
      </c>
      <c r="D3367" s="9">
        <v>5469.4</v>
      </c>
      <c r="E3367" t="s">
        <v>60</v>
      </c>
    </row>
    <row r="3368" spans="1:5">
      <c r="A3368" t="s">
        <v>32</v>
      </c>
      <c r="B3368" s="11" t="s">
        <v>61</v>
      </c>
      <c r="C3368">
        <v>3001</v>
      </c>
      <c r="D3368" s="9">
        <v>3108.85</v>
      </c>
      <c r="E3368" t="s">
        <v>56</v>
      </c>
    </row>
    <row r="3369" spans="1:5">
      <c r="A3369" t="s">
        <v>32</v>
      </c>
      <c r="B3369" s="11" t="s">
        <v>62</v>
      </c>
      <c r="C3369">
        <v>3001</v>
      </c>
      <c r="D3369" s="9">
        <v>2797.98</v>
      </c>
      <c r="E3369" t="s">
        <v>56</v>
      </c>
    </row>
    <row r="3370" spans="1:5">
      <c r="A3370" t="s">
        <v>32</v>
      </c>
      <c r="B3370" s="11" t="s">
        <v>63</v>
      </c>
      <c r="C3370">
        <v>3001</v>
      </c>
      <c r="D3370" s="9">
        <v>4519.7299999999996</v>
      </c>
      <c r="E3370" t="s">
        <v>56</v>
      </c>
    </row>
    <row r="3371" spans="1:5">
      <c r="A3371" t="s">
        <v>32</v>
      </c>
      <c r="B3371" s="11" t="s">
        <v>75</v>
      </c>
      <c r="C3371">
        <v>3001</v>
      </c>
      <c r="D3371" s="9">
        <v>4584.2700000000004</v>
      </c>
      <c r="E3371" t="s">
        <v>56</v>
      </c>
    </row>
    <row r="3372" spans="1:5">
      <c r="A3372" t="s">
        <v>32</v>
      </c>
      <c r="B3372" s="11" t="s">
        <v>64</v>
      </c>
      <c r="C3372">
        <v>3001</v>
      </c>
      <c r="D3372" s="9">
        <v>4586.79</v>
      </c>
      <c r="E3372" t="s">
        <v>57</v>
      </c>
    </row>
    <row r="3373" spans="1:5">
      <c r="A3373" t="s">
        <v>32</v>
      </c>
      <c r="B3373" s="11" t="s">
        <v>65</v>
      </c>
      <c r="C3373">
        <v>3001</v>
      </c>
      <c r="D3373" s="9">
        <v>2707.1</v>
      </c>
      <c r="E3373" t="s">
        <v>57</v>
      </c>
    </row>
    <row r="3374" spans="1:5">
      <c r="A3374" t="s">
        <v>32</v>
      </c>
      <c r="B3374" s="11" t="s">
        <v>66</v>
      </c>
      <c r="C3374">
        <v>3001</v>
      </c>
      <c r="D3374" s="9">
        <v>6238.56</v>
      </c>
      <c r="E3374" t="s">
        <v>57</v>
      </c>
    </row>
    <row r="3375" spans="1:5">
      <c r="A3375" t="s">
        <v>32</v>
      </c>
      <c r="B3375" s="11" t="s">
        <v>67</v>
      </c>
      <c r="C3375">
        <v>3001</v>
      </c>
      <c r="D3375" s="9">
        <v>2832.6</v>
      </c>
      <c r="E3375" t="s">
        <v>57</v>
      </c>
    </row>
    <row r="3376" spans="1:5">
      <c r="A3376" t="s">
        <v>32</v>
      </c>
      <c r="B3376" s="11" t="s">
        <v>76</v>
      </c>
      <c r="C3376">
        <v>3001</v>
      </c>
      <c r="D3376" s="9">
        <v>1873.24</v>
      </c>
      <c r="E3376" t="s">
        <v>57</v>
      </c>
    </row>
    <row r="3377" spans="1:5">
      <c r="A3377" t="s">
        <v>32</v>
      </c>
      <c r="B3377" s="11" t="s">
        <v>68</v>
      </c>
      <c r="C3377">
        <v>3001</v>
      </c>
      <c r="D3377" s="9">
        <v>3221.21</v>
      </c>
      <c r="E3377" t="s">
        <v>58</v>
      </c>
    </row>
    <row r="3378" spans="1:5">
      <c r="A3378" t="s">
        <v>32</v>
      </c>
      <c r="B3378" s="11" t="s">
        <v>69</v>
      </c>
      <c r="C3378">
        <v>3001</v>
      </c>
      <c r="D3378" s="9">
        <v>3456.52</v>
      </c>
      <c r="E3378" t="s">
        <v>58</v>
      </c>
    </row>
    <row r="3379" spans="1:5">
      <c r="A3379" t="s">
        <v>32</v>
      </c>
      <c r="B3379" s="11" t="s">
        <v>77</v>
      </c>
      <c r="C3379">
        <v>3001</v>
      </c>
      <c r="D3379" s="9">
        <v>3447.18</v>
      </c>
      <c r="E3379" t="s">
        <v>58</v>
      </c>
    </row>
    <row r="3380" spans="1:5">
      <c r="A3380" t="s">
        <v>32</v>
      </c>
      <c r="B3380" s="11" t="s">
        <v>70</v>
      </c>
      <c r="C3380">
        <v>3001</v>
      </c>
      <c r="D3380" s="9">
        <v>3773.96</v>
      </c>
      <c r="E3380" t="s">
        <v>59</v>
      </c>
    </row>
    <row r="3381" spans="1:5">
      <c r="A3381" t="s">
        <v>32</v>
      </c>
      <c r="B3381" s="11" t="s">
        <v>71</v>
      </c>
      <c r="C3381">
        <v>3001</v>
      </c>
      <c r="D3381" s="9">
        <v>4485.53</v>
      </c>
      <c r="E3381" t="s">
        <v>59</v>
      </c>
    </row>
    <row r="3382" spans="1:5">
      <c r="A3382" t="s">
        <v>32</v>
      </c>
      <c r="B3382" s="11" t="s">
        <v>72</v>
      </c>
      <c r="C3382">
        <v>3001</v>
      </c>
      <c r="D3382" s="9">
        <v>5275.78</v>
      </c>
      <c r="E3382" t="s">
        <v>59</v>
      </c>
    </row>
    <row r="3383" spans="1:5">
      <c r="A3383" t="s">
        <v>32</v>
      </c>
      <c r="B3383" s="11" t="s">
        <v>78</v>
      </c>
      <c r="C3383">
        <v>3001</v>
      </c>
      <c r="D3383" s="9">
        <v>4443.1499999999996</v>
      </c>
      <c r="E3383" t="s">
        <v>59</v>
      </c>
    </row>
    <row r="3384" spans="1:5">
      <c r="A3384" t="s">
        <v>32</v>
      </c>
      <c r="B3384" s="11" t="s">
        <v>73</v>
      </c>
      <c r="C3384">
        <v>3001</v>
      </c>
      <c r="D3384" s="9">
        <v>4038.27</v>
      </c>
      <c r="E3384" t="s">
        <v>60</v>
      </c>
    </row>
    <row r="3385" spans="1:5">
      <c r="A3385" t="s">
        <v>32</v>
      </c>
      <c r="B3385" s="11" t="s">
        <v>74</v>
      </c>
      <c r="C3385">
        <v>3001</v>
      </c>
      <c r="D3385" s="9">
        <v>2735.47</v>
      </c>
      <c r="E3385" t="s">
        <v>60</v>
      </c>
    </row>
    <row r="3386" spans="1:5">
      <c r="A3386" t="s">
        <v>33</v>
      </c>
      <c r="B3386" s="11" t="s">
        <v>61</v>
      </c>
      <c r="C3386">
        <v>3001</v>
      </c>
      <c r="D3386" s="9">
        <v>5342.39</v>
      </c>
      <c r="E3386" t="s">
        <v>56</v>
      </c>
    </row>
    <row r="3387" spans="1:5">
      <c r="A3387" t="s">
        <v>33</v>
      </c>
      <c r="B3387" s="11" t="s">
        <v>62</v>
      </c>
      <c r="C3387">
        <v>3001</v>
      </c>
      <c r="D3387" s="9">
        <v>2726.08</v>
      </c>
      <c r="E3387" t="s">
        <v>56</v>
      </c>
    </row>
    <row r="3388" spans="1:5">
      <c r="A3388" t="s">
        <v>33</v>
      </c>
      <c r="B3388" s="11" t="s">
        <v>63</v>
      </c>
      <c r="C3388">
        <v>3001</v>
      </c>
      <c r="D3388" s="9">
        <v>6005.7</v>
      </c>
      <c r="E3388" t="s">
        <v>56</v>
      </c>
    </row>
    <row r="3389" spans="1:5">
      <c r="A3389" t="s">
        <v>33</v>
      </c>
      <c r="B3389" s="11" t="s">
        <v>75</v>
      </c>
      <c r="C3389">
        <v>3001</v>
      </c>
      <c r="D3389" s="9">
        <v>5387</v>
      </c>
      <c r="E3389" t="s">
        <v>56</v>
      </c>
    </row>
    <row r="3390" spans="1:5">
      <c r="A3390" t="s">
        <v>33</v>
      </c>
      <c r="B3390" s="11" t="s">
        <v>64</v>
      </c>
      <c r="C3390">
        <v>3001</v>
      </c>
      <c r="D3390" s="9">
        <v>3107.79</v>
      </c>
      <c r="E3390" t="s">
        <v>57</v>
      </c>
    </row>
    <row r="3391" spans="1:5">
      <c r="A3391" t="s">
        <v>33</v>
      </c>
      <c r="B3391" s="11" t="s">
        <v>65</v>
      </c>
      <c r="C3391">
        <v>3001</v>
      </c>
      <c r="D3391" s="9">
        <v>4596.78</v>
      </c>
      <c r="E3391" t="s">
        <v>57</v>
      </c>
    </row>
    <row r="3392" spans="1:5">
      <c r="A3392" t="s">
        <v>33</v>
      </c>
      <c r="B3392" s="11" t="s">
        <v>66</v>
      </c>
      <c r="C3392">
        <v>3001</v>
      </c>
      <c r="D3392" s="9">
        <v>8867.2999999999993</v>
      </c>
      <c r="E3392" t="s">
        <v>57</v>
      </c>
    </row>
    <row r="3393" spans="1:5">
      <c r="A3393" t="s">
        <v>33</v>
      </c>
      <c r="B3393" s="11" t="s">
        <v>67</v>
      </c>
      <c r="C3393">
        <v>3001</v>
      </c>
      <c r="D3393" s="9">
        <v>4671.3</v>
      </c>
      <c r="E3393" t="s">
        <v>57</v>
      </c>
    </row>
    <row r="3394" spans="1:5">
      <c r="A3394" t="s">
        <v>33</v>
      </c>
      <c r="B3394" s="11" t="s">
        <v>76</v>
      </c>
      <c r="C3394">
        <v>3001</v>
      </c>
      <c r="D3394" s="9">
        <v>2037.27</v>
      </c>
      <c r="E3394" t="s">
        <v>57</v>
      </c>
    </row>
    <row r="3395" spans="1:5">
      <c r="A3395" t="s">
        <v>33</v>
      </c>
      <c r="B3395" s="11" t="s">
        <v>68</v>
      </c>
      <c r="C3395">
        <v>3001</v>
      </c>
      <c r="D3395" s="9">
        <v>5461.04</v>
      </c>
      <c r="E3395" t="s">
        <v>58</v>
      </c>
    </row>
    <row r="3396" spans="1:5">
      <c r="A3396" t="s">
        <v>33</v>
      </c>
      <c r="B3396" s="11" t="s">
        <v>69</v>
      </c>
      <c r="C3396">
        <v>3001</v>
      </c>
      <c r="D3396" s="9">
        <v>2794.78</v>
      </c>
      <c r="E3396" t="s">
        <v>58</v>
      </c>
    </row>
    <row r="3397" spans="1:5">
      <c r="A3397" t="s">
        <v>33</v>
      </c>
      <c r="B3397" s="11" t="s">
        <v>77</v>
      </c>
      <c r="C3397">
        <v>3001</v>
      </c>
      <c r="D3397" s="9">
        <v>4640.0600000000004</v>
      </c>
      <c r="E3397" t="s">
        <v>58</v>
      </c>
    </row>
    <row r="3398" spans="1:5">
      <c r="A3398" t="s">
        <v>33</v>
      </c>
      <c r="B3398" s="11" t="s">
        <v>70</v>
      </c>
      <c r="C3398">
        <v>3001</v>
      </c>
      <c r="D3398" s="9">
        <v>4090.99</v>
      </c>
      <c r="E3398" t="s">
        <v>59</v>
      </c>
    </row>
    <row r="3399" spans="1:5">
      <c r="A3399" t="s">
        <v>33</v>
      </c>
      <c r="B3399" s="11" t="s">
        <v>71</v>
      </c>
      <c r="C3399">
        <v>3001</v>
      </c>
      <c r="D3399" s="9">
        <v>4116.68</v>
      </c>
      <c r="E3399" t="s">
        <v>59</v>
      </c>
    </row>
    <row r="3400" spans="1:5">
      <c r="A3400" t="s">
        <v>33</v>
      </c>
      <c r="B3400" s="11" t="s">
        <v>72</v>
      </c>
      <c r="C3400">
        <v>3001</v>
      </c>
      <c r="D3400" s="9">
        <v>6093.57</v>
      </c>
      <c r="E3400" t="s">
        <v>59</v>
      </c>
    </row>
    <row r="3401" spans="1:5">
      <c r="A3401" t="s">
        <v>33</v>
      </c>
      <c r="B3401" s="11" t="s">
        <v>78</v>
      </c>
      <c r="C3401">
        <v>3001</v>
      </c>
      <c r="D3401" s="9">
        <v>4468.12</v>
      </c>
      <c r="E3401" t="s">
        <v>59</v>
      </c>
    </row>
    <row r="3402" spans="1:5">
      <c r="A3402" t="s">
        <v>33</v>
      </c>
      <c r="B3402" s="11" t="s">
        <v>73</v>
      </c>
      <c r="C3402">
        <v>3001</v>
      </c>
      <c r="D3402" s="9">
        <v>6515.8</v>
      </c>
      <c r="E3402" t="s">
        <v>60</v>
      </c>
    </row>
    <row r="3403" spans="1:5">
      <c r="A3403" t="s">
        <v>33</v>
      </c>
      <c r="B3403" s="11" t="s">
        <v>74</v>
      </c>
      <c r="C3403">
        <v>3001</v>
      </c>
      <c r="D3403" s="9">
        <v>4304.8100000000004</v>
      </c>
      <c r="E3403" t="s">
        <v>60</v>
      </c>
    </row>
    <row r="3404" spans="1:5">
      <c r="A3404" t="s">
        <v>34</v>
      </c>
      <c r="B3404" s="11" t="s">
        <v>61</v>
      </c>
      <c r="C3404">
        <v>3001</v>
      </c>
      <c r="D3404" s="9">
        <v>4449.63</v>
      </c>
      <c r="E3404" t="s">
        <v>56</v>
      </c>
    </row>
    <row r="3405" spans="1:5">
      <c r="A3405" t="s">
        <v>34</v>
      </c>
      <c r="B3405" s="11" t="s">
        <v>62</v>
      </c>
      <c r="C3405">
        <v>3001</v>
      </c>
      <c r="D3405" s="9">
        <v>4513.57</v>
      </c>
      <c r="E3405" t="s">
        <v>56</v>
      </c>
    </row>
    <row r="3406" spans="1:5">
      <c r="A3406" t="s">
        <v>34</v>
      </c>
      <c r="B3406" s="11" t="s">
        <v>63</v>
      </c>
      <c r="C3406">
        <v>3001</v>
      </c>
      <c r="D3406" s="9">
        <v>6287.24</v>
      </c>
      <c r="E3406" t="s">
        <v>56</v>
      </c>
    </row>
    <row r="3407" spans="1:5">
      <c r="A3407" t="s">
        <v>34</v>
      </c>
      <c r="B3407" s="11" t="s">
        <v>64</v>
      </c>
      <c r="C3407">
        <v>3001</v>
      </c>
      <c r="D3407" s="9">
        <v>4899.0200000000004</v>
      </c>
      <c r="E3407" t="s">
        <v>57</v>
      </c>
    </row>
    <row r="3408" spans="1:5">
      <c r="A3408" t="s">
        <v>34</v>
      </c>
      <c r="B3408" s="11" t="s">
        <v>65</v>
      </c>
      <c r="C3408">
        <v>3001</v>
      </c>
      <c r="D3408" s="9">
        <v>3903.36</v>
      </c>
      <c r="E3408" t="s">
        <v>57</v>
      </c>
    </row>
    <row r="3409" spans="1:5">
      <c r="A3409" t="s">
        <v>34</v>
      </c>
      <c r="B3409" s="11" t="s">
        <v>66</v>
      </c>
      <c r="C3409">
        <v>3001</v>
      </c>
      <c r="D3409" s="9">
        <v>9930.2000000000007</v>
      </c>
      <c r="E3409" t="s">
        <v>57</v>
      </c>
    </row>
    <row r="3410" spans="1:5">
      <c r="A3410" t="s">
        <v>34</v>
      </c>
      <c r="B3410" s="11" t="s">
        <v>67</v>
      </c>
      <c r="C3410">
        <v>3001</v>
      </c>
      <c r="D3410" s="9">
        <v>2507.8200000000002</v>
      </c>
      <c r="E3410" t="s">
        <v>57</v>
      </c>
    </row>
    <row r="3411" spans="1:5">
      <c r="A3411" t="s">
        <v>34</v>
      </c>
      <c r="B3411" s="11" t="s">
        <v>76</v>
      </c>
      <c r="C3411">
        <v>3001</v>
      </c>
      <c r="D3411" s="9">
        <v>2594.73</v>
      </c>
      <c r="E3411" t="s">
        <v>57</v>
      </c>
    </row>
    <row r="3412" spans="1:5">
      <c r="A3412" t="s">
        <v>34</v>
      </c>
      <c r="B3412" s="11" t="s">
        <v>68</v>
      </c>
      <c r="C3412">
        <v>3001</v>
      </c>
      <c r="D3412" s="9">
        <v>4442.26</v>
      </c>
      <c r="E3412" t="s">
        <v>58</v>
      </c>
    </row>
    <row r="3413" spans="1:5">
      <c r="A3413" t="s">
        <v>34</v>
      </c>
      <c r="B3413" s="11" t="s">
        <v>69</v>
      </c>
      <c r="C3413">
        <v>3001</v>
      </c>
      <c r="D3413" s="9">
        <v>3008.32</v>
      </c>
      <c r="E3413" t="s">
        <v>58</v>
      </c>
    </row>
    <row r="3414" spans="1:5">
      <c r="A3414" t="s">
        <v>34</v>
      </c>
      <c r="B3414" s="11" t="s">
        <v>77</v>
      </c>
      <c r="C3414">
        <v>3001</v>
      </c>
      <c r="D3414" s="9">
        <v>4207.26</v>
      </c>
      <c r="E3414" t="s">
        <v>58</v>
      </c>
    </row>
    <row r="3415" spans="1:5">
      <c r="A3415" t="s">
        <v>34</v>
      </c>
      <c r="B3415" s="11" t="s">
        <v>70</v>
      </c>
      <c r="C3415">
        <v>3001</v>
      </c>
      <c r="D3415" s="9">
        <v>4886.1000000000004</v>
      </c>
      <c r="E3415" t="s">
        <v>59</v>
      </c>
    </row>
    <row r="3416" spans="1:5">
      <c r="A3416" t="s">
        <v>34</v>
      </c>
      <c r="B3416" s="11" t="s">
        <v>71</v>
      </c>
      <c r="C3416">
        <v>3001</v>
      </c>
      <c r="D3416" s="9">
        <v>4430.7299999999996</v>
      </c>
      <c r="E3416" t="s">
        <v>59</v>
      </c>
    </row>
    <row r="3417" spans="1:5">
      <c r="A3417" t="s">
        <v>34</v>
      </c>
      <c r="B3417" s="11" t="s">
        <v>72</v>
      </c>
      <c r="C3417">
        <v>3001</v>
      </c>
      <c r="D3417" s="9">
        <v>5212.2</v>
      </c>
      <c r="E3417" t="s">
        <v>59</v>
      </c>
    </row>
    <row r="3418" spans="1:5">
      <c r="A3418" t="s">
        <v>34</v>
      </c>
      <c r="B3418" s="11" t="s">
        <v>78</v>
      </c>
      <c r="C3418">
        <v>3001</v>
      </c>
      <c r="D3418" s="9">
        <v>5316.41</v>
      </c>
      <c r="E3418" t="s">
        <v>59</v>
      </c>
    </row>
    <row r="3419" spans="1:5">
      <c r="A3419" t="s">
        <v>34</v>
      </c>
      <c r="B3419" s="11" t="s">
        <v>73</v>
      </c>
      <c r="C3419">
        <v>3001</v>
      </c>
      <c r="D3419" s="9">
        <v>4767.41</v>
      </c>
      <c r="E3419" t="s">
        <v>60</v>
      </c>
    </row>
    <row r="3420" spans="1:5">
      <c r="A3420" t="s">
        <v>34</v>
      </c>
      <c r="B3420" s="11" t="s">
        <v>74</v>
      </c>
      <c r="C3420">
        <v>3001</v>
      </c>
      <c r="D3420" s="9">
        <v>3310.91</v>
      </c>
      <c r="E3420" t="s">
        <v>60</v>
      </c>
    </row>
    <row r="3421" spans="1:5">
      <c r="A3421" t="s">
        <v>35</v>
      </c>
      <c r="B3421" s="11" t="s">
        <v>61</v>
      </c>
      <c r="C3421">
        <v>3001</v>
      </c>
      <c r="D3421" s="9">
        <v>5058.1000000000004</v>
      </c>
      <c r="E3421" t="s">
        <v>56</v>
      </c>
    </row>
    <row r="3422" spans="1:5">
      <c r="A3422" t="s">
        <v>35</v>
      </c>
      <c r="B3422" s="11" t="s">
        <v>62</v>
      </c>
      <c r="C3422">
        <v>3001</v>
      </c>
      <c r="D3422" s="9">
        <v>3158.23</v>
      </c>
      <c r="E3422" t="s">
        <v>56</v>
      </c>
    </row>
    <row r="3423" spans="1:5">
      <c r="A3423" t="s">
        <v>35</v>
      </c>
      <c r="B3423" s="11" t="s">
        <v>63</v>
      </c>
      <c r="C3423">
        <v>3001</v>
      </c>
      <c r="D3423" s="9">
        <v>5548.39</v>
      </c>
      <c r="E3423" t="s">
        <v>56</v>
      </c>
    </row>
    <row r="3424" spans="1:5">
      <c r="A3424" t="s">
        <v>35</v>
      </c>
      <c r="B3424" s="11" t="s">
        <v>75</v>
      </c>
      <c r="C3424">
        <v>3001</v>
      </c>
      <c r="D3424" s="9">
        <v>4635.26</v>
      </c>
      <c r="E3424" t="s">
        <v>56</v>
      </c>
    </row>
    <row r="3425" spans="1:5">
      <c r="A3425" t="s">
        <v>35</v>
      </c>
      <c r="B3425" s="11" t="s">
        <v>64</v>
      </c>
      <c r="C3425">
        <v>3001</v>
      </c>
      <c r="D3425" s="9">
        <v>6504.11</v>
      </c>
      <c r="E3425" t="s">
        <v>57</v>
      </c>
    </row>
    <row r="3426" spans="1:5">
      <c r="A3426" t="s">
        <v>35</v>
      </c>
      <c r="B3426" s="11" t="s">
        <v>65</v>
      </c>
      <c r="C3426">
        <v>3001</v>
      </c>
      <c r="D3426" s="9">
        <v>3645.07</v>
      </c>
      <c r="E3426" t="s">
        <v>57</v>
      </c>
    </row>
    <row r="3427" spans="1:5">
      <c r="A3427" t="s">
        <v>35</v>
      </c>
      <c r="B3427" s="11" t="s">
        <v>66</v>
      </c>
      <c r="C3427">
        <v>3001</v>
      </c>
      <c r="D3427" s="9">
        <v>8175.35</v>
      </c>
      <c r="E3427" t="s">
        <v>57</v>
      </c>
    </row>
    <row r="3428" spans="1:5">
      <c r="A3428" t="s">
        <v>35</v>
      </c>
      <c r="B3428" s="11" t="s">
        <v>67</v>
      </c>
      <c r="C3428">
        <v>3001</v>
      </c>
      <c r="D3428" s="9">
        <v>3303.04</v>
      </c>
      <c r="E3428" t="s">
        <v>57</v>
      </c>
    </row>
    <row r="3429" spans="1:5">
      <c r="A3429" t="s">
        <v>35</v>
      </c>
      <c r="B3429" s="11" t="s">
        <v>76</v>
      </c>
      <c r="C3429">
        <v>3001</v>
      </c>
      <c r="D3429" s="9">
        <v>1977.17</v>
      </c>
      <c r="E3429" t="s">
        <v>57</v>
      </c>
    </row>
    <row r="3430" spans="1:5">
      <c r="A3430" t="s">
        <v>35</v>
      </c>
      <c r="B3430" s="11" t="s">
        <v>68</v>
      </c>
      <c r="C3430">
        <v>3001</v>
      </c>
      <c r="D3430" s="9">
        <v>3449.3</v>
      </c>
      <c r="E3430" t="s">
        <v>58</v>
      </c>
    </row>
    <row r="3431" spans="1:5">
      <c r="A3431" t="s">
        <v>35</v>
      </c>
      <c r="B3431" s="11" t="s">
        <v>69</v>
      </c>
      <c r="C3431">
        <v>3001</v>
      </c>
      <c r="D3431" s="9">
        <v>3066.89</v>
      </c>
      <c r="E3431" t="s">
        <v>58</v>
      </c>
    </row>
    <row r="3432" spans="1:5">
      <c r="A3432" t="s">
        <v>35</v>
      </c>
      <c r="B3432" s="11" t="s">
        <v>77</v>
      </c>
      <c r="C3432">
        <v>3001</v>
      </c>
      <c r="D3432" s="9">
        <v>3782.74</v>
      </c>
      <c r="E3432" t="s">
        <v>58</v>
      </c>
    </row>
    <row r="3433" spans="1:5">
      <c r="A3433" t="s">
        <v>35</v>
      </c>
      <c r="B3433" s="11" t="s">
        <v>70</v>
      </c>
      <c r="C3433">
        <v>3001</v>
      </c>
      <c r="D3433" s="9">
        <v>3150.84</v>
      </c>
      <c r="E3433" t="s">
        <v>59</v>
      </c>
    </row>
    <row r="3434" spans="1:5">
      <c r="A3434" t="s">
        <v>35</v>
      </c>
      <c r="B3434" s="11" t="s">
        <v>71</v>
      </c>
      <c r="C3434">
        <v>3001</v>
      </c>
      <c r="D3434" s="9">
        <v>5103.05</v>
      </c>
      <c r="E3434" t="s">
        <v>59</v>
      </c>
    </row>
    <row r="3435" spans="1:5">
      <c r="A3435" t="s">
        <v>35</v>
      </c>
      <c r="B3435" s="11" t="s">
        <v>72</v>
      </c>
      <c r="C3435">
        <v>3001</v>
      </c>
      <c r="D3435" s="9">
        <v>5980.69</v>
      </c>
      <c r="E3435" t="s">
        <v>59</v>
      </c>
    </row>
    <row r="3436" spans="1:5">
      <c r="A3436" t="s">
        <v>35</v>
      </c>
      <c r="B3436" s="11" t="s">
        <v>78</v>
      </c>
      <c r="C3436">
        <v>3001</v>
      </c>
      <c r="D3436" s="9">
        <v>4223.25</v>
      </c>
      <c r="E3436" t="s">
        <v>59</v>
      </c>
    </row>
    <row r="3437" spans="1:5">
      <c r="A3437" t="s">
        <v>35</v>
      </c>
      <c r="B3437" s="11" t="s">
        <v>73</v>
      </c>
      <c r="C3437">
        <v>3001</v>
      </c>
      <c r="D3437" s="9">
        <v>4247.3999999999996</v>
      </c>
      <c r="E3437" t="s">
        <v>60</v>
      </c>
    </row>
    <row r="3438" spans="1:5">
      <c r="A3438" t="s">
        <v>35</v>
      </c>
      <c r="B3438" s="11" t="s">
        <v>74</v>
      </c>
      <c r="C3438">
        <v>3001</v>
      </c>
      <c r="D3438" s="9">
        <v>4571.6099999999997</v>
      </c>
      <c r="E3438" t="s">
        <v>60</v>
      </c>
    </row>
    <row r="3439" spans="1:5">
      <c r="A3439" t="s">
        <v>36</v>
      </c>
      <c r="B3439" s="11" t="s">
        <v>61</v>
      </c>
      <c r="C3439">
        <v>3001</v>
      </c>
      <c r="D3439" s="9">
        <v>3102.04</v>
      </c>
      <c r="E3439" t="s">
        <v>56</v>
      </c>
    </row>
    <row r="3440" spans="1:5">
      <c r="A3440" t="s">
        <v>36</v>
      </c>
      <c r="B3440" s="11" t="s">
        <v>62</v>
      </c>
      <c r="C3440">
        <v>3001</v>
      </c>
      <c r="D3440" s="9">
        <v>2240.65</v>
      </c>
      <c r="E3440" t="s">
        <v>56</v>
      </c>
    </row>
    <row r="3441" spans="1:5">
      <c r="A3441" t="s">
        <v>36</v>
      </c>
      <c r="B3441" s="11" t="s">
        <v>63</v>
      </c>
      <c r="C3441">
        <v>3001</v>
      </c>
      <c r="D3441" s="9">
        <v>3672.9</v>
      </c>
      <c r="E3441" t="s">
        <v>56</v>
      </c>
    </row>
    <row r="3442" spans="1:5">
      <c r="A3442" t="s">
        <v>36</v>
      </c>
      <c r="B3442" s="11" t="s">
        <v>75</v>
      </c>
      <c r="C3442">
        <v>3001</v>
      </c>
      <c r="D3442" s="9">
        <v>5513.63</v>
      </c>
      <c r="E3442" t="s">
        <v>56</v>
      </c>
    </row>
    <row r="3443" spans="1:5">
      <c r="A3443" t="s">
        <v>36</v>
      </c>
      <c r="B3443" s="11" t="s">
        <v>64</v>
      </c>
      <c r="C3443">
        <v>3001</v>
      </c>
      <c r="D3443" s="9">
        <v>2986.83</v>
      </c>
      <c r="E3443" t="s">
        <v>57</v>
      </c>
    </row>
    <row r="3444" spans="1:5">
      <c r="A3444" t="s">
        <v>36</v>
      </c>
      <c r="B3444" s="11" t="s">
        <v>65</v>
      </c>
      <c r="C3444">
        <v>3001</v>
      </c>
      <c r="D3444" s="9">
        <v>2511.3200000000002</v>
      </c>
      <c r="E3444" t="s">
        <v>57</v>
      </c>
    </row>
    <row r="3445" spans="1:5">
      <c r="A3445" t="s">
        <v>36</v>
      </c>
      <c r="B3445" s="11" t="s">
        <v>66</v>
      </c>
      <c r="C3445">
        <v>3001</v>
      </c>
      <c r="D3445" s="9">
        <v>6184.78</v>
      </c>
      <c r="E3445" t="s">
        <v>57</v>
      </c>
    </row>
    <row r="3446" spans="1:5">
      <c r="A3446" t="s">
        <v>36</v>
      </c>
      <c r="B3446" s="11" t="s">
        <v>67</v>
      </c>
      <c r="C3446">
        <v>3001</v>
      </c>
      <c r="D3446" s="9">
        <v>2649.66</v>
      </c>
      <c r="E3446" t="s">
        <v>57</v>
      </c>
    </row>
    <row r="3447" spans="1:5">
      <c r="A3447" t="s">
        <v>36</v>
      </c>
      <c r="B3447" s="11" t="s">
        <v>76</v>
      </c>
      <c r="C3447">
        <v>3001</v>
      </c>
      <c r="D3447" s="9">
        <v>2103.21</v>
      </c>
      <c r="E3447" t="s">
        <v>57</v>
      </c>
    </row>
    <row r="3448" spans="1:5">
      <c r="A3448" t="s">
        <v>36</v>
      </c>
      <c r="B3448" s="11" t="s">
        <v>68</v>
      </c>
      <c r="C3448">
        <v>3001</v>
      </c>
      <c r="D3448" s="9">
        <v>3720.31</v>
      </c>
      <c r="E3448" t="s">
        <v>58</v>
      </c>
    </row>
    <row r="3449" spans="1:5">
      <c r="A3449" t="s">
        <v>36</v>
      </c>
      <c r="B3449" s="11" t="s">
        <v>69</v>
      </c>
      <c r="C3449">
        <v>3001</v>
      </c>
      <c r="D3449" s="9">
        <v>2267.23</v>
      </c>
      <c r="E3449" t="s">
        <v>58</v>
      </c>
    </row>
    <row r="3450" spans="1:5">
      <c r="A3450" t="s">
        <v>36</v>
      </c>
      <c r="B3450" s="11" t="s">
        <v>77</v>
      </c>
      <c r="C3450">
        <v>3001</v>
      </c>
      <c r="D3450" s="9">
        <v>4401.8</v>
      </c>
      <c r="E3450" t="s">
        <v>58</v>
      </c>
    </row>
    <row r="3451" spans="1:5">
      <c r="A3451" t="s">
        <v>36</v>
      </c>
      <c r="B3451" s="11" t="s">
        <v>70</v>
      </c>
      <c r="C3451">
        <v>3001</v>
      </c>
      <c r="D3451" s="9">
        <v>3403.63</v>
      </c>
      <c r="E3451" t="s">
        <v>59</v>
      </c>
    </row>
    <row r="3452" spans="1:5">
      <c r="A3452" t="s">
        <v>36</v>
      </c>
      <c r="B3452" s="11" t="s">
        <v>71</v>
      </c>
      <c r="C3452">
        <v>3001</v>
      </c>
      <c r="D3452" s="9">
        <v>6189.63</v>
      </c>
      <c r="E3452" t="s">
        <v>59</v>
      </c>
    </row>
    <row r="3453" spans="1:5">
      <c r="A3453" t="s">
        <v>36</v>
      </c>
      <c r="B3453" s="11" t="s">
        <v>72</v>
      </c>
      <c r="C3453">
        <v>3001</v>
      </c>
      <c r="D3453" s="9">
        <v>5344.91</v>
      </c>
      <c r="E3453" t="s">
        <v>59</v>
      </c>
    </row>
    <row r="3454" spans="1:5">
      <c r="A3454" t="s">
        <v>36</v>
      </c>
      <c r="B3454" s="11" t="s">
        <v>78</v>
      </c>
      <c r="C3454">
        <v>3001</v>
      </c>
      <c r="D3454" s="9">
        <v>3350.96</v>
      </c>
      <c r="E3454" t="s">
        <v>59</v>
      </c>
    </row>
    <row r="3455" spans="1:5">
      <c r="A3455" t="s">
        <v>36</v>
      </c>
      <c r="B3455" s="11" t="s">
        <v>73</v>
      </c>
      <c r="C3455">
        <v>3001</v>
      </c>
      <c r="D3455" s="9">
        <v>4949.25</v>
      </c>
      <c r="E3455" t="s">
        <v>60</v>
      </c>
    </row>
    <row r="3456" spans="1:5">
      <c r="A3456" t="s">
        <v>36</v>
      </c>
      <c r="B3456" s="11" t="s">
        <v>74</v>
      </c>
      <c r="C3456">
        <v>3001</v>
      </c>
      <c r="D3456" s="9">
        <v>5203.9399999999996</v>
      </c>
      <c r="E3456" t="s">
        <v>60</v>
      </c>
    </row>
    <row r="3457" spans="1:5">
      <c r="A3457" t="s">
        <v>37</v>
      </c>
      <c r="B3457" s="11" t="s">
        <v>61</v>
      </c>
      <c r="C3457">
        <v>3001</v>
      </c>
      <c r="D3457" s="9">
        <v>4579.7700000000004</v>
      </c>
      <c r="E3457" t="s">
        <v>56</v>
      </c>
    </row>
    <row r="3458" spans="1:5">
      <c r="A3458" t="s">
        <v>37</v>
      </c>
      <c r="B3458" s="11" t="s">
        <v>62</v>
      </c>
      <c r="C3458">
        <v>3001</v>
      </c>
      <c r="D3458" s="9">
        <v>1961.4</v>
      </c>
      <c r="E3458" t="s">
        <v>56</v>
      </c>
    </row>
    <row r="3459" spans="1:5">
      <c r="A3459" t="s">
        <v>37</v>
      </c>
      <c r="B3459" s="11" t="s">
        <v>63</v>
      </c>
      <c r="C3459">
        <v>3001</v>
      </c>
      <c r="D3459" s="9">
        <v>5066.54</v>
      </c>
      <c r="E3459" t="s">
        <v>56</v>
      </c>
    </row>
    <row r="3460" spans="1:5">
      <c r="A3460" t="s">
        <v>37</v>
      </c>
      <c r="B3460" s="11" t="s">
        <v>75</v>
      </c>
      <c r="C3460">
        <v>3001</v>
      </c>
      <c r="D3460" s="9">
        <v>5040.09</v>
      </c>
      <c r="E3460" t="s">
        <v>56</v>
      </c>
    </row>
    <row r="3461" spans="1:5">
      <c r="A3461" t="s">
        <v>37</v>
      </c>
      <c r="B3461" s="11" t="s">
        <v>64</v>
      </c>
      <c r="C3461">
        <v>3001</v>
      </c>
      <c r="D3461" s="9">
        <v>3661.86</v>
      </c>
      <c r="E3461" t="s">
        <v>57</v>
      </c>
    </row>
    <row r="3462" spans="1:5">
      <c r="A3462" t="s">
        <v>37</v>
      </c>
      <c r="B3462" s="11" t="s">
        <v>65</v>
      </c>
      <c r="C3462">
        <v>3001</v>
      </c>
      <c r="D3462" s="9">
        <v>2889.36</v>
      </c>
      <c r="E3462" t="s">
        <v>57</v>
      </c>
    </row>
    <row r="3463" spans="1:5">
      <c r="A3463" t="s">
        <v>37</v>
      </c>
      <c r="B3463" s="11" t="s">
        <v>66</v>
      </c>
      <c r="C3463">
        <v>3001</v>
      </c>
      <c r="D3463" s="9">
        <v>7245.37</v>
      </c>
      <c r="E3463" t="s">
        <v>57</v>
      </c>
    </row>
    <row r="3464" spans="1:5">
      <c r="A3464" t="s">
        <v>37</v>
      </c>
      <c r="B3464" s="11" t="s">
        <v>67</v>
      </c>
      <c r="C3464">
        <v>3001</v>
      </c>
      <c r="D3464" s="9">
        <v>2746.96</v>
      </c>
      <c r="E3464" t="s">
        <v>57</v>
      </c>
    </row>
    <row r="3465" spans="1:5">
      <c r="A3465" t="s">
        <v>37</v>
      </c>
      <c r="B3465" s="11" t="s">
        <v>76</v>
      </c>
      <c r="C3465">
        <v>3001</v>
      </c>
      <c r="D3465" s="9">
        <v>1677.47</v>
      </c>
      <c r="E3465" t="s">
        <v>57</v>
      </c>
    </row>
    <row r="3466" spans="1:5">
      <c r="A3466" t="s">
        <v>37</v>
      </c>
      <c r="B3466" s="11" t="s">
        <v>68</v>
      </c>
      <c r="C3466">
        <v>3001</v>
      </c>
      <c r="D3466" s="9">
        <v>3779.68</v>
      </c>
      <c r="E3466" t="s">
        <v>58</v>
      </c>
    </row>
    <row r="3467" spans="1:5">
      <c r="A3467" t="s">
        <v>37</v>
      </c>
      <c r="B3467" s="11" t="s">
        <v>69</v>
      </c>
      <c r="C3467">
        <v>3001</v>
      </c>
      <c r="D3467" s="9">
        <v>3991.08</v>
      </c>
      <c r="E3467" t="s">
        <v>58</v>
      </c>
    </row>
    <row r="3468" spans="1:5">
      <c r="A3468" t="s">
        <v>37</v>
      </c>
      <c r="B3468" s="11" t="s">
        <v>77</v>
      </c>
      <c r="C3468">
        <v>3001</v>
      </c>
      <c r="D3468" s="9">
        <v>3256.48</v>
      </c>
      <c r="E3468" t="s">
        <v>58</v>
      </c>
    </row>
    <row r="3469" spans="1:5">
      <c r="A3469" t="s">
        <v>37</v>
      </c>
      <c r="B3469" s="11" t="s">
        <v>70</v>
      </c>
      <c r="C3469">
        <v>3001</v>
      </c>
      <c r="D3469" s="9">
        <v>4210.4799999999996</v>
      </c>
      <c r="E3469" t="s">
        <v>59</v>
      </c>
    </row>
    <row r="3470" spans="1:5">
      <c r="A3470" t="s">
        <v>37</v>
      </c>
      <c r="B3470" s="11" t="s">
        <v>71</v>
      </c>
      <c r="C3470">
        <v>3001</v>
      </c>
      <c r="D3470" s="9">
        <v>5940.14</v>
      </c>
      <c r="E3470" t="s">
        <v>59</v>
      </c>
    </row>
    <row r="3471" spans="1:5">
      <c r="A3471" t="s">
        <v>37</v>
      </c>
      <c r="B3471" s="11" t="s">
        <v>72</v>
      </c>
      <c r="C3471">
        <v>3001</v>
      </c>
      <c r="D3471" s="9">
        <v>5017.82</v>
      </c>
      <c r="E3471" t="s">
        <v>59</v>
      </c>
    </row>
    <row r="3472" spans="1:5">
      <c r="A3472" t="s">
        <v>37</v>
      </c>
      <c r="B3472" s="11" t="s">
        <v>78</v>
      </c>
      <c r="C3472">
        <v>3001</v>
      </c>
      <c r="D3472" s="9">
        <v>3377.52</v>
      </c>
      <c r="E3472" t="s">
        <v>59</v>
      </c>
    </row>
    <row r="3473" spans="1:5">
      <c r="A3473" t="s">
        <v>37</v>
      </c>
      <c r="B3473" s="11" t="s">
        <v>73</v>
      </c>
      <c r="C3473">
        <v>3001</v>
      </c>
      <c r="D3473" s="9">
        <v>5201.1899999999996</v>
      </c>
      <c r="E3473" t="s">
        <v>60</v>
      </c>
    </row>
    <row r="3474" spans="1:5">
      <c r="A3474" t="s">
        <v>37</v>
      </c>
      <c r="B3474" s="11" t="s">
        <v>74</v>
      </c>
      <c r="C3474">
        <v>3001</v>
      </c>
      <c r="D3474" s="9">
        <v>3052.84</v>
      </c>
      <c r="E3474" t="s">
        <v>60</v>
      </c>
    </row>
    <row r="3475" spans="1:5">
      <c r="A3475" t="s">
        <v>38</v>
      </c>
      <c r="B3475" s="11" t="s">
        <v>61</v>
      </c>
      <c r="C3475">
        <v>3001</v>
      </c>
      <c r="D3475" s="9">
        <v>3730.62</v>
      </c>
      <c r="E3475" t="s">
        <v>56</v>
      </c>
    </row>
    <row r="3476" spans="1:5">
      <c r="A3476" t="s">
        <v>38</v>
      </c>
      <c r="B3476" s="11" t="s">
        <v>62</v>
      </c>
      <c r="C3476">
        <v>3001</v>
      </c>
      <c r="D3476" s="9">
        <v>2044.68</v>
      </c>
      <c r="E3476" t="s">
        <v>56</v>
      </c>
    </row>
    <row r="3477" spans="1:5">
      <c r="A3477" t="s">
        <v>38</v>
      </c>
      <c r="B3477" s="11" t="s">
        <v>63</v>
      </c>
      <c r="C3477">
        <v>3001</v>
      </c>
      <c r="D3477" s="9">
        <v>4239.53</v>
      </c>
      <c r="E3477" t="s">
        <v>56</v>
      </c>
    </row>
    <row r="3478" spans="1:5">
      <c r="A3478" t="s">
        <v>38</v>
      </c>
      <c r="B3478" s="11" t="s">
        <v>75</v>
      </c>
      <c r="C3478">
        <v>3001</v>
      </c>
      <c r="D3478" s="9">
        <v>5742.11</v>
      </c>
      <c r="E3478" t="s">
        <v>56</v>
      </c>
    </row>
    <row r="3479" spans="1:5">
      <c r="A3479" t="s">
        <v>38</v>
      </c>
      <c r="B3479" s="11" t="s">
        <v>64</v>
      </c>
      <c r="C3479">
        <v>3001</v>
      </c>
      <c r="D3479" s="9">
        <v>5260.52</v>
      </c>
      <c r="E3479" t="s">
        <v>57</v>
      </c>
    </row>
    <row r="3480" spans="1:5">
      <c r="A3480" t="s">
        <v>38</v>
      </c>
      <c r="B3480" s="11" t="s">
        <v>65</v>
      </c>
      <c r="C3480">
        <v>3001</v>
      </c>
      <c r="D3480" s="9">
        <v>3704.81</v>
      </c>
      <c r="E3480" t="s">
        <v>57</v>
      </c>
    </row>
    <row r="3481" spans="1:5">
      <c r="A3481" t="s">
        <v>38</v>
      </c>
      <c r="B3481" s="11" t="s">
        <v>66</v>
      </c>
      <c r="C3481">
        <v>3001</v>
      </c>
      <c r="D3481" s="9">
        <v>5002.0200000000004</v>
      </c>
      <c r="E3481" t="s">
        <v>57</v>
      </c>
    </row>
    <row r="3482" spans="1:5">
      <c r="A3482" t="s">
        <v>38</v>
      </c>
      <c r="B3482" s="11" t="s">
        <v>67</v>
      </c>
      <c r="C3482">
        <v>3001</v>
      </c>
      <c r="D3482" s="9">
        <v>3000.46</v>
      </c>
      <c r="E3482" t="s">
        <v>57</v>
      </c>
    </row>
    <row r="3483" spans="1:5">
      <c r="A3483" t="s">
        <v>38</v>
      </c>
      <c r="B3483" s="11" t="s">
        <v>76</v>
      </c>
      <c r="C3483">
        <v>3001</v>
      </c>
      <c r="D3483" s="9">
        <v>2157.6</v>
      </c>
      <c r="E3483" t="s">
        <v>57</v>
      </c>
    </row>
    <row r="3484" spans="1:5">
      <c r="A3484" t="s">
        <v>38</v>
      </c>
      <c r="B3484" s="11" t="s">
        <v>68</v>
      </c>
      <c r="C3484">
        <v>3001</v>
      </c>
      <c r="D3484" s="9">
        <v>2552.6999999999998</v>
      </c>
      <c r="E3484" t="s">
        <v>58</v>
      </c>
    </row>
    <row r="3485" spans="1:5">
      <c r="A3485" t="s">
        <v>38</v>
      </c>
      <c r="B3485" s="11" t="s">
        <v>69</v>
      </c>
      <c r="C3485">
        <v>3001</v>
      </c>
      <c r="D3485" s="9">
        <v>3238.01</v>
      </c>
      <c r="E3485" t="s">
        <v>58</v>
      </c>
    </row>
    <row r="3486" spans="1:5">
      <c r="A3486" t="s">
        <v>38</v>
      </c>
      <c r="B3486" s="11" t="s">
        <v>77</v>
      </c>
      <c r="C3486">
        <v>3001</v>
      </c>
      <c r="D3486" s="9">
        <v>3304.79</v>
      </c>
      <c r="E3486" t="s">
        <v>58</v>
      </c>
    </row>
    <row r="3487" spans="1:5">
      <c r="A3487" t="s">
        <v>38</v>
      </c>
      <c r="B3487" s="11" t="s">
        <v>70</v>
      </c>
      <c r="C3487">
        <v>3001</v>
      </c>
      <c r="D3487" s="9">
        <v>5037.4799999999996</v>
      </c>
      <c r="E3487" t="s">
        <v>59</v>
      </c>
    </row>
    <row r="3488" spans="1:5">
      <c r="A3488" t="s">
        <v>38</v>
      </c>
      <c r="B3488" s="11" t="s">
        <v>71</v>
      </c>
      <c r="C3488">
        <v>3001</v>
      </c>
      <c r="D3488" s="9">
        <v>4886.87</v>
      </c>
      <c r="E3488" t="s">
        <v>59</v>
      </c>
    </row>
    <row r="3489" spans="1:5">
      <c r="A3489" t="s">
        <v>38</v>
      </c>
      <c r="B3489" s="11" t="s">
        <v>72</v>
      </c>
      <c r="C3489">
        <v>3001</v>
      </c>
      <c r="D3489" s="9">
        <v>3914.41</v>
      </c>
      <c r="E3489" t="s">
        <v>59</v>
      </c>
    </row>
    <row r="3490" spans="1:5">
      <c r="A3490" t="s">
        <v>38</v>
      </c>
      <c r="B3490" s="11" t="s">
        <v>78</v>
      </c>
      <c r="C3490">
        <v>3001</v>
      </c>
      <c r="D3490" s="9">
        <v>3297.1</v>
      </c>
      <c r="E3490" t="s">
        <v>59</v>
      </c>
    </row>
    <row r="3491" spans="1:5">
      <c r="A3491" t="s">
        <v>38</v>
      </c>
      <c r="B3491" s="11" t="s">
        <v>73</v>
      </c>
      <c r="C3491">
        <v>3001</v>
      </c>
      <c r="D3491" s="9">
        <v>6106.79</v>
      </c>
      <c r="E3491" t="s">
        <v>60</v>
      </c>
    </row>
    <row r="3492" spans="1:5">
      <c r="A3492" t="s">
        <v>38</v>
      </c>
      <c r="B3492" s="11" t="s">
        <v>74</v>
      </c>
      <c r="C3492">
        <v>3001</v>
      </c>
      <c r="D3492" s="9">
        <v>4497.18</v>
      </c>
      <c r="E3492" t="s">
        <v>60</v>
      </c>
    </row>
    <row r="3493" spans="1:5">
      <c r="A3493" t="s">
        <v>39</v>
      </c>
      <c r="B3493" s="11" t="s">
        <v>61</v>
      </c>
      <c r="C3493">
        <v>3001</v>
      </c>
      <c r="D3493" s="9">
        <v>3514.32</v>
      </c>
      <c r="E3493" t="s">
        <v>56</v>
      </c>
    </row>
    <row r="3494" spans="1:5">
      <c r="A3494" t="s">
        <v>39</v>
      </c>
      <c r="B3494" s="11" t="s">
        <v>62</v>
      </c>
      <c r="C3494">
        <v>3001</v>
      </c>
      <c r="D3494" s="9">
        <v>2296.5500000000002</v>
      </c>
      <c r="E3494" t="s">
        <v>56</v>
      </c>
    </row>
    <row r="3495" spans="1:5">
      <c r="A3495" t="s">
        <v>39</v>
      </c>
      <c r="B3495" s="11" t="s">
        <v>63</v>
      </c>
      <c r="C3495">
        <v>3001</v>
      </c>
      <c r="D3495" s="9">
        <v>2934.45</v>
      </c>
      <c r="E3495" t="s">
        <v>56</v>
      </c>
    </row>
    <row r="3496" spans="1:5">
      <c r="A3496" t="s">
        <v>39</v>
      </c>
      <c r="B3496" s="11" t="s">
        <v>75</v>
      </c>
      <c r="C3496">
        <v>3001</v>
      </c>
      <c r="D3496" s="9">
        <v>4093.89</v>
      </c>
      <c r="E3496" t="s">
        <v>56</v>
      </c>
    </row>
    <row r="3497" spans="1:5">
      <c r="A3497" t="s">
        <v>39</v>
      </c>
      <c r="B3497" s="11" t="s">
        <v>64</v>
      </c>
      <c r="C3497">
        <v>3001</v>
      </c>
      <c r="D3497" s="9">
        <v>3756.05</v>
      </c>
      <c r="E3497" t="s">
        <v>57</v>
      </c>
    </row>
    <row r="3498" spans="1:5">
      <c r="A3498" t="s">
        <v>39</v>
      </c>
      <c r="B3498" s="11" t="s">
        <v>65</v>
      </c>
      <c r="C3498">
        <v>3001</v>
      </c>
      <c r="D3498" s="9">
        <v>4428.37</v>
      </c>
      <c r="E3498" t="s">
        <v>57</v>
      </c>
    </row>
    <row r="3499" spans="1:5">
      <c r="A3499" t="s">
        <v>39</v>
      </c>
      <c r="B3499" s="11" t="s">
        <v>66</v>
      </c>
      <c r="C3499">
        <v>3001</v>
      </c>
      <c r="D3499" s="9">
        <v>4478.4399999999996</v>
      </c>
      <c r="E3499" t="s">
        <v>57</v>
      </c>
    </row>
    <row r="3500" spans="1:5">
      <c r="A3500" t="s">
        <v>39</v>
      </c>
      <c r="B3500" s="11" t="s">
        <v>67</v>
      </c>
      <c r="C3500">
        <v>3001</v>
      </c>
      <c r="D3500" s="9">
        <v>3128.15</v>
      </c>
      <c r="E3500" t="s">
        <v>57</v>
      </c>
    </row>
    <row r="3501" spans="1:5">
      <c r="A3501" t="s">
        <v>39</v>
      </c>
      <c r="B3501" s="11" t="s">
        <v>76</v>
      </c>
      <c r="C3501">
        <v>3001</v>
      </c>
      <c r="D3501" s="9">
        <v>1969.64</v>
      </c>
      <c r="E3501" t="s">
        <v>57</v>
      </c>
    </row>
    <row r="3502" spans="1:5">
      <c r="A3502" t="s">
        <v>39</v>
      </c>
      <c r="B3502" s="11" t="s">
        <v>68</v>
      </c>
      <c r="C3502">
        <v>3001</v>
      </c>
      <c r="D3502" s="9">
        <v>5093.47</v>
      </c>
      <c r="E3502" t="s">
        <v>58</v>
      </c>
    </row>
    <row r="3503" spans="1:5">
      <c r="A3503" t="s">
        <v>39</v>
      </c>
      <c r="B3503" s="11" t="s">
        <v>69</v>
      </c>
      <c r="C3503">
        <v>3001</v>
      </c>
      <c r="D3503" s="9">
        <v>3874.51</v>
      </c>
      <c r="E3503" t="s">
        <v>58</v>
      </c>
    </row>
    <row r="3504" spans="1:5">
      <c r="A3504" t="s">
        <v>39</v>
      </c>
      <c r="B3504" s="11" t="s">
        <v>77</v>
      </c>
      <c r="C3504">
        <v>3001</v>
      </c>
      <c r="D3504" s="9">
        <v>6302.84</v>
      </c>
      <c r="E3504" t="s">
        <v>58</v>
      </c>
    </row>
    <row r="3505" spans="1:5">
      <c r="A3505" t="s">
        <v>39</v>
      </c>
      <c r="B3505" s="11" t="s">
        <v>70</v>
      </c>
      <c r="C3505">
        <v>3001</v>
      </c>
      <c r="D3505" s="9">
        <v>4042.87</v>
      </c>
      <c r="E3505" t="s">
        <v>59</v>
      </c>
    </row>
    <row r="3506" spans="1:5">
      <c r="A3506" t="s">
        <v>39</v>
      </c>
      <c r="B3506" s="11" t="s">
        <v>71</v>
      </c>
      <c r="C3506">
        <v>3001</v>
      </c>
      <c r="D3506" s="9">
        <v>4229.16</v>
      </c>
      <c r="E3506" t="s">
        <v>59</v>
      </c>
    </row>
    <row r="3507" spans="1:5">
      <c r="A3507" t="s">
        <v>39</v>
      </c>
      <c r="B3507" s="11" t="s">
        <v>72</v>
      </c>
      <c r="C3507">
        <v>3001</v>
      </c>
      <c r="D3507" s="9">
        <v>6453.26</v>
      </c>
      <c r="E3507" t="s">
        <v>59</v>
      </c>
    </row>
    <row r="3508" spans="1:5">
      <c r="A3508" t="s">
        <v>39</v>
      </c>
      <c r="B3508" s="11" t="s">
        <v>78</v>
      </c>
      <c r="C3508">
        <v>3001</v>
      </c>
      <c r="D3508" s="9">
        <v>3473.7</v>
      </c>
      <c r="E3508" t="s">
        <v>59</v>
      </c>
    </row>
    <row r="3509" spans="1:5">
      <c r="A3509" t="s">
        <v>39</v>
      </c>
      <c r="B3509" s="11" t="s">
        <v>73</v>
      </c>
      <c r="C3509">
        <v>3001</v>
      </c>
      <c r="D3509" s="9">
        <v>4597.8100000000004</v>
      </c>
      <c r="E3509" t="s">
        <v>60</v>
      </c>
    </row>
    <row r="3510" spans="1:5">
      <c r="A3510" t="s">
        <v>39</v>
      </c>
      <c r="B3510" s="11" t="s">
        <v>74</v>
      </c>
      <c r="C3510">
        <v>3001</v>
      </c>
      <c r="D3510" s="9">
        <v>3215.04</v>
      </c>
      <c r="E3510" t="s">
        <v>60</v>
      </c>
    </row>
    <row r="3511" spans="1:5">
      <c r="A3511" t="s">
        <v>28</v>
      </c>
      <c r="B3511" s="11" t="s">
        <v>61</v>
      </c>
      <c r="C3511">
        <v>3002</v>
      </c>
      <c r="D3511" s="9">
        <v>2175.42</v>
      </c>
      <c r="E3511" t="s">
        <v>56</v>
      </c>
    </row>
    <row r="3512" spans="1:5">
      <c r="A3512" t="s">
        <v>28</v>
      </c>
      <c r="B3512" s="11" t="s">
        <v>62</v>
      </c>
      <c r="C3512">
        <v>3002</v>
      </c>
      <c r="D3512" s="9">
        <v>3646.03</v>
      </c>
      <c r="E3512" t="s">
        <v>56</v>
      </c>
    </row>
    <row r="3513" spans="1:5">
      <c r="A3513" t="s">
        <v>28</v>
      </c>
      <c r="B3513" s="11" t="s">
        <v>63</v>
      </c>
      <c r="C3513">
        <v>3002</v>
      </c>
      <c r="D3513" s="9">
        <v>3440.76</v>
      </c>
      <c r="E3513" t="s">
        <v>56</v>
      </c>
    </row>
    <row r="3514" spans="1:5">
      <c r="A3514" t="s">
        <v>28</v>
      </c>
      <c r="B3514" s="11" t="s">
        <v>64</v>
      </c>
      <c r="C3514">
        <v>3002</v>
      </c>
      <c r="D3514" s="9">
        <v>3536.87</v>
      </c>
      <c r="E3514" t="s">
        <v>57</v>
      </c>
    </row>
    <row r="3515" spans="1:5">
      <c r="A3515" t="s">
        <v>28</v>
      </c>
      <c r="B3515" s="11" t="s">
        <v>65</v>
      </c>
      <c r="C3515">
        <v>3002</v>
      </c>
      <c r="D3515" s="9">
        <v>2274.7800000000002</v>
      </c>
      <c r="E3515" t="s">
        <v>57</v>
      </c>
    </row>
    <row r="3516" spans="1:5">
      <c r="A3516" t="s">
        <v>28</v>
      </c>
      <c r="B3516" s="11" t="s">
        <v>66</v>
      </c>
      <c r="C3516">
        <v>3002</v>
      </c>
      <c r="D3516" s="9">
        <v>8648.7999999999993</v>
      </c>
      <c r="E3516" t="s">
        <v>57</v>
      </c>
    </row>
    <row r="3517" spans="1:5">
      <c r="A3517" t="s">
        <v>28</v>
      </c>
      <c r="B3517" s="11" t="s">
        <v>67</v>
      </c>
      <c r="C3517">
        <v>3002</v>
      </c>
      <c r="D3517" s="9">
        <v>2675.9</v>
      </c>
      <c r="E3517" t="s">
        <v>57</v>
      </c>
    </row>
    <row r="3518" spans="1:5">
      <c r="A3518" t="s">
        <v>28</v>
      </c>
      <c r="B3518" s="11" t="s">
        <v>76</v>
      </c>
      <c r="C3518">
        <v>3002</v>
      </c>
      <c r="D3518" s="9">
        <v>1470.35</v>
      </c>
      <c r="E3518" t="s">
        <v>57</v>
      </c>
    </row>
    <row r="3519" spans="1:5">
      <c r="A3519" t="s">
        <v>28</v>
      </c>
      <c r="B3519" s="11" t="s">
        <v>68</v>
      </c>
      <c r="C3519">
        <v>3002</v>
      </c>
      <c r="D3519" s="9">
        <v>4000.9</v>
      </c>
      <c r="E3519" t="s">
        <v>58</v>
      </c>
    </row>
    <row r="3520" spans="1:5">
      <c r="A3520" t="s">
        <v>28</v>
      </c>
      <c r="B3520" s="11" t="s">
        <v>69</v>
      </c>
      <c r="C3520">
        <v>3002</v>
      </c>
      <c r="D3520" s="9">
        <v>2212.85</v>
      </c>
      <c r="E3520" t="s">
        <v>58</v>
      </c>
    </row>
    <row r="3521" spans="1:5">
      <c r="A3521" t="s">
        <v>28</v>
      </c>
      <c r="B3521" s="11" t="s">
        <v>77</v>
      </c>
      <c r="C3521">
        <v>3002</v>
      </c>
      <c r="D3521" s="9">
        <v>3734.79</v>
      </c>
      <c r="E3521" t="s">
        <v>58</v>
      </c>
    </row>
    <row r="3522" spans="1:5">
      <c r="A3522" t="s">
        <v>28</v>
      </c>
      <c r="B3522" s="11" t="s">
        <v>70</v>
      </c>
      <c r="C3522">
        <v>3002</v>
      </c>
      <c r="D3522" s="9">
        <v>5105.24</v>
      </c>
      <c r="E3522" t="s">
        <v>59</v>
      </c>
    </row>
    <row r="3523" spans="1:5">
      <c r="A3523" t="s">
        <v>28</v>
      </c>
      <c r="B3523" s="11" t="s">
        <v>71</v>
      </c>
      <c r="C3523">
        <v>3002</v>
      </c>
      <c r="D3523" s="9">
        <v>5656.98</v>
      </c>
      <c r="E3523" t="s">
        <v>59</v>
      </c>
    </row>
    <row r="3524" spans="1:5">
      <c r="A3524" t="s">
        <v>28</v>
      </c>
      <c r="B3524" s="11" t="s">
        <v>72</v>
      </c>
      <c r="C3524">
        <v>3002</v>
      </c>
      <c r="D3524" s="9">
        <v>3556.77</v>
      </c>
      <c r="E3524" t="s">
        <v>59</v>
      </c>
    </row>
    <row r="3525" spans="1:5">
      <c r="A3525" t="s">
        <v>28</v>
      </c>
      <c r="B3525" s="11" t="s">
        <v>78</v>
      </c>
      <c r="C3525">
        <v>3002</v>
      </c>
      <c r="D3525" s="9">
        <v>4712.7700000000004</v>
      </c>
      <c r="E3525" t="s">
        <v>59</v>
      </c>
    </row>
    <row r="3526" spans="1:5">
      <c r="A3526" t="s">
        <v>28</v>
      </c>
      <c r="B3526" s="11" t="s">
        <v>73</v>
      </c>
      <c r="C3526">
        <v>3002</v>
      </c>
      <c r="D3526" s="9">
        <v>4311.9799999999996</v>
      </c>
      <c r="E3526" t="s">
        <v>60</v>
      </c>
    </row>
    <row r="3527" spans="1:5">
      <c r="A3527" t="s">
        <v>28</v>
      </c>
      <c r="B3527" s="11" t="s">
        <v>74</v>
      </c>
      <c r="C3527">
        <v>3002</v>
      </c>
      <c r="D3527" s="9">
        <v>5757.5</v>
      </c>
      <c r="E3527" t="s">
        <v>60</v>
      </c>
    </row>
    <row r="3528" spans="1:5">
      <c r="A3528" t="s">
        <v>29</v>
      </c>
      <c r="B3528" s="11" t="s">
        <v>61</v>
      </c>
      <c r="C3528">
        <v>3002</v>
      </c>
      <c r="D3528" s="9">
        <v>4627.7</v>
      </c>
      <c r="E3528" t="s">
        <v>56</v>
      </c>
    </row>
    <row r="3529" spans="1:5">
      <c r="A3529" t="s">
        <v>29</v>
      </c>
      <c r="B3529" s="11" t="s">
        <v>62</v>
      </c>
      <c r="C3529">
        <v>3002</v>
      </c>
      <c r="D3529" s="9">
        <v>2495.85</v>
      </c>
      <c r="E3529" t="s">
        <v>56</v>
      </c>
    </row>
    <row r="3530" spans="1:5">
      <c r="A3530" t="s">
        <v>29</v>
      </c>
      <c r="B3530" s="11" t="s">
        <v>63</v>
      </c>
      <c r="C3530">
        <v>3002</v>
      </c>
      <c r="D3530" s="9">
        <v>3681.97</v>
      </c>
      <c r="E3530" t="s">
        <v>56</v>
      </c>
    </row>
    <row r="3531" spans="1:5">
      <c r="A3531" t="s">
        <v>29</v>
      </c>
      <c r="B3531" s="11" t="s">
        <v>75</v>
      </c>
      <c r="C3531">
        <v>3002</v>
      </c>
      <c r="D3531" s="9">
        <v>3763.07</v>
      </c>
      <c r="E3531" t="s">
        <v>56</v>
      </c>
    </row>
    <row r="3532" spans="1:5">
      <c r="A3532" t="s">
        <v>29</v>
      </c>
      <c r="B3532" s="11" t="s">
        <v>64</v>
      </c>
      <c r="C3532">
        <v>3002</v>
      </c>
      <c r="D3532" s="9">
        <v>4316.7700000000004</v>
      </c>
      <c r="E3532" t="s">
        <v>57</v>
      </c>
    </row>
    <row r="3533" spans="1:5">
      <c r="A3533" t="s">
        <v>29</v>
      </c>
      <c r="B3533" s="11" t="s">
        <v>65</v>
      </c>
      <c r="C3533">
        <v>3002</v>
      </c>
      <c r="D3533" s="9">
        <v>2693.2</v>
      </c>
      <c r="E3533" t="s">
        <v>57</v>
      </c>
    </row>
    <row r="3534" spans="1:5">
      <c r="A3534" t="s">
        <v>29</v>
      </c>
      <c r="B3534" s="11" t="s">
        <v>66</v>
      </c>
      <c r="C3534">
        <v>3002</v>
      </c>
      <c r="D3534" s="9">
        <v>4073.42</v>
      </c>
      <c r="E3534" t="s">
        <v>57</v>
      </c>
    </row>
    <row r="3535" spans="1:5">
      <c r="A3535" t="s">
        <v>29</v>
      </c>
      <c r="B3535" s="11" t="s">
        <v>67</v>
      </c>
      <c r="C3535">
        <v>3002</v>
      </c>
      <c r="D3535" s="9">
        <v>2455.8000000000002</v>
      </c>
      <c r="E3535" t="s">
        <v>57</v>
      </c>
    </row>
    <row r="3536" spans="1:5">
      <c r="A3536" t="s">
        <v>29</v>
      </c>
      <c r="B3536" s="11" t="s">
        <v>76</v>
      </c>
      <c r="C3536">
        <v>3002</v>
      </c>
      <c r="D3536" s="9">
        <v>1823.33</v>
      </c>
      <c r="E3536" t="s">
        <v>57</v>
      </c>
    </row>
    <row r="3537" spans="1:5">
      <c r="A3537" t="s">
        <v>29</v>
      </c>
      <c r="B3537" s="11" t="s">
        <v>68</v>
      </c>
      <c r="C3537">
        <v>3002</v>
      </c>
      <c r="D3537" s="9">
        <v>3814.5</v>
      </c>
      <c r="E3537" t="s">
        <v>58</v>
      </c>
    </row>
    <row r="3538" spans="1:5">
      <c r="A3538" t="s">
        <v>29</v>
      </c>
      <c r="B3538" s="11" t="s">
        <v>69</v>
      </c>
      <c r="C3538">
        <v>3002</v>
      </c>
      <c r="D3538" s="9">
        <v>2460.64</v>
      </c>
      <c r="E3538" t="s">
        <v>58</v>
      </c>
    </row>
    <row r="3539" spans="1:5">
      <c r="A3539" t="s">
        <v>29</v>
      </c>
      <c r="B3539" s="11" t="s">
        <v>77</v>
      </c>
      <c r="C3539">
        <v>3002</v>
      </c>
      <c r="D3539" s="9">
        <v>4037.75</v>
      </c>
      <c r="E3539" t="s">
        <v>58</v>
      </c>
    </row>
    <row r="3540" spans="1:5">
      <c r="A3540" t="s">
        <v>29</v>
      </c>
      <c r="B3540" s="11" t="s">
        <v>70</v>
      </c>
      <c r="C3540">
        <v>3002</v>
      </c>
      <c r="D3540" s="9">
        <v>4176.25</v>
      </c>
      <c r="E3540" t="s">
        <v>59</v>
      </c>
    </row>
    <row r="3541" spans="1:5">
      <c r="A3541" t="s">
        <v>29</v>
      </c>
      <c r="B3541" s="11" t="s">
        <v>71</v>
      </c>
      <c r="C3541">
        <v>3002</v>
      </c>
      <c r="D3541" s="9">
        <v>4106.54</v>
      </c>
      <c r="E3541" t="s">
        <v>59</v>
      </c>
    </row>
    <row r="3542" spans="1:5">
      <c r="A3542" t="s">
        <v>29</v>
      </c>
      <c r="B3542" s="11" t="s">
        <v>72</v>
      </c>
      <c r="C3542">
        <v>3002</v>
      </c>
      <c r="D3542" s="9">
        <v>6017.02</v>
      </c>
      <c r="E3542" t="s">
        <v>59</v>
      </c>
    </row>
    <row r="3543" spans="1:5">
      <c r="A3543" t="s">
        <v>29</v>
      </c>
      <c r="B3543" s="11" t="s">
        <v>78</v>
      </c>
      <c r="C3543">
        <v>3002</v>
      </c>
      <c r="D3543" s="9">
        <v>3147.71</v>
      </c>
      <c r="E3543" t="s">
        <v>59</v>
      </c>
    </row>
    <row r="3544" spans="1:5">
      <c r="A3544" t="s">
        <v>29</v>
      </c>
      <c r="B3544" s="11" t="s">
        <v>73</v>
      </c>
      <c r="C3544">
        <v>3002</v>
      </c>
      <c r="D3544" s="9">
        <v>4567.7</v>
      </c>
      <c r="E3544" t="s">
        <v>60</v>
      </c>
    </row>
    <row r="3545" spans="1:5">
      <c r="A3545" t="s">
        <v>29</v>
      </c>
      <c r="B3545" s="11" t="s">
        <v>74</v>
      </c>
      <c r="C3545">
        <v>3002</v>
      </c>
      <c r="D3545" s="9">
        <v>5081.51</v>
      </c>
      <c r="E3545" t="s">
        <v>60</v>
      </c>
    </row>
    <row r="3546" spans="1:5">
      <c r="A3546" t="s">
        <v>30</v>
      </c>
      <c r="B3546" s="11" t="s">
        <v>61</v>
      </c>
      <c r="C3546">
        <v>3002</v>
      </c>
      <c r="D3546" s="9">
        <v>3287.67</v>
      </c>
      <c r="E3546" t="s">
        <v>56</v>
      </c>
    </row>
    <row r="3547" spans="1:5">
      <c r="A3547" t="s">
        <v>30</v>
      </c>
      <c r="B3547" s="11" t="s">
        <v>62</v>
      </c>
      <c r="C3547">
        <v>3002</v>
      </c>
      <c r="D3547" s="9">
        <v>1614.01</v>
      </c>
      <c r="E3547" t="s">
        <v>56</v>
      </c>
    </row>
    <row r="3548" spans="1:5">
      <c r="A3548" t="s">
        <v>30</v>
      </c>
      <c r="B3548" s="11" t="s">
        <v>63</v>
      </c>
      <c r="C3548">
        <v>3002</v>
      </c>
      <c r="D3548" s="9">
        <v>3139.8</v>
      </c>
      <c r="E3548" t="s">
        <v>56</v>
      </c>
    </row>
    <row r="3549" spans="1:5">
      <c r="A3549" t="s">
        <v>30</v>
      </c>
      <c r="B3549" s="11" t="s">
        <v>75</v>
      </c>
      <c r="C3549">
        <v>3002</v>
      </c>
      <c r="D3549" s="9">
        <v>2136.71</v>
      </c>
      <c r="E3549" t="s">
        <v>56</v>
      </c>
    </row>
    <row r="3550" spans="1:5">
      <c r="A3550" t="s">
        <v>30</v>
      </c>
      <c r="B3550" s="11" t="s">
        <v>64</v>
      </c>
      <c r="C3550">
        <v>3002</v>
      </c>
      <c r="D3550" s="9">
        <v>3295.83</v>
      </c>
      <c r="E3550" t="s">
        <v>57</v>
      </c>
    </row>
    <row r="3551" spans="1:5">
      <c r="A3551" t="s">
        <v>30</v>
      </c>
      <c r="B3551" s="11" t="s">
        <v>65</v>
      </c>
      <c r="C3551">
        <v>3002</v>
      </c>
      <c r="D3551" s="9">
        <v>2164.3200000000002</v>
      </c>
      <c r="E3551" t="s">
        <v>57</v>
      </c>
    </row>
    <row r="3552" spans="1:5">
      <c r="A3552" t="s">
        <v>30</v>
      </c>
      <c r="B3552" s="11" t="s">
        <v>66</v>
      </c>
      <c r="C3552">
        <v>3002</v>
      </c>
      <c r="D3552" s="9">
        <v>5738.26</v>
      </c>
      <c r="E3552" t="s">
        <v>57</v>
      </c>
    </row>
    <row r="3553" spans="1:5">
      <c r="A3553" t="s">
        <v>30</v>
      </c>
      <c r="B3553" s="11" t="s">
        <v>67</v>
      </c>
      <c r="C3553">
        <v>3002</v>
      </c>
      <c r="D3553" s="9">
        <v>2618.83</v>
      </c>
      <c r="E3553" t="s">
        <v>57</v>
      </c>
    </row>
    <row r="3554" spans="1:5">
      <c r="A3554" t="s">
        <v>30</v>
      </c>
      <c r="B3554" s="11" t="s">
        <v>76</v>
      </c>
      <c r="C3554">
        <v>3002</v>
      </c>
      <c r="D3554" s="9">
        <v>1284.46</v>
      </c>
      <c r="E3554" t="s">
        <v>57</v>
      </c>
    </row>
    <row r="3555" spans="1:5">
      <c r="A3555" t="s">
        <v>30</v>
      </c>
      <c r="B3555" s="11" t="s">
        <v>68</v>
      </c>
      <c r="C3555">
        <v>3002</v>
      </c>
      <c r="D3555" s="9">
        <v>2902.56</v>
      </c>
      <c r="E3555" t="s">
        <v>58</v>
      </c>
    </row>
    <row r="3556" spans="1:5">
      <c r="A3556" t="s">
        <v>30</v>
      </c>
      <c r="B3556" s="11" t="s">
        <v>69</v>
      </c>
      <c r="C3556">
        <v>3002</v>
      </c>
      <c r="D3556" s="9">
        <v>3668.66</v>
      </c>
      <c r="E3556" t="s">
        <v>58</v>
      </c>
    </row>
    <row r="3557" spans="1:5">
      <c r="A3557" t="s">
        <v>30</v>
      </c>
      <c r="B3557" s="11" t="s">
        <v>77</v>
      </c>
      <c r="C3557">
        <v>3002</v>
      </c>
      <c r="D3557" s="9">
        <v>2525.27</v>
      </c>
      <c r="E3557" t="s">
        <v>58</v>
      </c>
    </row>
    <row r="3558" spans="1:5">
      <c r="A3558" t="s">
        <v>30</v>
      </c>
      <c r="B3558" s="11" t="s">
        <v>70</v>
      </c>
      <c r="C3558">
        <v>3002</v>
      </c>
      <c r="D3558" s="9">
        <v>3328.3</v>
      </c>
      <c r="E3558" t="s">
        <v>59</v>
      </c>
    </row>
    <row r="3559" spans="1:5">
      <c r="A3559" t="s">
        <v>30</v>
      </c>
      <c r="B3559" s="11" t="s">
        <v>71</v>
      </c>
      <c r="C3559">
        <v>3002</v>
      </c>
      <c r="D3559" s="9">
        <v>3163.55</v>
      </c>
      <c r="E3559" t="s">
        <v>59</v>
      </c>
    </row>
    <row r="3560" spans="1:5">
      <c r="A3560" t="s">
        <v>30</v>
      </c>
      <c r="B3560" s="11" t="s">
        <v>72</v>
      </c>
      <c r="C3560">
        <v>3002</v>
      </c>
      <c r="D3560" s="9">
        <v>3378.74</v>
      </c>
      <c r="E3560" t="s">
        <v>59</v>
      </c>
    </row>
    <row r="3561" spans="1:5">
      <c r="A3561" t="s">
        <v>30</v>
      </c>
      <c r="B3561" s="11" t="s">
        <v>78</v>
      </c>
      <c r="C3561">
        <v>3002</v>
      </c>
      <c r="D3561" s="9">
        <v>4399.74</v>
      </c>
      <c r="E3561" t="s">
        <v>59</v>
      </c>
    </row>
    <row r="3562" spans="1:5">
      <c r="A3562" t="s">
        <v>30</v>
      </c>
      <c r="B3562" s="11" t="s">
        <v>73</v>
      </c>
      <c r="C3562">
        <v>3002</v>
      </c>
      <c r="D3562" s="9">
        <v>4521.1899999999996</v>
      </c>
      <c r="E3562" t="s">
        <v>60</v>
      </c>
    </row>
    <row r="3563" spans="1:5">
      <c r="A3563" t="s">
        <v>30</v>
      </c>
      <c r="B3563" s="11" t="s">
        <v>74</v>
      </c>
      <c r="C3563">
        <v>3002</v>
      </c>
      <c r="D3563" s="9">
        <v>4107.3999999999996</v>
      </c>
      <c r="E3563" t="s">
        <v>60</v>
      </c>
    </row>
    <row r="3564" spans="1:5">
      <c r="A3564" t="s">
        <v>31</v>
      </c>
      <c r="B3564" s="11" t="s">
        <v>61</v>
      </c>
      <c r="C3564">
        <v>3002</v>
      </c>
      <c r="D3564" s="9">
        <v>3626.7</v>
      </c>
      <c r="E3564" t="s">
        <v>56</v>
      </c>
    </row>
    <row r="3565" spans="1:5">
      <c r="A3565" t="s">
        <v>31</v>
      </c>
      <c r="B3565" s="11" t="s">
        <v>62</v>
      </c>
      <c r="C3565">
        <v>3002</v>
      </c>
      <c r="D3565" s="9">
        <v>2044.36</v>
      </c>
      <c r="E3565" t="s">
        <v>56</v>
      </c>
    </row>
    <row r="3566" spans="1:5">
      <c r="A3566" t="s">
        <v>31</v>
      </c>
      <c r="B3566" s="11" t="s">
        <v>63</v>
      </c>
      <c r="C3566">
        <v>3002</v>
      </c>
      <c r="D3566" s="9">
        <v>4367.71</v>
      </c>
      <c r="E3566" t="s">
        <v>56</v>
      </c>
    </row>
    <row r="3567" spans="1:5">
      <c r="A3567" t="s">
        <v>31</v>
      </c>
      <c r="B3567" s="11" t="s">
        <v>75</v>
      </c>
      <c r="C3567">
        <v>3002</v>
      </c>
      <c r="D3567" s="9">
        <v>3658.27</v>
      </c>
      <c r="E3567" t="s">
        <v>56</v>
      </c>
    </row>
    <row r="3568" spans="1:5">
      <c r="A3568" t="s">
        <v>31</v>
      </c>
      <c r="B3568" s="11" t="s">
        <v>64</v>
      </c>
      <c r="C3568">
        <v>3002</v>
      </c>
      <c r="D3568" s="9">
        <v>3290.26</v>
      </c>
      <c r="E3568" t="s">
        <v>57</v>
      </c>
    </row>
    <row r="3569" spans="1:5">
      <c r="A3569" t="s">
        <v>31</v>
      </c>
      <c r="B3569" s="11" t="s">
        <v>65</v>
      </c>
      <c r="C3569">
        <v>3002</v>
      </c>
      <c r="D3569" s="9">
        <v>2538.4699999999998</v>
      </c>
      <c r="E3569" t="s">
        <v>57</v>
      </c>
    </row>
    <row r="3570" spans="1:5">
      <c r="A3570" t="s">
        <v>31</v>
      </c>
      <c r="B3570" s="11" t="s">
        <v>66</v>
      </c>
      <c r="C3570">
        <v>3002</v>
      </c>
      <c r="D3570" s="9">
        <v>3384.95</v>
      </c>
      <c r="E3570" t="s">
        <v>57</v>
      </c>
    </row>
    <row r="3571" spans="1:5">
      <c r="A3571" t="s">
        <v>31</v>
      </c>
      <c r="B3571" s="11" t="s">
        <v>67</v>
      </c>
      <c r="C3571">
        <v>3002</v>
      </c>
      <c r="D3571" s="9">
        <v>1930.13</v>
      </c>
      <c r="E3571" t="s">
        <v>57</v>
      </c>
    </row>
    <row r="3572" spans="1:5">
      <c r="A3572" t="s">
        <v>31</v>
      </c>
      <c r="B3572" s="11" t="s">
        <v>76</v>
      </c>
      <c r="C3572">
        <v>3002</v>
      </c>
      <c r="D3572" s="9">
        <v>1238.92</v>
      </c>
      <c r="E3572" t="s">
        <v>57</v>
      </c>
    </row>
    <row r="3573" spans="1:5">
      <c r="A3573" t="s">
        <v>31</v>
      </c>
      <c r="B3573" s="11" t="s">
        <v>68</v>
      </c>
      <c r="C3573">
        <v>3002</v>
      </c>
      <c r="D3573" s="9">
        <v>3540.56</v>
      </c>
      <c r="E3573" t="s">
        <v>58</v>
      </c>
    </row>
    <row r="3574" spans="1:5">
      <c r="A3574" t="s">
        <v>31</v>
      </c>
      <c r="B3574" s="11" t="s">
        <v>69</v>
      </c>
      <c r="C3574">
        <v>3002</v>
      </c>
      <c r="D3574" s="9">
        <v>1983.26</v>
      </c>
      <c r="E3574" t="s">
        <v>58</v>
      </c>
    </row>
    <row r="3575" spans="1:5">
      <c r="A3575" t="s">
        <v>31</v>
      </c>
      <c r="B3575" s="11" t="s">
        <v>77</v>
      </c>
      <c r="C3575">
        <v>3002</v>
      </c>
      <c r="D3575" s="9">
        <v>3470.29</v>
      </c>
      <c r="E3575" t="s">
        <v>58</v>
      </c>
    </row>
    <row r="3576" spans="1:5">
      <c r="A3576" t="s">
        <v>31</v>
      </c>
      <c r="B3576" s="11" t="s">
        <v>70</v>
      </c>
      <c r="C3576">
        <v>3002</v>
      </c>
      <c r="D3576" s="9">
        <v>2798.06</v>
      </c>
      <c r="E3576" t="s">
        <v>59</v>
      </c>
    </row>
    <row r="3577" spans="1:5">
      <c r="A3577" t="s">
        <v>31</v>
      </c>
      <c r="B3577" s="11" t="s">
        <v>71</v>
      </c>
      <c r="C3577">
        <v>3002</v>
      </c>
      <c r="D3577" s="9">
        <v>4804.53</v>
      </c>
      <c r="E3577" t="s">
        <v>59</v>
      </c>
    </row>
    <row r="3578" spans="1:5">
      <c r="A3578" t="s">
        <v>31</v>
      </c>
      <c r="B3578" s="11" t="s">
        <v>72</v>
      </c>
      <c r="C3578">
        <v>3002</v>
      </c>
      <c r="D3578" s="9">
        <v>5597.8</v>
      </c>
      <c r="E3578" t="s">
        <v>59</v>
      </c>
    </row>
    <row r="3579" spans="1:5">
      <c r="A3579" t="s">
        <v>31</v>
      </c>
      <c r="B3579" s="11" t="s">
        <v>78</v>
      </c>
      <c r="C3579">
        <v>3002</v>
      </c>
      <c r="D3579" s="9">
        <v>2634.47</v>
      </c>
      <c r="E3579" t="s">
        <v>59</v>
      </c>
    </row>
    <row r="3580" spans="1:5">
      <c r="A3580" t="s">
        <v>31</v>
      </c>
      <c r="B3580" s="11" t="s">
        <v>73</v>
      </c>
      <c r="C3580">
        <v>3002</v>
      </c>
      <c r="D3580" s="9">
        <v>3651.29</v>
      </c>
      <c r="E3580" t="s">
        <v>60</v>
      </c>
    </row>
    <row r="3581" spans="1:5">
      <c r="A3581" t="s">
        <v>31</v>
      </c>
      <c r="B3581" s="11" t="s">
        <v>74</v>
      </c>
      <c r="C3581">
        <v>3002</v>
      </c>
      <c r="D3581" s="9">
        <v>3537.28</v>
      </c>
      <c r="E3581" t="s">
        <v>60</v>
      </c>
    </row>
    <row r="3582" spans="1:5">
      <c r="A3582" t="s">
        <v>32</v>
      </c>
      <c r="B3582" s="11" t="s">
        <v>61</v>
      </c>
      <c r="C3582">
        <v>3002</v>
      </c>
      <c r="D3582" s="9">
        <v>2835.88</v>
      </c>
      <c r="E3582" t="s">
        <v>56</v>
      </c>
    </row>
    <row r="3583" spans="1:5">
      <c r="A3583" t="s">
        <v>32</v>
      </c>
      <c r="B3583" s="11" t="s">
        <v>62</v>
      </c>
      <c r="C3583">
        <v>3002</v>
      </c>
      <c r="D3583" s="9">
        <v>2378.2800000000002</v>
      </c>
      <c r="E3583" t="s">
        <v>56</v>
      </c>
    </row>
    <row r="3584" spans="1:5">
      <c r="A3584" t="s">
        <v>32</v>
      </c>
      <c r="B3584" s="11" t="s">
        <v>63</v>
      </c>
      <c r="C3584">
        <v>3002</v>
      </c>
      <c r="D3584" s="9">
        <v>3914.26</v>
      </c>
      <c r="E3584" t="s">
        <v>56</v>
      </c>
    </row>
    <row r="3585" spans="1:5">
      <c r="A3585" t="s">
        <v>32</v>
      </c>
      <c r="B3585" s="11" t="s">
        <v>75</v>
      </c>
      <c r="C3585">
        <v>3002</v>
      </c>
      <c r="D3585" s="9">
        <v>4427.99</v>
      </c>
      <c r="E3585" t="s">
        <v>56</v>
      </c>
    </row>
    <row r="3586" spans="1:5">
      <c r="A3586" t="s">
        <v>32</v>
      </c>
      <c r="B3586" s="11" t="s">
        <v>64</v>
      </c>
      <c r="C3586">
        <v>3002</v>
      </c>
      <c r="D3586" s="9">
        <v>3898.77</v>
      </c>
      <c r="E3586" t="s">
        <v>57</v>
      </c>
    </row>
    <row r="3587" spans="1:5">
      <c r="A3587" t="s">
        <v>32</v>
      </c>
      <c r="B3587" s="11" t="s">
        <v>65</v>
      </c>
      <c r="C3587">
        <v>3002</v>
      </c>
      <c r="D3587" s="9">
        <v>2658.97</v>
      </c>
      <c r="E3587" t="s">
        <v>57</v>
      </c>
    </row>
    <row r="3588" spans="1:5">
      <c r="A3588" t="s">
        <v>32</v>
      </c>
      <c r="B3588" s="11" t="s">
        <v>66</v>
      </c>
      <c r="C3588">
        <v>3002</v>
      </c>
      <c r="D3588" s="9">
        <v>6340.28</v>
      </c>
      <c r="E3588" t="s">
        <v>57</v>
      </c>
    </row>
    <row r="3589" spans="1:5">
      <c r="A3589" t="s">
        <v>32</v>
      </c>
      <c r="B3589" s="11" t="s">
        <v>67</v>
      </c>
      <c r="C3589">
        <v>3002</v>
      </c>
      <c r="D3589" s="9">
        <v>1872.66</v>
      </c>
      <c r="E3589" t="s">
        <v>57</v>
      </c>
    </row>
    <row r="3590" spans="1:5">
      <c r="A3590" t="s">
        <v>32</v>
      </c>
      <c r="B3590" s="11" t="s">
        <v>76</v>
      </c>
      <c r="C3590">
        <v>3002</v>
      </c>
      <c r="D3590" s="9">
        <v>1548.03</v>
      </c>
      <c r="E3590" t="s">
        <v>57</v>
      </c>
    </row>
    <row r="3591" spans="1:5">
      <c r="A3591" t="s">
        <v>32</v>
      </c>
      <c r="B3591" s="11" t="s">
        <v>68</v>
      </c>
      <c r="C3591">
        <v>3002</v>
      </c>
      <c r="D3591" s="9">
        <v>2808.23</v>
      </c>
      <c r="E3591" t="s">
        <v>58</v>
      </c>
    </row>
    <row r="3592" spans="1:5">
      <c r="A3592" t="s">
        <v>32</v>
      </c>
      <c r="B3592" s="11" t="s">
        <v>69</v>
      </c>
      <c r="C3592">
        <v>3002</v>
      </c>
      <c r="D3592" s="9">
        <v>3416.33</v>
      </c>
      <c r="E3592" t="s">
        <v>58</v>
      </c>
    </row>
    <row r="3593" spans="1:5">
      <c r="A3593" t="s">
        <v>32</v>
      </c>
      <c r="B3593" s="11" t="s">
        <v>77</v>
      </c>
      <c r="C3593">
        <v>3002</v>
      </c>
      <c r="D3593" s="9">
        <v>2695.69</v>
      </c>
      <c r="E3593" t="s">
        <v>58</v>
      </c>
    </row>
    <row r="3594" spans="1:5">
      <c r="A3594" t="s">
        <v>32</v>
      </c>
      <c r="B3594" s="11" t="s">
        <v>70</v>
      </c>
      <c r="C3594">
        <v>3002</v>
      </c>
      <c r="D3594" s="9">
        <v>2309.66</v>
      </c>
      <c r="E3594" t="s">
        <v>59</v>
      </c>
    </row>
    <row r="3595" spans="1:5">
      <c r="A3595" t="s">
        <v>32</v>
      </c>
      <c r="B3595" s="11" t="s">
        <v>71</v>
      </c>
      <c r="C3595">
        <v>3002</v>
      </c>
      <c r="D3595" s="9">
        <v>4956.51</v>
      </c>
      <c r="E3595" t="s">
        <v>59</v>
      </c>
    </row>
    <row r="3596" spans="1:5">
      <c r="A3596" t="s">
        <v>32</v>
      </c>
      <c r="B3596" s="11" t="s">
        <v>72</v>
      </c>
      <c r="C3596">
        <v>3002</v>
      </c>
      <c r="D3596" s="9">
        <v>4366.3999999999996</v>
      </c>
      <c r="E3596" t="s">
        <v>59</v>
      </c>
    </row>
    <row r="3597" spans="1:5">
      <c r="A3597" t="s">
        <v>32</v>
      </c>
      <c r="B3597" s="11" t="s">
        <v>78</v>
      </c>
      <c r="C3597">
        <v>3002</v>
      </c>
      <c r="D3597" s="9">
        <v>2884.01</v>
      </c>
      <c r="E3597" t="s">
        <v>59</v>
      </c>
    </row>
    <row r="3598" spans="1:5">
      <c r="A3598" t="s">
        <v>32</v>
      </c>
      <c r="B3598" s="11" t="s">
        <v>73</v>
      </c>
      <c r="C3598">
        <v>3002</v>
      </c>
      <c r="D3598" s="9">
        <v>4453.01</v>
      </c>
      <c r="E3598" t="s">
        <v>60</v>
      </c>
    </row>
    <row r="3599" spans="1:5">
      <c r="A3599" t="s">
        <v>32</v>
      </c>
      <c r="B3599" s="11" t="s">
        <v>74</v>
      </c>
      <c r="C3599">
        <v>3002</v>
      </c>
      <c r="D3599" s="9">
        <v>2092.64</v>
      </c>
      <c r="E3599" t="s">
        <v>60</v>
      </c>
    </row>
    <row r="3600" spans="1:5">
      <c r="A3600" t="s">
        <v>33</v>
      </c>
      <c r="B3600" s="11" t="s">
        <v>61</v>
      </c>
      <c r="C3600">
        <v>3002</v>
      </c>
      <c r="D3600" s="9">
        <v>5217.3500000000004</v>
      </c>
      <c r="E3600" t="s">
        <v>56</v>
      </c>
    </row>
    <row r="3601" spans="1:5">
      <c r="A3601" t="s">
        <v>33</v>
      </c>
      <c r="B3601" s="11" t="s">
        <v>62</v>
      </c>
      <c r="C3601">
        <v>3002</v>
      </c>
      <c r="D3601" s="9">
        <v>2317.17</v>
      </c>
      <c r="E3601" t="s">
        <v>56</v>
      </c>
    </row>
    <row r="3602" spans="1:5">
      <c r="A3602" t="s">
        <v>33</v>
      </c>
      <c r="B3602" s="11" t="s">
        <v>63</v>
      </c>
      <c r="C3602">
        <v>3002</v>
      </c>
      <c r="D3602" s="9">
        <v>4996.2299999999996</v>
      </c>
      <c r="E3602" t="s">
        <v>56</v>
      </c>
    </row>
    <row r="3603" spans="1:5">
      <c r="A3603" t="s">
        <v>33</v>
      </c>
      <c r="B3603" s="11" t="s">
        <v>75</v>
      </c>
      <c r="C3603">
        <v>3002</v>
      </c>
      <c r="D3603" s="9">
        <v>4259.49</v>
      </c>
      <c r="E3603" t="s">
        <v>56</v>
      </c>
    </row>
    <row r="3604" spans="1:5">
      <c r="A3604" t="s">
        <v>33</v>
      </c>
      <c r="B3604" s="11" t="s">
        <v>64</v>
      </c>
      <c r="C3604">
        <v>3002</v>
      </c>
      <c r="D3604" s="9">
        <v>2641.62</v>
      </c>
      <c r="E3604" t="s">
        <v>57</v>
      </c>
    </row>
    <row r="3605" spans="1:5">
      <c r="A3605" t="s">
        <v>33</v>
      </c>
      <c r="B3605" s="11" t="s">
        <v>65</v>
      </c>
      <c r="C3605">
        <v>3002</v>
      </c>
      <c r="D3605" s="9">
        <v>4063.55</v>
      </c>
      <c r="E3605" t="s">
        <v>57</v>
      </c>
    </row>
    <row r="3606" spans="1:5">
      <c r="A3606" t="s">
        <v>33</v>
      </c>
      <c r="B3606" s="11" t="s">
        <v>66</v>
      </c>
      <c r="C3606">
        <v>3002</v>
      </c>
      <c r="D3606" s="9">
        <v>6852.01</v>
      </c>
      <c r="E3606" t="s">
        <v>57</v>
      </c>
    </row>
    <row r="3607" spans="1:5">
      <c r="A3607" t="s">
        <v>33</v>
      </c>
      <c r="B3607" s="11" t="s">
        <v>67</v>
      </c>
      <c r="C3607">
        <v>3002</v>
      </c>
      <c r="D3607" s="9">
        <v>4044.13</v>
      </c>
      <c r="E3607" t="s">
        <v>57</v>
      </c>
    </row>
    <row r="3608" spans="1:5">
      <c r="A3608" t="s">
        <v>33</v>
      </c>
      <c r="B3608" s="11" t="s">
        <v>76</v>
      </c>
      <c r="C3608">
        <v>3002</v>
      </c>
      <c r="D3608" s="9">
        <v>1959.53</v>
      </c>
      <c r="E3608" t="s">
        <v>57</v>
      </c>
    </row>
    <row r="3609" spans="1:5">
      <c r="A3609" t="s">
        <v>33</v>
      </c>
      <c r="B3609" s="11" t="s">
        <v>68</v>
      </c>
      <c r="C3609">
        <v>3002</v>
      </c>
      <c r="D3609" s="9">
        <v>4641.8900000000003</v>
      </c>
      <c r="E3609" t="s">
        <v>58</v>
      </c>
    </row>
    <row r="3610" spans="1:5">
      <c r="A3610" t="s">
        <v>33</v>
      </c>
      <c r="B3610" s="11" t="s">
        <v>69</v>
      </c>
      <c r="C3610">
        <v>3002</v>
      </c>
      <c r="D3610" s="9">
        <v>3101.43</v>
      </c>
      <c r="E3610" t="s">
        <v>58</v>
      </c>
    </row>
    <row r="3611" spans="1:5">
      <c r="A3611" t="s">
        <v>33</v>
      </c>
      <c r="B3611" s="11" t="s">
        <v>77</v>
      </c>
      <c r="C3611">
        <v>3002</v>
      </c>
      <c r="D3611" s="9">
        <v>3944.05</v>
      </c>
      <c r="E3611" t="s">
        <v>58</v>
      </c>
    </row>
    <row r="3612" spans="1:5">
      <c r="A3612" t="s">
        <v>33</v>
      </c>
      <c r="B3612" s="11" t="s">
        <v>70</v>
      </c>
      <c r="C3612">
        <v>3002</v>
      </c>
      <c r="D3612" s="9">
        <v>2980.58</v>
      </c>
      <c r="E3612" t="s">
        <v>59</v>
      </c>
    </row>
    <row r="3613" spans="1:5">
      <c r="A3613" t="s">
        <v>33</v>
      </c>
      <c r="B3613" s="11" t="s">
        <v>71</v>
      </c>
      <c r="C3613">
        <v>3002</v>
      </c>
      <c r="D3613" s="9">
        <v>4111.53</v>
      </c>
      <c r="E3613" t="s">
        <v>59</v>
      </c>
    </row>
    <row r="3614" spans="1:5">
      <c r="A3614" t="s">
        <v>33</v>
      </c>
      <c r="B3614" s="11" t="s">
        <v>72</v>
      </c>
      <c r="C3614">
        <v>3002</v>
      </c>
      <c r="D3614" s="9">
        <v>4183.47</v>
      </c>
      <c r="E3614" t="s">
        <v>59</v>
      </c>
    </row>
    <row r="3615" spans="1:5">
      <c r="A3615" t="s">
        <v>33</v>
      </c>
      <c r="B3615" s="11" t="s">
        <v>78</v>
      </c>
      <c r="C3615">
        <v>3002</v>
      </c>
      <c r="D3615" s="9">
        <v>3067.53</v>
      </c>
      <c r="E3615" t="s">
        <v>59</v>
      </c>
    </row>
    <row r="3616" spans="1:5">
      <c r="A3616" t="s">
        <v>33</v>
      </c>
      <c r="B3616" s="11" t="s">
        <v>73</v>
      </c>
      <c r="C3616">
        <v>3002</v>
      </c>
      <c r="D3616" s="9">
        <v>6769.19</v>
      </c>
      <c r="E3616" t="s">
        <v>60</v>
      </c>
    </row>
    <row r="3617" spans="1:5">
      <c r="A3617" t="s">
        <v>33</v>
      </c>
      <c r="B3617" s="11" t="s">
        <v>74</v>
      </c>
      <c r="C3617">
        <v>3002</v>
      </c>
      <c r="D3617" s="9">
        <v>3060.33</v>
      </c>
      <c r="E3617" t="s">
        <v>60</v>
      </c>
    </row>
    <row r="3618" spans="1:5">
      <c r="A3618" t="s">
        <v>34</v>
      </c>
      <c r="B3618" s="11" t="s">
        <v>61</v>
      </c>
      <c r="C3618">
        <v>3002</v>
      </c>
      <c r="D3618" s="9">
        <v>2545.6999999999998</v>
      </c>
      <c r="E3618" t="s">
        <v>56</v>
      </c>
    </row>
    <row r="3619" spans="1:5">
      <c r="A3619" t="s">
        <v>34</v>
      </c>
      <c r="B3619" s="11" t="s">
        <v>62</v>
      </c>
      <c r="C3619">
        <v>3002</v>
      </c>
      <c r="D3619" s="9">
        <v>4282.6400000000003</v>
      </c>
      <c r="E3619" t="s">
        <v>56</v>
      </c>
    </row>
    <row r="3620" spans="1:5">
      <c r="A3620" t="s">
        <v>34</v>
      </c>
      <c r="B3620" s="11" t="s">
        <v>63</v>
      </c>
      <c r="C3620">
        <v>3002</v>
      </c>
      <c r="D3620" s="9">
        <v>5344.16</v>
      </c>
      <c r="E3620" t="s">
        <v>56</v>
      </c>
    </row>
    <row r="3621" spans="1:5">
      <c r="A3621" t="s">
        <v>34</v>
      </c>
      <c r="B3621" s="11" t="s">
        <v>64</v>
      </c>
      <c r="C3621">
        <v>3002</v>
      </c>
      <c r="D3621" s="9">
        <v>4337.67</v>
      </c>
      <c r="E3621" t="s">
        <v>57</v>
      </c>
    </row>
    <row r="3622" spans="1:5">
      <c r="A3622" t="s">
        <v>34</v>
      </c>
      <c r="B3622" s="11" t="s">
        <v>65</v>
      </c>
      <c r="C3622">
        <v>3002</v>
      </c>
      <c r="D3622" s="9">
        <v>3606.36</v>
      </c>
      <c r="E3622" t="s">
        <v>57</v>
      </c>
    </row>
    <row r="3623" spans="1:5">
      <c r="A3623" t="s">
        <v>34</v>
      </c>
      <c r="B3623" s="11" t="s">
        <v>66</v>
      </c>
      <c r="C3623">
        <v>3002</v>
      </c>
      <c r="D3623" s="9">
        <v>9115.92</v>
      </c>
      <c r="E3623" t="s">
        <v>57</v>
      </c>
    </row>
    <row r="3624" spans="1:5">
      <c r="A3624" t="s">
        <v>34</v>
      </c>
      <c r="B3624" s="11" t="s">
        <v>67</v>
      </c>
      <c r="C3624">
        <v>3002</v>
      </c>
      <c r="D3624" s="9">
        <v>2449.13</v>
      </c>
      <c r="E3624" t="s">
        <v>57</v>
      </c>
    </row>
    <row r="3625" spans="1:5">
      <c r="A3625" t="s">
        <v>34</v>
      </c>
      <c r="B3625" s="11" t="s">
        <v>76</v>
      </c>
      <c r="C3625">
        <v>3002</v>
      </c>
      <c r="D3625" s="9">
        <v>1954.9</v>
      </c>
      <c r="E3625" t="s">
        <v>57</v>
      </c>
    </row>
    <row r="3626" spans="1:5">
      <c r="A3626" t="s">
        <v>34</v>
      </c>
      <c r="B3626" s="11" t="s">
        <v>68</v>
      </c>
      <c r="C3626">
        <v>3002</v>
      </c>
      <c r="D3626" s="9">
        <v>3775.92</v>
      </c>
      <c r="E3626" t="s">
        <v>58</v>
      </c>
    </row>
    <row r="3627" spans="1:5">
      <c r="A3627" t="s">
        <v>34</v>
      </c>
      <c r="B3627" s="11" t="s">
        <v>69</v>
      </c>
      <c r="C3627">
        <v>3002</v>
      </c>
      <c r="D3627" s="9">
        <v>2789.54</v>
      </c>
      <c r="E3627" t="s">
        <v>58</v>
      </c>
    </row>
    <row r="3628" spans="1:5">
      <c r="A3628" t="s">
        <v>34</v>
      </c>
      <c r="B3628" s="11" t="s">
        <v>77</v>
      </c>
      <c r="C3628">
        <v>3002</v>
      </c>
      <c r="D3628" s="9">
        <v>3844.38</v>
      </c>
      <c r="E3628" t="s">
        <v>58</v>
      </c>
    </row>
    <row r="3629" spans="1:5">
      <c r="A3629" t="s">
        <v>34</v>
      </c>
      <c r="B3629" s="11" t="s">
        <v>70</v>
      </c>
      <c r="C3629">
        <v>3002</v>
      </c>
      <c r="D3629" s="9">
        <v>5312.21</v>
      </c>
      <c r="E3629" t="s">
        <v>59</v>
      </c>
    </row>
    <row r="3630" spans="1:5">
      <c r="A3630" t="s">
        <v>34</v>
      </c>
      <c r="B3630" s="11" t="s">
        <v>71</v>
      </c>
      <c r="C3630">
        <v>3002</v>
      </c>
      <c r="D3630" s="9">
        <v>3857.97</v>
      </c>
      <c r="E3630" t="s">
        <v>59</v>
      </c>
    </row>
    <row r="3631" spans="1:5">
      <c r="A3631" t="s">
        <v>34</v>
      </c>
      <c r="B3631" s="11" t="s">
        <v>72</v>
      </c>
      <c r="C3631">
        <v>3002</v>
      </c>
      <c r="D3631" s="9">
        <v>4553.43</v>
      </c>
      <c r="E3631" t="s">
        <v>59</v>
      </c>
    </row>
    <row r="3632" spans="1:5">
      <c r="A3632" t="s">
        <v>34</v>
      </c>
      <c r="B3632" s="11" t="s">
        <v>78</v>
      </c>
      <c r="C3632">
        <v>3002</v>
      </c>
      <c r="D3632" s="9">
        <v>3536.57</v>
      </c>
      <c r="E3632" t="s">
        <v>59</v>
      </c>
    </row>
    <row r="3633" spans="1:5">
      <c r="A3633" t="s">
        <v>34</v>
      </c>
      <c r="B3633" s="11" t="s">
        <v>73</v>
      </c>
      <c r="C3633">
        <v>3002</v>
      </c>
      <c r="D3633" s="9">
        <v>3407.61</v>
      </c>
      <c r="E3633" t="s">
        <v>60</v>
      </c>
    </row>
    <row r="3634" spans="1:5">
      <c r="A3634" t="s">
        <v>34</v>
      </c>
      <c r="B3634" s="11" t="s">
        <v>74</v>
      </c>
      <c r="C3634">
        <v>3002</v>
      </c>
      <c r="D3634" s="9">
        <v>3698.76</v>
      </c>
      <c r="E3634" t="s">
        <v>60</v>
      </c>
    </row>
    <row r="3635" spans="1:5">
      <c r="A3635" t="s">
        <v>35</v>
      </c>
      <c r="B3635" s="11" t="s">
        <v>61</v>
      </c>
      <c r="C3635">
        <v>3002</v>
      </c>
      <c r="D3635" s="9">
        <v>4213.3900000000003</v>
      </c>
      <c r="E3635" t="s">
        <v>56</v>
      </c>
    </row>
    <row r="3636" spans="1:5">
      <c r="A3636" t="s">
        <v>35</v>
      </c>
      <c r="B3636" s="11" t="s">
        <v>62</v>
      </c>
      <c r="C3636">
        <v>3002</v>
      </c>
      <c r="D3636" s="9">
        <v>3047.26</v>
      </c>
      <c r="E3636" t="s">
        <v>56</v>
      </c>
    </row>
    <row r="3637" spans="1:5">
      <c r="A3637" t="s">
        <v>35</v>
      </c>
      <c r="B3637" s="11" t="s">
        <v>63</v>
      </c>
      <c r="C3637">
        <v>3002</v>
      </c>
      <c r="D3637" s="9">
        <v>3690.89</v>
      </c>
      <c r="E3637" t="s">
        <v>56</v>
      </c>
    </row>
    <row r="3638" spans="1:5">
      <c r="A3638" t="s">
        <v>35</v>
      </c>
      <c r="B3638" s="11" t="s">
        <v>75</v>
      </c>
      <c r="C3638">
        <v>3002</v>
      </c>
      <c r="D3638" s="9">
        <v>3859.56</v>
      </c>
      <c r="E3638" t="s">
        <v>56</v>
      </c>
    </row>
    <row r="3639" spans="1:5">
      <c r="A3639" t="s">
        <v>35</v>
      </c>
      <c r="B3639" s="11" t="s">
        <v>64</v>
      </c>
      <c r="C3639">
        <v>3002</v>
      </c>
      <c r="D3639" s="9">
        <v>4694.01</v>
      </c>
      <c r="E3639" t="s">
        <v>57</v>
      </c>
    </row>
    <row r="3640" spans="1:5">
      <c r="A3640" t="s">
        <v>35</v>
      </c>
      <c r="B3640" s="11" t="s">
        <v>65</v>
      </c>
      <c r="C3640">
        <v>3002</v>
      </c>
      <c r="D3640" s="9">
        <v>3014.57</v>
      </c>
      <c r="E3640" t="s">
        <v>57</v>
      </c>
    </row>
    <row r="3641" spans="1:5">
      <c r="A3641" t="s">
        <v>35</v>
      </c>
      <c r="B3641" s="11" t="s">
        <v>66</v>
      </c>
      <c r="C3641">
        <v>3002</v>
      </c>
      <c r="D3641" s="9">
        <v>6783.59</v>
      </c>
      <c r="E3641" t="s">
        <v>57</v>
      </c>
    </row>
    <row r="3642" spans="1:5">
      <c r="A3642" t="s">
        <v>35</v>
      </c>
      <c r="B3642" s="11" t="s">
        <v>67</v>
      </c>
      <c r="C3642">
        <v>3002</v>
      </c>
      <c r="D3642" s="9">
        <v>3225.73</v>
      </c>
      <c r="E3642" t="s">
        <v>57</v>
      </c>
    </row>
    <row r="3643" spans="1:5">
      <c r="A3643" t="s">
        <v>35</v>
      </c>
      <c r="B3643" s="11" t="s">
        <v>76</v>
      </c>
      <c r="C3643">
        <v>3002</v>
      </c>
      <c r="D3643" s="9">
        <v>1721.58</v>
      </c>
      <c r="E3643" t="s">
        <v>57</v>
      </c>
    </row>
    <row r="3644" spans="1:5">
      <c r="A3644" t="s">
        <v>35</v>
      </c>
      <c r="B3644" s="11" t="s">
        <v>68</v>
      </c>
      <c r="C3644">
        <v>3002</v>
      </c>
      <c r="D3644" s="9">
        <v>2465.4699999999998</v>
      </c>
      <c r="E3644" t="s">
        <v>58</v>
      </c>
    </row>
    <row r="3645" spans="1:5">
      <c r="A3645" t="s">
        <v>35</v>
      </c>
      <c r="B3645" s="11" t="s">
        <v>69</v>
      </c>
      <c r="C3645">
        <v>3002</v>
      </c>
      <c r="D3645" s="9">
        <v>2406.33</v>
      </c>
      <c r="E3645" t="s">
        <v>58</v>
      </c>
    </row>
    <row r="3646" spans="1:5">
      <c r="A3646" t="s">
        <v>35</v>
      </c>
      <c r="B3646" s="11" t="s">
        <v>77</v>
      </c>
      <c r="C3646">
        <v>3002</v>
      </c>
      <c r="D3646" s="9">
        <v>4042.12</v>
      </c>
      <c r="E3646" t="s">
        <v>58</v>
      </c>
    </row>
    <row r="3647" spans="1:5">
      <c r="A3647" t="s">
        <v>35</v>
      </c>
      <c r="B3647" s="11" t="s">
        <v>70</v>
      </c>
      <c r="C3647">
        <v>3002</v>
      </c>
      <c r="D3647" s="9">
        <v>2984.3</v>
      </c>
      <c r="E3647" t="s">
        <v>59</v>
      </c>
    </row>
    <row r="3648" spans="1:5">
      <c r="A3648" t="s">
        <v>35</v>
      </c>
      <c r="B3648" s="11" t="s">
        <v>71</v>
      </c>
      <c r="C3648">
        <v>3002</v>
      </c>
      <c r="D3648" s="9">
        <v>5370.36</v>
      </c>
      <c r="E3648" t="s">
        <v>59</v>
      </c>
    </row>
    <row r="3649" spans="1:5">
      <c r="A3649" t="s">
        <v>35</v>
      </c>
      <c r="B3649" s="11" t="s">
        <v>72</v>
      </c>
      <c r="C3649">
        <v>3002</v>
      </c>
      <c r="D3649" s="9">
        <v>6147.6</v>
      </c>
      <c r="E3649" t="s">
        <v>59</v>
      </c>
    </row>
    <row r="3650" spans="1:5">
      <c r="A3650" t="s">
        <v>35</v>
      </c>
      <c r="B3650" s="11" t="s">
        <v>78</v>
      </c>
      <c r="C3650">
        <v>3002</v>
      </c>
      <c r="D3650" s="9">
        <v>3005.38</v>
      </c>
      <c r="E3650" t="s">
        <v>59</v>
      </c>
    </row>
    <row r="3651" spans="1:5">
      <c r="A3651" t="s">
        <v>35</v>
      </c>
      <c r="B3651" s="11" t="s">
        <v>73</v>
      </c>
      <c r="C3651">
        <v>3002</v>
      </c>
      <c r="D3651" s="9">
        <v>4813.71</v>
      </c>
      <c r="E3651" t="s">
        <v>60</v>
      </c>
    </row>
    <row r="3652" spans="1:5">
      <c r="A3652" t="s">
        <v>35</v>
      </c>
      <c r="B3652" s="11" t="s">
        <v>74</v>
      </c>
      <c r="C3652">
        <v>3002</v>
      </c>
      <c r="D3652" s="9">
        <v>2893.73</v>
      </c>
      <c r="E3652" t="s">
        <v>60</v>
      </c>
    </row>
    <row r="3653" spans="1:5">
      <c r="A3653" t="s">
        <v>36</v>
      </c>
      <c r="B3653" s="11" t="s">
        <v>61</v>
      </c>
      <c r="C3653">
        <v>3002</v>
      </c>
      <c r="D3653" s="9">
        <v>3616.09</v>
      </c>
      <c r="E3653" t="s">
        <v>56</v>
      </c>
    </row>
    <row r="3654" spans="1:5">
      <c r="A3654" t="s">
        <v>36</v>
      </c>
      <c r="B3654" s="11" t="s">
        <v>62</v>
      </c>
      <c r="C3654">
        <v>3002</v>
      </c>
      <c r="D3654" s="9">
        <v>2043.91</v>
      </c>
      <c r="E3654" t="s">
        <v>56</v>
      </c>
    </row>
    <row r="3655" spans="1:5">
      <c r="A3655" t="s">
        <v>36</v>
      </c>
      <c r="B3655" s="11" t="s">
        <v>63</v>
      </c>
      <c r="C3655">
        <v>3002</v>
      </c>
      <c r="D3655" s="9">
        <v>2675.97</v>
      </c>
      <c r="E3655" t="s">
        <v>56</v>
      </c>
    </row>
    <row r="3656" spans="1:5">
      <c r="A3656" t="s">
        <v>36</v>
      </c>
      <c r="B3656" s="11" t="s">
        <v>75</v>
      </c>
      <c r="C3656">
        <v>3002</v>
      </c>
      <c r="D3656" s="9">
        <v>3124.39</v>
      </c>
      <c r="E3656" t="s">
        <v>56</v>
      </c>
    </row>
    <row r="3657" spans="1:5">
      <c r="A3657" t="s">
        <v>36</v>
      </c>
      <c r="B3657" s="11" t="s">
        <v>64</v>
      </c>
      <c r="C3657">
        <v>3002</v>
      </c>
      <c r="D3657" s="9">
        <v>2683.88</v>
      </c>
      <c r="E3657" t="s">
        <v>57</v>
      </c>
    </row>
    <row r="3658" spans="1:5">
      <c r="A3658" t="s">
        <v>36</v>
      </c>
      <c r="B3658" s="11" t="s">
        <v>65</v>
      </c>
      <c r="C3658">
        <v>3002</v>
      </c>
      <c r="D3658" s="9">
        <v>1683.07</v>
      </c>
      <c r="E3658" t="s">
        <v>57</v>
      </c>
    </row>
    <row r="3659" spans="1:5">
      <c r="A3659" t="s">
        <v>36</v>
      </c>
      <c r="B3659" s="11" t="s">
        <v>66</v>
      </c>
      <c r="C3659">
        <v>3002</v>
      </c>
      <c r="D3659" s="9">
        <v>6502.16</v>
      </c>
      <c r="E3659" t="s">
        <v>57</v>
      </c>
    </row>
    <row r="3660" spans="1:5">
      <c r="A3660" t="s">
        <v>36</v>
      </c>
      <c r="B3660" s="11" t="s">
        <v>67</v>
      </c>
      <c r="C3660">
        <v>3002</v>
      </c>
      <c r="D3660" s="9">
        <v>2309.96</v>
      </c>
      <c r="E3660" t="s">
        <v>57</v>
      </c>
    </row>
    <row r="3661" spans="1:5">
      <c r="A3661" t="s">
        <v>36</v>
      </c>
      <c r="B3661" s="11" t="s">
        <v>76</v>
      </c>
      <c r="C3661">
        <v>3002</v>
      </c>
      <c r="D3661" s="9">
        <v>1617.47</v>
      </c>
      <c r="E3661" t="s">
        <v>57</v>
      </c>
    </row>
    <row r="3662" spans="1:5">
      <c r="A3662" t="s">
        <v>36</v>
      </c>
      <c r="B3662" s="11" t="s">
        <v>68</v>
      </c>
      <c r="C3662">
        <v>3002</v>
      </c>
      <c r="D3662" s="9">
        <v>3162.26</v>
      </c>
      <c r="E3662" t="s">
        <v>58</v>
      </c>
    </row>
    <row r="3663" spans="1:5">
      <c r="A3663" t="s">
        <v>36</v>
      </c>
      <c r="B3663" s="11" t="s">
        <v>69</v>
      </c>
      <c r="C3663">
        <v>3002</v>
      </c>
      <c r="D3663" s="9">
        <v>1825.72</v>
      </c>
      <c r="E3663" t="s">
        <v>58</v>
      </c>
    </row>
    <row r="3664" spans="1:5">
      <c r="A3664" t="s">
        <v>36</v>
      </c>
      <c r="B3664" s="11" t="s">
        <v>77</v>
      </c>
      <c r="C3664">
        <v>3002</v>
      </c>
      <c r="D3664" s="9">
        <v>3826.56</v>
      </c>
      <c r="E3664" t="s">
        <v>58</v>
      </c>
    </row>
    <row r="3665" spans="1:5">
      <c r="A3665" t="s">
        <v>36</v>
      </c>
      <c r="B3665" s="11" t="s">
        <v>70</v>
      </c>
      <c r="C3665">
        <v>3002</v>
      </c>
      <c r="D3665" s="9">
        <v>2603.77</v>
      </c>
      <c r="E3665" t="s">
        <v>59</v>
      </c>
    </row>
    <row r="3666" spans="1:5">
      <c r="A3666" t="s">
        <v>36</v>
      </c>
      <c r="B3666" s="11" t="s">
        <v>71</v>
      </c>
      <c r="C3666">
        <v>3002</v>
      </c>
      <c r="D3666" s="9">
        <v>3573.64</v>
      </c>
      <c r="E3666" t="s">
        <v>59</v>
      </c>
    </row>
    <row r="3667" spans="1:5">
      <c r="A3667" t="s">
        <v>36</v>
      </c>
      <c r="B3667" s="11" t="s">
        <v>72</v>
      </c>
      <c r="C3667">
        <v>3002</v>
      </c>
      <c r="D3667" s="9">
        <v>5949.39</v>
      </c>
      <c r="E3667" t="s">
        <v>59</v>
      </c>
    </row>
    <row r="3668" spans="1:5">
      <c r="A3668" t="s">
        <v>36</v>
      </c>
      <c r="B3668" s="11" t="s">
        <v>78</v>
      </c>
      <c r="C3668">
        <v>3002</v>
      </c>
      <c r="D3668" s="9">
        <v>2363.5</v>
      </c>
      <c r="E3668" t="s">
        <v>59</v>
      </c>
    </row>
    <row r="3669" spans="1:5">
      <c r="A3669" t="s">
        <v>36</v>
      </c>
      <c r="B3669" s="11" t="s">
        <v>73</v>
      </c>
      <c r="C3669">
        <v>3002</v>
      </c>
      <c r="D3669" s="9">
        <v>3645.95</v>
      </c>
      <c r="E3669" t="s">
        <v>60</v>
      </c>
    </row>
    <row r="3670" spans="1:5">
      <c r="A3670" t="s">
        <v>36</v>
      </c>
      <c r="B3670" s="11" t="s">
        <v>74</v>
      </c>
      <c r="C3670">
        <v>3002</v>
      </c>
      <c r="D3670" s="9">
        <v>5013.13</v>
      </c>
      <c r="E3670" t="s">
        <v>60</v>
      </c>
    </row>
    <row r="3671" spans="1:5">
      <c r="A3671" t="s">
        <v>37</v>
      </c>
      <c r="B3671" s="11" t="s">
        <v>61</v>
      </c>
      <c r="C3671">
        <v>3002</v>
      </c>
      <c r="D3671" s="9">
        <v>3973.91</v>
      </c>
      <c r="E3671" t="s">
        <v>56</v>
      </c>
    </row>
    <row r="3672" spans="1:5">
      <c r="A3672" t="s">
        <v>37</v>
      </c>
      <c r="B3672" s="11" t="s">
        <v>62</v>
      </c>
      <c r="C3672">
        <v>3002</v>
      </c>
      <c r="D3672" s="9">
        <v>1802.37</v>
      </c>
      <c r="E3672" t="s">
        <v>56</v>
      </c>
    </row>
    <row r="3673" spans="1:5">
      <c r="A3673" t="s">
        <v>37</v>
      </c>
      <c r="B3673" s="11" t="s">
        <v>63</v>
      </c>
      <c r="C3673">
        <v>3002</v>
      </c>
      <c r="D3673" s="9">
        <v>4391</v>
      </c>
      <c r="E3673" t="s">
        <v>56</v>
      </c>
    </row>
    <row r="3674" spans="1:5">
      <c r="A3674" t="s">
        <v>37</v>
      </c>
      <c r="B3674" s="11" t="s">
        <v>75</v>
      </c>
      <c r="C3674">
        <v>3002</v>
      </c>
      <c r="D3674" s="9">
        <v>4950.49</v>
      </c>
      <c r="E3674" t="s">
        <v>56</v>
      </c>
    </row>
    <row r="3675" spans="1:5">
      <c r="A3675" t="s">
        <v>37</v>
      </c>
      <c r="B3675" s="11" t="s">
        <v>64</v>
      </c>
      <c r="C3675">
        <v>3002</v>
      </c>
      <c r="D3675" s="9">
        <v>3423.84</v>
      </c>
      <c r="E3675" t="s">
        <v>57</v>
      </c>
    </row>
    <row r="3676" spans="1:5">
      <c r="A3676" t="s">
        <v>37</v>
      </c>
      <c r="B3676" s="11" t="s">
        <v>65</v>
      </c>
      <c r="C3676">
        <v>3002</v>
      </c>
      <c r="D3676" s="9">
        <v>1719.17</v>
      </c>
      <c r="E3676" t="s">
        <v>57</v>
      </c>
    </row>
    <row r="3677" spans="1:5">
      <c r="A3677" t="s">
        <v>37</v>
      </c>
      <c r="B3677" s="11" t="s">
        <v>66</v>
      </c>
      <c r="C3677">
        <v>3002</v>
      </c>
      <c r="D3677" s="9">
        <v>4618.93</v>
      </c>
      <c r="E3677" t="s">
        <v>57</v>
      </c>
    </row>
    <row r="3678" spans="1:5">
      <c r="A3678" t="s">
        <v>37</v>
      </c>
      <c r="B3678" s="11" t="s">
        <v>67</v>
      </c>
      <c r="C3678">
        <v>3002</v>
      </c>
      <c r="D3678" s="9">
        <v>2155.3000000000002</v>
      </c>
      <c r="E3678" t="s">
        <v>57</v>
      </c>
    </row>
    <row r="3679" spans="1:5">
      <c r="A3679" t="s">
        <v>37</v>
      </c>
      <c r="B3679" s="11" t="s">
        <v>76</v>
      </c>
      <c r="C3679">
        <v>3002</v>
      </c>
      <c r="D3679" s="9">
        <v>1495.4</v>
      </c>
      <c r="E3679" t="s">
        <v>57</v>
      </c>
    </row>
    <row r="3680" spans="1:5">
      <c r="A3680" t="s">
        <v>37</v>
      </c>
      <c r="B3680" s="11" t="s">
        <v>68</v>
      </c>
      <c r="C3680">
        <v>3002</v>
      </c>
      <c r="D3680" s="9">
        <v>3212.73</v>
      </c>
      <c r="E3680" t="s">
        <v>58</v>
      </c>
    </row>
    <row r="3681" spans="1:5">
      <c r="A3681" t="s">
        <v>37</v>
      </c>
      <c r="B3681" s="11" t="s">
        <v>69</v>
      </c>
      <c r="C3681">
        <v>3002</v>
      </c>
      <c r="D3681" s="9">
        <v>3329.6</v>
      </c>
      <c r="E3681" t="s">
        <v>58</v>
      </c>
    </row>
    <row r="3682" spans="1:5">
      <c r="A3682" t="s">
        <v>37</v>
      </c>
      <c r="B3682" s="11" t="s">
        <v>77</v>
      </c>
      <c r="C3682">
        <v>3002</v>
      </c>
      <c r="D3682" s="9">
        <v>3019.65</v>
      </c>
      <c r="E3682" t="s">
        <v>58</v>
      </c>
    </row>
    <row r="3683" spans="1:5">
      <c r="A3683" t="s">
        <v>37</v>
      </c>
      <c r="B3683" s="11" t="s">
        <v>70</v>
      </c>
      <c r="C3683">
        <v>3002</v>
      </c>
      <c r="D3683" s="9">
        <v>2928.2</v>
      </c>
      <c r="E3683" t="s">
        <v>59</v>
      </c>
    </row>
    <row r="3684" spans="1:5">
      <c r="A3684" t="s">
        <v>37</v>
      </c>
      <c r="B3684" s="11" t="s">
        <v>71</v>
      </c>
      <c r="C3684">
        <v>3002</v>
      </c>
      <c r="D3684" s="9">
        <v>4433.37</v>
      </c>
      <c r="E3684" t="s">
        <v>59</v>
      </c>
    </row>
    <row r="3685" spans="1:5">
      <c r="A3685" t="s">
        <v>37</v>
      </c>
      <c r="B3685" s="11" t="s">
        <v>72</v>
      </c>
      <c r="C3685">
        <v>3002</v>
      </c>
      <c r="D3685" s="9">
        <v>3753.33</v>
      </c>
      <c r="E3685" t="s">
        <v>59</v>
      </c>
    </row>
    <row r="3686" spans="1:5">
      <c r="A3686" t="s">
        <v>37</v>
      </c>
      <c r="B3686" s="11" t="s">
        <v>78</v>
      </c>
      <c r="C3686">
        <v>3002</v>
      </c>
      <c r="D3686" s="9">
        <v>2251.6799999999998</v>
      </c>
      <c r="E3686" t="s">
        <v>59</v>
      </c>
    </row>
    <row r="3687" spans="1:5">
      <c r="A3687" t="s">
        <v>37</v>
      </c>
      <c r="B3687" s="11" t="s">
        <v>73</v>
      </c>
      <c r="C3687">
        <v>3002</v>
      </c>
      <c r="D3687" s="9">
        <v>3608.99</v>
      </c>
      <c r="E3687" t="s">
        <v>60</v>
      </c>
    </row>
    <row r="3688" spans="1:5">
      <c r="A3688" t="s">
        <v>37</v>
      </c>
      <c r="B3688" s="11" t="s">
        <v>74</v>
      </c>
      <c r="C3688">
        <v>3002</v>
      </c>
      <c r="D3688" s="9">
        <v>3072.92</v>
      </c>
      <c r="E3688" t="s">
        <v>60</v>
      </c>
    </row>
    <row r="3689" spans="1:5">
      <c r="A3689" t="s">
        <v>38</v>
      </c>
      <c r="B3689" s="11" t="s">
        <v>61</v>
      </c>
      <c r="C3689">
        <v>3002</v>
      </c>
      <c r="D3689" s="9">
        <v>4021.79</v>
      </c>
      <c r="E3689" t="s">
        <v>56</v>
      </c>
    </row>
    <row r="3690" spans="1:5">
      <c r="A3690" t="s">
        <v>38</v>
      </c>
      <c r="B3690" s="11" t="s">
        <v>62</v>
      </c>
      <c r="C3690">
        <v>3002</v>
      </c>
      <c r="D3690" s="9">
        <v>1692.24</v>
      </c>
      <c r="E3690" t="s">
        <v>56</v>
      </c>
    </row>
    <row r="3691" spans="1:5">
      <c r="A3691" t="s">
        <v>38</v>
      </c>
      <c r="B3691" s="11" t="s">
        <v>63</v>
      </c>
      <c r="C3691">
        <v>3002</v>
      </c>
      <c r="D3691" s="9">
        <v>3088.8</v>
      </c>
      <c r="E3691" t="s">
        <v>56</v>
      </c>
    </row>
    <row r="3692" spans="1:5">
      <c r="A3692" t="s">
        <v>38</v>
      </c>
      <c r="B3692" s="11" t="s">
        <v>75</v>
      </c>
      <c r="C3692">
        <v>3002</v>
      </c>
      <c r="D3692" s="9">
        <v>3828.07</v>
      </c>
      <c r="E3692" t="s">
        <v>56</v>
      </c>
    </row>
    <row r="3693" spans="1:5">
      <c r="A3693" t="s">
        <v>38</v>
      </c>
      <c r="B3693" s="11" t="s">
        <v>64</v>
      </c>
      <c r="C3693">
        <v>3002</v>
      </c>
      <c r="D3693" s="9">
        <v>3121.57</v>
      </c>
      <c r="E3693" t="s">
        <v>57</v>
      </c>
    </row>
    <row r="3694" spans="1:5">
      <c r="A3694" t="s">
        <v>38</v>
      </c>
      <c r="B3694" s="11" t="s">
        <v>65</v>
      </c>
      <c r="C3694">
        <v>3002</v>
      </c>
      <c r="D3694" s="9">
        <v>2346.38</v>
      </c>
      <c r="E3694" t="s">
        <v>57</v>
      </c>
    </row>
    <row r="3695" spans="1:5">
      <c r="A3695" t="s">
        <v>38</v>
      </c>
      <c r="B3695" s="11" t="s">
        <v>66</v>
      </c>
      <c r="C3695">
        <v>3002</v>
      </c>
      <c r="D3695" s="9">
        <v>5594.36</v>
      </c>
      <c r="E3695" t="s">
        <v>57</v>
      </c>
    </row>
    <row r="3696" spans="1:5">
      <c r="A3696" t="s">
        <v>38</v>
      </c>
      <c r="B3696" s="11" t="s">
        <v>67</v>
      </c>
      <c r="C3696">
        <v>3002</v>
      </c>
      <c r="D3696" s="9">
        <v>3072.06</v>
      </c>
      <c r="E3696" t="s">
        <v>57</v>
      </c>
    </row>
    <row r="3697" spans="1:5">
      <c r="A3697" t="s">
        <v>38</v>
      </c>
      <c r="B3697" s="11" t="s">
        <v>76</v>
      </c>
      <c r="C3697">
        <v>3002</v>
      </c>
      <c r="D3697" s="9">
        <v>1634.61</v>
      </c>
      <c r="E3697" t="s">
        <v>57</v>
      </c>
    </row>
    <row r="3698" spans="1:5">
      <c r="A3698" t="s">
        <v>38</v>
      </c>
      <c r="B3698" s="11" t="s">
        <v>68</v>
      </c>
      <c r="C3698">
        <v>3002</v>
      </c>
      <c r="D3698" s="9">
        <v>2775.32</v>
      </c>
      <c r="E3698" t="s">
        <v>58</v>
      </c>
    </row>
    <row r="3699" spans="1:5">
      <c r="A3699" t="s">
        <v>38</v>
      </c>
      <c r="B3699" s="11" t="s">
        <v>69</v>
      </c>
      <c r="C3699">
        <v>3002</v>
      </c>
      <c r="D3699" s="9">
        <v>2377</v>
      </c>
      <c r="E3699" t="s">
        <v>58</v>
      </c>
    </row>
    <row r="3700" spans="1:5">
      <c r="A3700" t="s">
        <v>38</v>
      </c>
      <c r="B3700" s="11" t="s">
        <v>77</v>
      </c>
      <c r="C3700">
        <v>3002</v>
      </c>
      <c r="D3700" s="9">
        <v>2184.83</v>
      </c>
      <c r="E3700" t="s">
        <v>58</v>
      </c>
    </row>
    <row r="3701" spans="1:5">
      <c r="A3701" t="s">
        <v>38</v>
      </c>
      <c r="B3701" s="11" t="s">
        <v>70</v>
      </c>
      <c r="C3701">
        <v>3002</v>
      </c>
      <c r="D3701" s="9">
        <v>3370.82</v>
      </c>
      <c r="E3701" t="s">
        <v>59</v>
      </c>
    </row>
    <row r="3702" spans="1:5">
      <c r="A3702" t="s">
        <v>38</v>
      </c>
      <c r="B3702" s="11" t="s">
        <v>71</v>
      </c>
      <c r="C3702">
        <v>3002</v>
      </c>
      <c r="D3702" s="9">
        <v>4876.24</v>
      </c>
      <c r="E3702" t="s">
        <v>59</v>
      </c>
    </row>
    <row r="3703" spans="1:5">
      <c r="A3703" t="s">
        <v>38</v>
      </c>
      <c r="B3703" s="11" t="s">
        <v>72</v>
      </c>
      <c r="C3703">
        <v>3002</v>
      </c>
      <c r="D3703" s="9">
        <v>4468.0200000000004</v>
      </c>
      <c r="E3703" t="s">
        <v>59</v>
      </c>
    </row>
    <row r="3704" spans="1:5">
      <c r="A3704" t="s">
        <v>38</v>
      </c>
      <c r="B3704" s="11" t="s">
        <v>78</v>
      </c>
      <c r="C3704">
        <v>3002</v>
      </c>
      <c r="D3704" s="9">
        <v>2672.19</v>
      </c>
      <c r="E3704" t="s">
        <v>59</v>
      </c>
    </row>
    <row r="3705" spans="1:5">
      <c r="A3705" t="s">
        <v>38</v>
      </c>
      <c r="B3705" s="11" t="s">
        <v>73</v>
      </c>
      <c r="C3705">
        <v>3002</v>
      </c>
      <c r="D3705" s="9">
        <v>5190.7700000000004</v>
      </c>
      <c r="E3705" t="s">
        <v>60</v>
      </c>
    </row>
    <row r="3706" spans="1:5">
      <c r="A3706" t="s">
        <v>38</v>
      </c>
      <c r="B3706" s="11" t="s">
        <v>74</v>
      </c>
      <c r="C3706">
        <v>3002</v>
      </c>
      <c r="D3706" s="9">
        <v>2849.58</v>
      </c>
      <c r="E3706" t="s">
        <v>60</v>
      </c>
    </row>
    <row r="3707" spans="1:5">
      <c r="A3707" t="s">
        <v>39</v>
      </c>
      <c r="B3707" s="11" t="s">
        <v>61</v>
      </c>
      <c r="C3707">
        <v>3002</v>
      </c>
      <c r="D3707" s="9">
        <v>3291.98</v>
      </c>
      <c r="E3707" t="s">
        <v>56</v>
      </c>
    </row>
    <row r="3708" spans="1:5">
      <c r="A3708" t="s">
        <v>39</v>
      </c>
      <c r="B3708" s="11" t="s">
        <v>62</v>
      </c>
      <c r="C3708">
        <v>3002</v>
      </c>
      <c r="D3708" s="9">
        <v>2118.1999999999998</v>
      </c>
      <c r="E3708" t="s">
        <v>56</v>
      </c>
    </row>
    <row r="3709" spans="1:5">
      <c r="A3709" t="s">
        <v>39</v>
      </c>
      <c r="B3709" s="11" t="s">
        <v>63</v>
      </c>
      <c r="C3709">
        <v>3002</v>
      </c>
      <c r="D3709" s="9">
        <v>3563.26</v>
      </c>
      <c r="E3709" t="s">
        <v>56</v>
      </c>
    </row>
    <row r="3710" spans="1:5">
      <c r="A3710" t="s">
        <v>39</v>
      </c>
      <c r="B3710" s="11" t="s">
        <v>75</v>
      </c>
      <c r="C3710">
        <v>3002</v>
      </c>
      <c r="D3710" s="9">
        <v>3701.92</v>
      </c>
      <c r="E3710" t="s">
        <v>56</v>
      </c>
    </row>
    <row r="3711" spans="1:5">
      <c r="A3711" t="s">
        <v>39</v>
      </c>
      <c r="B3711" s="11" t="s">
        <v>64</v>
      </c>
      <c r="C3711">
        <v>3002</v>
      </c>
      <c r="D3711" s="9">
        <v>3415.38</v>
      </c>
      <c r="E3711" t="s">
        <v>57</v>
      </c>
    </row>
    <row r="3712" spans="1:5">
      <c r="A3712" t="s">
        <v>39</v>
      </c>
      <c r="B3712" s="11" t="s">
        <v>65</v>
      </c>
      <c r="C3712">
        <v>3002</v>
      </c>
      <c r="D3712" s="9">
        <v>3840.93</v>
      </c>
      <c r="E3712" t="s">
        <v>57</v>
      </c>
    </row>
    <row r="3713" spans="1:5">
      <c r="A3713" t="s">
        <v>39</v>
      </c>
      <c r="B3713" s="11" t="s">
        <v>66</v>
      </c>
      <c r="C3713">
        <v>3002</v>
      </c>
      <c r="D3713" s="9">
        <v>3915.43</v>
      </c>
      <c r="E3713" t="s">
        <v>57</v>
      </c>
    </row>
    <row r="3714" spans="1:5">
      <c r="A3714" t="s">
        <v>39</v>
      </c>
      <c r="B3714" s="11" t="s">
        <v>67</v>
      </c>
      <c r="C3714">
        <v>3002</v>
      </c>
      <c r="D3714" s="9">
        <v>2513.9</v>
      </c>
      <c r="E3714" t="s">
        <v>57</v>
      </c>
    </row>
    <row r="3715" spans="1:5">
      <c r="A3715" t="s">
        <v>39</v>
      </c>
      <c r="B3715" s="11" t="s">
        <v>76</v>
      </c>
      <c r="C3715">
        <v>3002</v>
      </c>
      <c r="D3715" s="9">
        <v>1841.61</v>
      </c>
      <c r="E3715" t="s">
        <v>57</v>
      </c>
    </row>
    <row r="3716" spans="1:5">
      <c r="A3716" t="s">
        <v>39</v>
      </c>
      <c r="B3716" s="11" t="s">
        <v>68</v>
      </c>
      <c r="C3716">
        <v>3002</v>
      </c>
      <c r="D3716" s="9">
        <v>3227.41</v>
      </c>
      <c r="E3716" t="s">
        <v>58</v>
      </c>
    </row>
    <row r="3717" spans="1:5">
      <c r="A3717" t="s">
        <v>39</v>
      </c>
      <c r="B3717" s="11" t="s">
        <v>69</v>
      </c>
      <c r="C3717">
        <v>3002</v>
      </c>
      <c r="D3717" s="9">
        <v>3293.34</v>
      </c>
      <c r="E3717" t="s">
        <v>58</v>
      </c>
    </row>
    <row r="3718" spans="1:5">
      <c r="A3718" t="s">
        <v>39</v>
      </c>
      <c r="B3718" s="11" t="s">
        <v>77</v>
      </c>
      <c r="C3718">
        <v>3002</v>
      </c>
      <c r="D3718" s="9">
        <v>4578.1499999999996</v>
      </c>
      <c r="E3718" t="s">
        <v>58</v>
      </c>
    </row>
    <row r="3719" spans="1:5">
      <c r="A3719" t="s">
        <v>39</v>
      </c>
      <c r="B3719" s="11" t="s">
        <v>70</v>
      </c>
      <c r="C3719">
        <v>3002</v>
      </c>
      <c r="D3719" s="9">
        <v>3715.07</v>
      </c>
      <c r="E3719" t="s">
        <v>59</v>
      </c>
    </row>
    <row r="3720" spans="1:5">
      <c r="A3720" t="s">
        <v>39</v>
      </c>
      <c r="B3720" s="11" t="s">
        <v>71</v>
      </c>
      <c r="C3720">
        <v>3002</v>
      </c>
      <c r="D3720" s="9">
        <v>3761.99</v>
      </c>
      <c r="E3720" t="s">
        <v>59</v>
      </c>
    </row>
    <row r="3721" spans="1:5">
      <c r="A3721" t="s">
        <v>39</v>
      </c>
      <c r="B3721" s="11" t="s">
        <v>72</v>
      </c>
      <c r="C3721">
        <v>3002</v>
      </c>
      <c r="D3721" s="9">
        <v>6760.91</v>
      </c>
      <c r="E3721" t="s">
        <v>59</v>
      </c>
    </row>
    <row r="3722" spans="1:5">
      <c r="A3722" t="s">
        <v>39</v>
      </c>
      <c r="B3722" s="11" t="s">
        <v>78</v>
      </c>
      <c r="C3722">
        <v>3002</v>
      </c>
      <c r="D3722" s="9">
        <v>2895.87</v>
      </c>
      <c r="E3722" t="s">
        <v>59</v>
      </c>
    </row>
    <row r="3723" spans="1:5">
      <c r="A3723" t="s">
        <v>39</v>
      </c>
      <c r="B3723" s="11" t="s">
        <v>73</v>
      </c>
      <c r="C3723">
        <v>3002</v>
      </c>
      <c r="D3723" s="9">
        <v>3668.86</v>
      </c>
      <c r="E3723" t="s">
        <v>60</v>
      </c>
    </row>
    <row r="3724" spans="1:5">
      <c r="A3724" t="s">
        <v>39</v>
      </c>
      <c r="B3724" s="11" t="s">
        <v>74</v>
      </c>
      <c r="C3724">
        <v>3002</v>
      </c>
      <c r="D3724" s="9">
        <v>3013.07</v>
      </c>
      <c r="E3724" t="s">
        <v>60</v>
      </c>
    </row>
    <row r="3725" spans="1:5">
      <c r="A3725" t="s">
        <v>28</v>
      </c>
      <c r="B3725" s="11" t="s">
        <v>61</v>
      </c>
      <c r="C3725">
        <v>3003</v>
      </c>
      <c r="D3725" s="9">
        <v>2324.59</v>
      </c>
      <c r="E3725" t="s">
        <v>56</v>
      </c>
    </row>
    <row r="3726" spans="1:5">
      <c r="A3726" t="s">
        <v>28</v>
      </c>
      <c r="B3726" s="11" t="s">
        <v>62</v>
      </c>
      <c r="C3726">
        <v>3003</v>
      </c>
      <c r="D3726" s="9">
        <v>2525.21</v>
      </c>
      <c r="E3726" t="s">
        <v>56</v>
      </c>
    </row>
    <row r="3727" spans="1:5">
      <c r="A3727" t="s">
        <v>28</v>
      </c>
      <c r="B3727" s="11" t="s">
        <v>63</v>
      </c>
      <c r="C3727">
        <v>3003</v>
      </c>
      <c r="D3727" s="9">
        <v>2489.06</v>
      </c>
      <c r="E3727" t="s">
        <v>56</v>
      </c>
    </row>
    <row r="3728" spans="1:5">
      <c r="A3728" t="s">
        <v>28</v>
      </c>
      <c r="B3728" s="11" t="s">
        <v>64</v>
      </c>
      <c r="C3728">
        <v>3003</v>
      </c>
      <c r="D3728" s="9">
        <v>3126.59</v>
      </c>
      <c r="E3728" t="s">
        <v>57</v>
      </c>
    </row>
    <row r="3729" spans="1:5">
      <c r="A3729" t="s">
        <v>28</v>
      </c>
      <c r="B3729" s="11" t="s">
        <v>65</v>
      </c>
      <c r="C3729">
        <v>3003</v>
      </c>
      <c r="D3729" s="9">
        <v>2122.21</v>
      </c>
      <c r="E3729" t="s">
        <v>57</v>
      </c>
    </row>
    <row r="3730" spans="1:5">
      <c r="A3730" t="s">
        <v>28</v>
      </c>
      <c r="B3730" s="11" t="s">
        <v>66</v>
      </c>
      <c r="C3730">
        <v>3003</v>
      </c>
      <c r="D3730" s="9">
        <v>6683.16</v>
      </c>
      <c r="E3730" t="s">
        <v>57</v>
      </c>
    </row>
    <row r="3731" spans="1:5">
      <c r="A3731" t="s">
        <v>28</v>
      </c>
      <c r="B3731" s="11" t="s">
        <v>67</v>
      </c>
      <c r="C3731">
        <v>3003</v>
      </c>
      <c r="D3731" s="9">
        <v>1671.07</v>
      </c>
      <c r="E3731" t="s">
        <v>57</v>
      </c>
    </row>
    <row r="3732" spans="1:5">
      <c r="A3732" t="s">
        <v>28</v>
      </c>
      <c r="B3732" s="11" t="s">
        <v>76</v>
      </c>
      <c r="C3732">
        <v>3003</v>
      </c>
      <c r="D3732" s="9">
        <v>1533.84</v>
      </c>
      <c r="E3732" t="s">
        <v>57</v>
      </c>
    </row>
    <row r="3733" spans="1:5">
      <c r="A3733" t="s">
        <v>28</v>
      </c>
      <c r="B3733" s="11" t="s">
        <v>68</v>
      </c>
      <c r="C3733">
        <v>3003</v>
      </c>
      <c r="D3733" s="9">
        <v>2894.27</v>
      </c>
      <c r="E3733" t="s">
        <v>58</v>
      </c>
    </row>
    <row r="3734" spans="1:5">
      <c r="A3734" t="s">
        <v>28</v>
      </c>
      <c r="B3734" s="11" t="s">
        <v>69</v>
      </c>
      <c r="C3734">
        <v>3003</v>
      </c>
      <c r="D3734" s="9">
        <v>2298.91</v>
      </c>
      <c r="E3734" t="s">
        <v>58</v>
      </c>
    </row>
    <row r="3735" spans="1:5">
      <c r="A3735" t="s">
        <v>28</v>
      </c>
      <c r="B3735" s="11" t="s">
        <v>77</v>
      </c>
      <c r="C3735">
        <v>3003</v>
      </c>
      <c r="D3735" s="9">
        <v>3174.57</v>
      </c>
      <c r="E3735" t="s">
        <v>58</v>
      </c>
    </row>
    <row r="3736" spans="1:5">
      <c r="A3736" t="s">
        <v>28</v>
      </c>
      <c r="B3736" s="11" t="s">
        <v>70</v>
      </c>
      <c r="C3736">
        <v>3003</v>
      </c>
      <c r="D3736" s="9">
        <v>3297.99</v>
      </c>
      <c r="E3736" t="s">
        <v>59</v>
      </c>
    </row>
    <row r="3737" spans="1:5">
      <c r="A3737" t="s">
        <v>28</v>
      </c>
      <c r="B3737" s="11" t="s">
        <v>71</v>
      </c>
      <c r="C3737">
        <v>3003</v>
      </c>
      <c r="D3737" s="9">
        <v>3771.32</v>
      </c>
      <c r="E3737" t="s">
        <v>59</v>
      </c>
    </row>
    <row r="3738" spans="1:5">
      <c r="A3738" t="s">
        <v>28</v>
      </c>
      <c r="B3738" s="11" t="s">
        <v>72</v>
      </c>
      <c r="C3738">
        <v>3003</v>
      </c>
      <c r="D3738" s="9">
        <v>3191.22</v>
      </c>
      <c r="E3738" t="s">
        <v>59</v>
      </c>
    </row>
    <row r="3739" spans="1:5">
      <c r="A3739" t="s">
        <v>28</v>
      </c>
      <c r="B3739" s="11" t="s">
        <v>78</v>
      </c>
      <c r="C3739">
        <v>3003</v>
      </c>
      <c r="D3739" s="9">
        <v>4326.32</v>
      </c>
      <c r="E3739" t="s">
        <v>59</v>
      </c>
    </row>
    <row r="3740" spans="1:5">
      <c r="A3740" t="s">
        <v>28</v>
      </c>
      <c r="B3740" s="11" t="s">
        <v>73</v>
      </c>
      <c r="C3740">
        <v>3003</v>
      </c>
      <c r="D3740" s="9">
        <v>3305.85</v>
      </c>
      <c r="E3740" t="s">
        <v>60</v>
      </c>
    </row>
    <row r="3741" spans="1:5">
      <c r="A3741" t="s">
        <v>28</v>
      </c>
      <c r="B3741" s="11" t="s">
        <v>74</v>
      </c>
      <c r="C3741">
        <v>3003</v>
      </c>
      <c r="D3741" s="9">
        <v>3559.18</v>
      </c>
      <c r="E3741" t="s">
        <v>60</v>
      </c>
    </row>
    <row r="3742" spans="1:5">
      <c r="A3742" t="s">
        <v>29</v>
      </c>
      <c r="B3742" s="11" t="s">
        <v>61</v>
      </c>
      <c r="C3742">
        <v>3003</v>
      </c>
      <c r="D3742" s="9">
        <v>3523.8</v>
      </c>
      <c r="E3742" t="s">
        <v>56</v>
      </c>
    </row>
    <row r="3743" spans="1:5">
      <c r="A3743" t="s">
        <v>29</v>
      </c>
      <c r="B3743" s="11" t="s">
        <v>62</v>
      </c>
      <c r="C3743">
        <v>3003</v>
      </c>
      <c r="D3743" s="9">
        <v>2565.5100000000002</v>
      </c>
      <c r="E3743" t="s">
        <v>56</v>
      </c>
    </row>
    <row r="3744" spans="1:5">
      <c r="A3744" t="s">
        <v>29</v>
      </c>
      <c r="B3744" s="11" t="s">
        <v>63</v>
      </c>
      <c r="C3744">
        <v>3003</v>
      </c>
      <c r="D3744" s="9">
        <v>3502.25</v>
      </c>
      <c r="E3744" t="s">
        <v>56</v>
      </c>
    </row>
    <row r="3745" spans="1:5">
      <c r="A3745" t="s">
        <v>29</v>
      </c>
      <c r="B3745" s="11" t="s">
        <v>75</v>
      </c>
      <c r="C3745">
        <v>3003</v>
      </c>
      <c r="D3745" s="9">
        <v>3198.61</v>
      </c>
      <c r="E3745" t="s">
        <v>56</v>
      </c>
    </row>
    <row r="3746" spans="1:5">
      <c r="A3746" t="s">
        <v>29</v>
      </c>
      <c r="B3746" s="11" t="s">
        <v>64</v>
      </c>
      <c r="C3746">
        <v>3003</v>
      </c>
      <c r="D3746" s="9">
        <v>2838.48</v>
      </c>
      <c r="E3746" t="s">
        <v>57</v>
      </c>
    </row>
    <row r="3747" spans="1:5">
      <c r="A3747" t="s">
        <v>29</v>
      </c>
      <c r="B3747" s="11" t="s">
        <v>65</v>
      </c>
      <c r="C3747">
        <v>3003</v>
      </c>
      <c r="D3747" s="9">
        <v>3139.5</v>
      </c>
      <c r="E3747" t="s">
        <v>57</v>
      </c>
    </row>
    <row r="3748" spans="1:5">
      <c r="A3748" t="s">
        <v>29</v>
      </c>
      <c r="B3748" s="11" t="s">
        <v>66</v>
      </c>
      <c r="C3748">
        <v>3003</v>
      </c>
      <c r="D3748" s="9">
        <v>3553.52</v>
      </c>
      <c r="E3748" t="s">
        <v>57</v>
      </c>
    </row>
    <row r="3749" spans="1:5">
      <c r="A3749" t="s">
        <v>29</v>
      </c>
      <c r="B3749" s="11" t="s">
        <v>67</v>
      </c>
      <c r="C3749">
        <v>3003</v>
      </c>
      <c r="D3749" s="9">
        <v>2624.2</v>
      </c>
      <c r="E3749" t="s">
        <v>57</v>
      </c>
    </row>
    <row r="3750" spans="1:5">
      <c r="A3750" t="s">
        <v>29</v>
      </c>
      <c r="B3750" s="11" t="s">
        <v>76</v>
      </c>
      <c r="C3750">
        <v>3003</v>
      </c>
      <c r="D3750" s="9">
        <v>1187.0999999999999</v>
      </c>
      <c r="E3750" t="s">
        <v>57</v>
      </c>
    </row>
    <row r="3751" spans="1:5">
      <c r="A3751" t="s">
        <v>29</v>
      </c>
      <c r="B3751" s="11" t="s">
        <v>68</v>
      </c>
      <c r="C3751">
        <v>3003</v>
      </c>
      <c r="D3751" s="9">
        <v>3084.16</v>
      </c>
      <c r="E3751" t="s">
        <v>58</v>
      </c>
    </row>
    <row r="3752" spans="1:5">
      <c r="A3752" t="s">
        <v>29</v>
      </c>
      <c r="B3752" s="11" t="s">
        <v>69</v>
      </c>
      <c r="C3752">
        <v>3003</v>
      </c>
      <c r="D3752" s="9">
        <v>2256.67</v>
      </c>
      <c r="E3752" t="s">
        <v>58</v>
      </c>
    </row>
    <row r="3753" spans="1:5">
      <c r="A3753" t="s">
        <v>29</v>
      </c>
      <c r="B3753" s="11" t="s">
        <v>77</v>
      </c>
      <c r="C3753">
        <v>3003</v>
      </c>
      <c r="D3753" s="9">
        <v>4400.1099999999997</v>
      </c>
      <c r="E3753" t="s">
        <v>58</v>
      </c>
    </row>
    <row r="3754" spans="1:5">
      <c r="A3754" t="s">
        <v>29</v>
      </c>
      <c r="B3754" s="11" t="s">
        <v>70</v>
      </c>
      <c r="C3754">
        <v>3003</v>
      </c>
      <c r="D3754" s="9">
        <v>4540.45</v>
      </c>
      <c r="E3754" t="s">
        <v>59</v>
      </c>
    </row>
    <row r="3755" spans="1:5">
      <c r="A3755" t="s">
        <v>29</v>
      </c>
      <c r="B3755" s="11" t="s">
        <v>71</v>
      </c>
      <c r="C3755">
        <v>3003</v>
      </c>
      <c r="D3755" s="9">
        <v>2883.51</v>
      </c>
      <c r="E3755" t="s">
        <v>59</v>
      </c>
    </row>
    <row r="3756" spans="1:5">
      <c r="A3756" t="s">
        <v>29</v>
      </c>
      <c r="B3756" s="11" t="s">
        <v>72</v>
      </c>
      <c r="C3756">
        <v>3003</v>
      </c>
      <c r="D3756" s="9">
        <v>4277.5600000000004</v>
      </c>
      <c r="E3756" t="s">
        <v>59</v>
      </c>
    </row>
    <row r="3757" spans="1:5">
      <c r="A3757" t="s">
        <v>29</v>
      </c>
      <c r="B3757" s="11" t="s">
        <v>78</v>
      </c>
      <c r="C3757">
        <v>3003</v>
      </c>
      <c r="D3757" s="9">
        <v>2791.88</v>
      </c>
      <c r="E3757" t="s">
        <v>59</v>
      </c>
    </row>
    <row r="3758" spans="1:5">
      <c r="A3758" t="s">
        <v>29</v>
      </c>
      <c r="B3758" s="11" t="s">
        <v>73</v>
      </c>
      <c r="C3758">
        <v>3003</v>
      </c>
      <c r="D3758" s="9">
        <v>3296.5</v>
      </c>
      <c r="E3758" t="s">
        <v>60</v>
      </c>
    </row>
    <row r="3759" spans="1:5">
      <c r="A3759" t="s">
        <v>29</v>
      </c>
      <c r="B3759" s="11" t="s">
        <v>74</v>
      </c>
      <c r="C3759">
        <v>3003</v>
      </c>
      <c r="D3759" s="9">
        <v>4135.49</v>
      </c>
      <c r="E3759" t="s">
        <v>60</v>
      </c>
    </row>
    <row r="3760" spans="1:5">
      <c r="A3760" t="s">
        <v>30</v>
      </c>
      <c r="B3760" s="11" t="s">
        <v>61</v>
      </c>
      <c r="C3760">
        <v>3003</v>
      </c>
      <c r="D3760" s="9">
        <v>2224.21</v>
      </c>
      <c r="E3760" t="s">
        <v>56</v>
      </c>
    </row>
    <row r="3761" spans="1:5">
      <c r="A3761" t="s">
        <v>30</v>
      </c>
      <c r="B3761" s="11" t="s">
        <v>62</v>
      </c>
      <c r="C3761">
        <v>3003</v>
      </c>
      <c r="D3761" s="9">
        <v>1371.91</v>
      </c>
      <c r="E3761" t="s">
        <v>56</v>
      </c>
    </row>
    <row r="3762" spans="1:5">
      <c r="A3762" t="s">
        <v>30</v>
      </c>
      <c r="B3762" s="11" t="s">
        <v>63</v>
      </c>
      <c r="C3762">
        <v>3003</v>
      </c>
      <c r="D3762" s="9">
        <v>2911.45</v>
      </c>
      <c r="E3762" t="s">
        <v>56</v>
      </c>
    </row>
    <row r="3763" spans="1:5">
      <c r="A3763" t="s">
        <v>30</v>
      </c>
      <c r="B3763" s="11" t="s">
        <v>75</v>
      </c>
      <c r="C3763">
        <v>3003</v>
      </c>
      <c r="D3763" s="9">
        <v>2341.9499999999998</v>
      </c>
      <c r="E3763" t="s">
        <v>56</v>
      </c>
    </row>
    <row r="3764" spans="1:5">
      <c r="A3764" t="s">
        <v>30</v>
      </c>
      <c r="B3764" s="11" t="s">
        <v>64</v>
      </c>
      <c r="C3764">
        <v>3003</v>
      </c>
      <c r="D3764" s="9">
        <v>3030.14</v>
      </c>
      <c r="E3764" t="s">
        <v>57</v>
      </c>
    </row>
    <row r="3765" spans="1:5">
      <c r="A3765" t="s">
        <v>30</v>
      </c>
      <c r="B3765" s="11" t="s">
        <v>65</v>
      </c>
      <c r="C3765">
        <v>3003</v>
      </c>
      <c r="D3765" s="9">
        <v>1708.27</v>
      </c>
      <c r="E3765" t="s">
        <v>57</v>
      </c>
    </row>
    <row r="3766" spans="1:5">
      <c r="A3766" t="s">
        <v>30</v>
      </c>
      <c r="B3766" s="11" t="s">
        <v>66</v>
      </c>
      <c r="C3766">
        <v>3003</v>
      </c>
      <c r="D3766" s="9">
        <v>4141.29</v>
      </c>
      <c r="E3766" t="s">
        <v>57</v>
      </c>
    </row>
    <row r="3767" spans="1:5">
      <c r="A3767" t="s">
        <v>30</v>
      </c>
      <c r="B3767" s="11" t="s">
        <v>67</v>
      </c>
      <c r="C3767">
        <v>3003</v>
      </c>
      <c r="D3767" s="9">
        <v>2931.82</v>
      </c>
      <c r="E3767" t="s">
        <v>57</v>
      </c>
    </row>
    <row r="3768" spans="1:5">
      <c r="A3768" t="s">
        <v>30</v>
      </c>
      <c r="B3768" s="11" t="s">
        <v>76</v>
      </c>
      <c r="C3768">
        <v>3003</v>
      </c>
      <c r="D3768" s="9">
        <v>1005.6</v>
      </c>
      <c r="E3768" t="s">
        <v>57</v>
      </c>
    </row>
    <row r="3769" spans="1:5">
      <c r="A3769" t="s">
        <v>30</v>
      </c>
      <c r="B3769" s="11" t="s">
        <v>68</v>
      </c>
      <c r="C3769">
        <v>3003</v>
      </c>
      <c r="D3769" s="9">
        <v>2272.4</v>
      </c>
      <c r="E3769" t="s">
        <v>58</v>
      </c>
    </row>
    <row r="3770" spans="1:5">
      <c r="A3770" t="s">
        <v>30</v>
      </c>
      <c r="B3770" s="11" t="s">
        <v>69</v>
      </c>
      <c r="C3770">
        <v>3003</v>
      </c>
      <c r="D3770" s="9">
        <v>3060.62</v>
      </c>
      <c r="E3770" t="s">
        <v>58</v>
      </c>
    </row>
    <row r="3771" spans="1:5">
      <c r="A3771" t="s">
        <v>30</v>
      </c>
      <c r="B3771" s="11" t="s">
        <v>77</v>
      </c>
      <c r="C3771">
        <v>3003</v>
      </c>
      <c r="D3771" s="9">
        <v>2253.81</v>
      </c>
      <c r="E3771" t="s">
        <v>58</v>
      </c>
    </row>
    <row r="3772" spans="1:5">
      <c r="A3772" t="s">
        <v>30</v>
      </c>
      <c r="B3772" s="11" t="s">
        <v>70</v>
      </c>
      <c r="C3772">
        <v>3003</v>
      </c>
      <c r="D3772" s="9">
        <v>2829.06</v>
      </c>
      <c r="E3772" t="s">
        <v>59</v>
      </c>
    </row>
    <row r="3773" spans="1:5">
      <c r="A3773" t="s">
        <v>30</v>
      </c>
      <c r="B3773" s="11" t="s">
        <v>71</v>
      </c>
      <c r="C3773">
        <v>3003</v>
      </c>
      <c r="D3773" s="9">
        <v>3510.66</v>
      </c>
      <c r="E3773" t="s">
        <v>59</v>
      </c>
    </row>
    <row r="3774" spans="1:5">
      <c r="A3774" t="s">
        <v>30</v>
      </c>
      <c r="B3774" s="11" t="s">
        <v>72</v>
      </c>
      <c r="C3774">
        <v>3003</v>
      </c>
      <c r="D3774" s="9">
        <v>3270.81</v>
      </c>
      <c r="E3774" t="s">
        <v>59</v>
      </c>
    </row>
    <row r="3775" spans="1:5">
      <c r="A3775" t="s">
        <v>30</v>
      </c>
      <c r="B3775" s="11" t="s">
        <v>78</v>
      </c>
      <c r="C3775">
        <v>3003</v>
      </c>
      <c r="D3775" s="9">
        <v>3399.8</v>
      </c>
      <c r="E3775" t="s">
        <v>59</v>
      </c>
    </row>
    <row r="3776" spans="1:5">
      <c r="A3776" t="s">
        <v>30</v>
      </c>
      <c r="B3776" s="11" t="s">
        <v>73</v>
      </c>
      <c r="C3776">
        <v>3003</v>
      </c>
      <c r="D3776" s="9">
        <v>4006.55</v>
      </c>
      <c r="E3776" t="s">
        <v>60</v>
      </c>
    </row>
    <row r="3777" spans="1:5">
      <c r="A3777" t="s">
        <v>30</v>
      </c>
      <c r="B3777" s="11" t="s">
        <v>74</v>
      </c>
      <c r="C3777">
        <v>3003</v>
      </c>
      <c r="D3777" s="9">
        <v>4034.38</v>
      </c>
      <c r="E3777" t="s">
        <v>60</v>
      </c>
    </row>
    <row r="3778" spans="1:5">
      <c r="A3778" t="s">
        <v>31</v>
      </c>
      <c r="B3778" s="11" t="s">
        <v>61</v>
      </c>
      <c r="C3778">
        <v>3003</v>
      </c>
      <c r="D3778" s="9">
        <v>2733.71</v>
      </c>
      <c r="E3778" t="s">
        <v>56</v>
      </c>
    </row>
    <row r="3779" spans="1:5">
      <c r="A3779" t="s">
        <v>31</v>
      </c>
      <c r="B3779" s="11" t="s">
        <v>62</v>
      </c>
      <c r="C3779">
        <v>3003</v>
      </c>
      <c r="D3779" s="9">
        <v>1241.22</v>
      </c>
      <c r="E3779" t="s">
        <v>56</v>
      </c>
    </row>
    <row r="3780" spans="1:5">
      <c r="A3780" t="s">
        <v>31</v>
      </c>
      <c r="B3780" s="11" t="s">
        <v>63</v>
      </c>
      <c r="C3780">
        <v>3003</v>
      </c>
      <c r="D3780" s="9">
        <v>3786.8</v>
      </c>
      <c r="E3780" t="s">
        <v>56</v>
      </c>
    </row>
    <row r="3781" spans="1:5">
      <c r="A3781" t="s">
        <v>31</v>
      </c>
      <c r="B3781" s="11" t="s">
        <v>75</v>
      </c>
      <c r="C3781">
        <v>3003</v>
      </c>
      <c r="D3781" s="9">
        <v>3827.11</v>
      </c>
      <c r="E3781" t="s">
        <v>56</v>
      </c>
    </row>
    <row r="3782" spans="1:5">
      <c r="A3782" t="s">
        <v>31</v>
      </c>
      <c r="B3782" s="11" t="s">
        <v>64</v>
      </c>
      <c r="C3782">
        <v>3003</v>
      </c>
      <c r="D3782" s="9">
        <v>2601.6</v>
      </c>
      <c r="E3782" t="s">
        <v>57</v>
      </c>
    </row>
    <row r="3783" spans="1:5">
      <c r="A3783" t="s">
        <v>31</v>
      </c>
      <c r="B3783" s="11" t="s">
        <v>65</v>
      </c>
      <c r="C3783">
        <v>3003</v>
      </c>
      <c r="D3783" s="9">
        <v>2611.9499999999998</v>
      </c>
      <c r="E3783" t="s">
        <v>57</v>
      </c>
    </row>
    <row r="3784" spans="1:5">
      <c r="A3784" t="s">
        <v>31</v>
      </c>
      <c r="B3784" s="11" t="s">
        <v>66</v>
      </c>
      <c r="C3784">
        <v>3003</v>
      </c>
      <c r="D3784" s="9">
        <v>3393.63</v>
      </c>
      <c r="E3784" t="s">
        <v>57</v>
      </c>
    </row>
    <row r="3785" spans="1:5">
      <c r="A3785" t="s">
        <v>31</v>
      </c>
      <c r="B3785" s="11" t="s">
        <v>67</v>
      </c>
      <c r="C3785">
        <v>3003</v>
      </c>
      <c r="D3785" s="9">
        <v>2091.77</v>
      </c>
      <c r="E3785" t="s">
        <v>57</v>
      </c>
    </row>
    <row r="3786" spans="1:5">
      <c r="A3786" t="s">
        <v>31</v>
      </c>
      <c r="B3786" s="11" t="s">
        <v>76</v>
      </c>
      <c r="C3786">
        <v>3003</v>
      </c>
      <c r="D3786" s="9">
        <v>1323.88</v>
      </c>
      <c r="E3786" t="s">
        <v>57</v>
      </c>
    </row>
    <row r="3787" spans="1:5">
      <c r="A3787" t="s">
        <v>31</v>
      </c>
      <c r="B3787" s="11" t="s">
        <v>68</v>
      </c>
      <c r="C3787">
        <v>3003</v>
      </c>
      <c r="D3787" s="9">
        <v>3544.49</v>
      </c>
      <c r="E3787" t="s">
        <v>58</v>
      </c>
    </row>
    <row r="3788" spans="1:5">
      <c r="A3788" t="s">
        <v>31</v>
      </c>
      <c r="B3788" s="11" t="s">
        <v>69</v>
      </c>
      <c r="C3788">
        <v>3003</v>
      </c>
      <c r="D3788" s="9">
        <v>2575.48</v>
      </c>
      <c r="E3788" t="s">
        <v>58</v>
      </c>
    </row>
    <row r="3789" spans="1:5">
      <c r="A3789" t="s">
        <v>31</v>
      </c>
      <c r="B3789" s="11" t="s">
        <v>77</v>
      </c>
      <c r="C3789">
        <v>3003</v>
      </c>
      <c r="D3789" s="9">
        <v>3061.06</v>
      </c>
      <c r="E3789" t="s">
        <v>58</v>
      </c>
    </row>
    <row r="3790" spans="1:5">
      <c r="A3790" t="s">
        <v>31</v>
      </c>
      <c r="B3790" s="11" t="s">
        <v>70</v>
      </c>
      <c r="C3790">
        <v>3003</v>
      </c>
      <c r="D3790" s="9">
        <v>2544.2800000000002</v>
      </c>
      <c r="E3790" t="s">
        <v>59</v>
      </c>
    </row>
    <row r="3791" spans="1:5">
      <c r="A3791" t="s">
        <v>31</v>
      </c>
      <c r="B3791" s="11" t="s">
        <v>71</v>
      </c>
      <c r="C3791">
        <v>3003</v>
      </c>
      <c r="D3791" s="9">
        <v>2850.99</v>
      </c>
      <c r="E3791" t="s">
        <v>59</v>
      </c>
    </row>
    <row r="3792" spans="1:5">
      <c r="A3792" t="s">
        <v>31</v>
      </c>
      <c r="B3792" s="11" t="s">
        <v>72</v>
      </c>
      <c r="C3792">
        <v>3003</v>
      </c>
      <c r="D3792" s="9">
        <v>5365.55</v>
      </c>
      <c r="E3792" t="s">
        <v>59</v>
      </c>
    </row>
    <row r="3793" spans="1:5">
      <c r="A3793" t="s">
        <v>31</v>
      </c>
      <c r="B3793" s="11" t="s">
        <v>78</v>
      </c>
      <c r="C3793">
        <v>3003</v>
      </c>
      <c r="D3793" s="9">
        <v>2870.89</v>
      </c>
      <c r="E3793" t="s">
        <v>59</v>
      </c>
    </row>
    <row r="3794" spans="1:5">
      <c r="A3794" t="s">
        <v>31</v>
      </c>
      <c r="B3794" s="11" t="s">
        <v>73</v>
      </c>
      <c r="C3794">
        <v>3003</v>
      </c>
      <c r="D3794" s="9">
        <v>3990.33</v>
      </c>
      <c r="E3794" t="s">
        <v>60</v>
      </c>
    </row>
    <row r="3795" spans="1:5">
      <c r="A3795" t="s">
        <v>31</v>
      </c>
      <c r="B3795" s="11" t="s">
        <v>74</v>
      </c>
      <c r="C3795">
        <v>3003</v>
      </c>
      <c r="D3795" s="9">
        <v>4638.88</v>
      </c>
      <c r="E3795" t="s">
        <v>60</v>
      </c>
    </row>
    <row r="3796" spans="1:5">
      <c r="A3796" t="s">
        <v>32</v>
      </c>
      <c r="B3796" s="11" t="s">
        <v>61</v>
      </c>
      <c r="C3796">
        <v>3003</v>
      </c>
      <c r="D3796" s="9">
        <v>2136.58</v>
      </c>
      <c r="E3796" t="s">
        <v>56</v>
      </c>
    </row>
    <row r="3797" spans="1:5">
      <c r="A3797" t="s">
        <v>32</v>
      </c>
      <c r="B3797" s="11" t="s">
        <v>62</v>
      </c>
      <c r="C3797">
        <v>3003</v>
      </c>
      <c r="D3797" s="9">
        <v>1671.66</v>
      </c>
      <c r="E3797" t="s">
        <v>56</v>
      </c>
    </row>
    <row r="3798" spans="1:5">
      <c r="A3798" t="s">
        <v>32</v>
      </c>
      <c r="B3798" s="11" t="s">
        <v>63</v>
      </c>
      <c r="C3798">
        <v>3003</v>
      </c>
      <c r="D3798" s="9">
        <v>2895.83</v>
      </c>
      <c r="E3798" t="s">
        <v>56</v>
      </c>
    </row>
    <row r="3799" spans="1:5">
      <c r="A3799" t="s">
        <v>32</v>
      </c>
      <c r="B3799" s="11" t="s">
        <v>75</v>
      </c>
      <c r="C3799">
        <v>3003</v>
      </c>
      <c r="D3799" s="9">
        <v>2785.21</v>
      </c>
      <c r="E3799" t="s">
        <v>56</v>
      </c>
    </row>
    <row r="3800" spans="1:5">
      <c r="A3800" t="s">
        <v>32</v>
      </c>
      <c r="B3800" s="11" t="s">
        <v>64</v>
      </c>
      <c r="C3800">
        <v>3003</v>
      </c>
      <c r="D3800" s="9">
        <v>2386.0500000000002</v>
      </c>
      <c r="E3800" t="s">
        <v>57</v>
      </c>
    </row>
    <row r="3801" spans="1:5">
      <c r="A3801" t="s">
        <v>32</v>
      </c>
      <c r="B3801" s="11" t="s">
        <v>65</v>
      </c>
      <c r="C3801">
        <v>3003</v>
      </c>
      <c r="D3801" s="9">
        <v>1608.17</v>
      </c>
      <c r="E3801" t="s">
        <v>57</v>
      </c>
    </row>
    <row r="3802" spans="1:5">
      <c r="A3802" t="s">
        <v>32</v>
      </c>
      <c r="B3802" s="11" t="s">
        <v>66</v>
      </c>
      <c r="C3802">
        <v>3003</v>
      </c>
      <c r="D3802" s="9">
        <v>3723.47</v>
      </c>
      <c r="E3802" t="s">
        <v>57</v>
      </c>
    </row>
    <row r="3803" spans="1:5">
      <c r="A3803" t="s">
        <v>32</v>
      </c>
      <c r="B3803" s="11" t="s">
        <v>67</v>
      </c>
      <c r="C3803">
        <v>3003</v>
      </c>
      <c r="D3803" s="9">
        <v>1857.06</v>
      </c>
      <c r="E3803" t="s">
        <v>57</v>
      </c>
    </row>
    <row r="3804" spans="1:5">
      <c r="A3804" t="s">
        <v>32</v>
      </c>
      <c r="B3804" s="11" t="s">
        <v>76</v>
      </c>
      <c r="C3804">
        <v>3003</v>
      </c>
      <c r="D3804" s="9">
        <v>1353.42</v>
      </c>
      <c r="E3804" t="s">
        <v>57</v>
      </c>
    </row>
    <row r="3805" spans="1:5">
      <c r="A3805" t="s">
        <v>32</v>
      </c>
      <c r="B3805" s="11" t="s">
        <v>68</v>
      </c>
      <c r="C3805">
        <v>3003</v>
      </c>
      <c r="D3805" s="9">
        <v>3162.77</v>
      </c>
      <c r="E3805" t="s">
        <v>58</v>
      </c>
    </row>
    <row r="3806" spans="1:5">
      <c r="A3806" t="s">
        <v>32</v>
      </c>
      <c r="B3806" s="11" t="s">
        <v>69</v>
      </c>
      <c r="C3806">
        <v>3003</v>
      </c>
      <c r="D3806" s="9">
        <v>2613.4899999999998</v>
      </c>
      <c r="E3806" t="s">
        <v>58</v>
      </c>
    </row>
    <row r="3807" spans="1:5">
      <c r="A3807" t="s">
        <v>32</v>
      </c>
      <c r="B3807" s="11" t="s">
        <v>77</v>
      </c>
      <c r="C3807">
        <v>3003</v>
      </c>
      <c r="D3807" s="9">
        <v>2341.15</v>
      </c>
      <c r="E3807" t="s">
        <v>58</v>
      </c>
    </row>
    <row r="3808" spans="1:5">
      <c r="A3808" t="s">
        <v>32</v>
      </c>
      <c r="B3808" s="11" t="s">
        <v>70</v>
      </c>
      <c r="C3808">
        <v>3003</v>
      </c>
      <c r="D3808" s="9">
        <v>2235.88</v>
      </c>
      <c r="E3808" t="s">
        <v>59</v>
      </c>
    </row>
    <row r="3809" spans="1:5">
      <c r="A3809" t="s">
        <v>32</v>
      </c>
      <c r="B3809" s="11" t="s">
        <v>71</v>
      </c>
      <c r="C3809">
        <v>3003</v>
      </c>
      <c r="D3809" s="9">
        <v>2916.71</v>
      </c>
      <c r="E3809" t="s">
        <v>59</v>
      </c>
    </row>
    <row r="3810" spans="1:5">
      <c r="A3810" t="s">
        <v>32</v>
      </c>
      <c r="B3810" s="11" t="s">
        <v>72</v>
      </c>
      <c r="C3810">
        <v>3003</v>
      </c>
      <c r="D3810" s="9">
        <v>5316.39</v>
      </c>
      <c r="E3810" t="s">
        <v>59</v>
      </c>
    </row>
    <row r="3811" spans="1:5">
      <c r="A3811" t="s">
        <v>32</v>
      </c>
      <c r="B3811" s="11" t="s">
        <v>78</v>
      </c>
      <c r="C3811">
        <v>3003</v>
      </c>
      <c r="D3811" s="9">
        <v>2276.31</v>
      </c>
      <c r="E3811" t="s">
        <v>59</v>
      </c>
    </row>
    <row r="3812" spans="1:5">
      <c r="A3812" t="s">
        <v>32</v>
      </c>
      <c r="B3812" s="11" t="s">
        <v>73</v>
      </c>
      <c r="C3812">
        <v>3003</v>
      </c>
      <c r="D3812" s="9">
        <v>4100.4799999999996</v>
      </c>
      <c r="E3812" t="s">
        <v>60</v>
      </c>
    </row>
    <row r="3813" spans="1:5">
      <c r="A3813" t="s">
        <v>32</v>
      </c>
      <c r="B3813" s="11" t="s">
        <v>74</v>
      </c>
      <c r="C3813">
        <v>3003</v>
      </c>
      <c r="D3813" s="9">
        <v>2124.61</v>
      </c>
      <c r="E3813" t="s">
        <v>60</v>
      </c>
    </row>
    <row r="3814" spans="1:5">
      <c r="A3814" t="s">
        <v>33</v>
      </c>
      <c r="B3814" s="11" t="s">
        <v>61</v>
      </c>
      <c r="C3814">
        <v>3003</v>
      </c>
      <c r="D3814" s="9">
        <v>4434.75</v>
      </c>
      <c r="E3814" t="s">
        <v>56</v>
      </c>
    </row>
    <row r="3815" spans="1:5">
      <c r="A3815" t="s">
        <v>33</v>
      </c>
      <c r="B3815" s="11" t="s">
        <v>62</v>
      </c>
      <c r="C3815">
        <v>3003</v>
      </c>
      <c r="D3815" s="9">
        <v>2076.06</v>
      </c>
      <c r="E3815" t="s">
        <v>56</v>
      </c>
    </row>
    <row r="3816" spans="1:5">
      <c r="A3816" t="s">
        <v>33</v>
      </c>
      <c r="B3816" s="11" t="s">
        <v>63</v>
      </c>
      <c r="C3816">
        <v>3003</v>
      </c>
      <c r="D3816" s="9">
        <v>4985.37</v>
      </c>
      <c r="E3816" t="s">
        <v>56</v>
      </c>
    </row>
    <row r="3817" spans="1:5">
      <c r="A3817" t="s">
        <v>33</v>
      </c>
      <c r="B3817" s="11" t="s">
        <v>75</v>
      </c>
      <c r="C3817">
        <v>3003</v>
      </c>
      <c r="D3817" s="9">
        <v>3439.54</v>
      </c>
      <c r="E3817" t="s">
        <v>56</v>
      </c>
    </row>
    <row r="3818" spans="1:5">
      <c r="A3818" t="s">
        <v>33</v>
      </c>
      <c r="B3818" s="11" t="s">
        <v>64</v>
      </c>
      <c r="C3818">
        <v>3003</v>
      </c>
      <c r="D3818" s="9">
        <v>3528.46</v>
      </c>
      <c r="E3818" t="s">
        <v>57</v>
      </c>
    </row>
    <row r="3819" spans="1:5">
      <c r="A3819" t="s">
        <v>33</v>
      </c>
      <c r="B3819" s="11" t="s">
        <v>65</v>
      </c>
      <c r="C3819">
        <v>3003</v>
      </c>
      <c r="D3819" s="9">
        <v>3121.9</v>
      </c>
      <c r="E3819" t="s">
        <v>57</v>
      </c>
    </row>
    <row r="3820" spans="1:5">
      <c r="A3820" t="s">
        <v>33</v>
      </c>
      <c r="B3820" s="11" t="s">
        <v>66</v>
      </c>
      <c r="C3820">
        <v>3003</v>
      </c>
      <c r="D3820" s="9">
        <v>7134.65</v>
      </c>
      <c r="E3820" t="s">
        <v>57</v>
      </c>
    </row>
    <row r="3821" spans="1:5">
      <c r="A3821" t="s">
        <v>33</v>
      </c>
      <c r="B3821" s="11" t="s">
        <v>67</v>
      </c>
      <c r="C3821">
        <v>3003</v>
      </c>
      <c r="D3821" s="9">
        <v>2437.5100000000002</v>
      </c>
      <c r="E3821" t="s">
        <v>57</v>
      </c>
    </row>
    <row r="3822" spans="1:5">
      <c r="A3822" t="s">
        <v>33</v>
      </c>
      <c r="B3822" s="11" t="s">
        <v>76</v>
      </c>
      <c r="C3822">
        <v>3003</v>
      </c>
      <c r="D3822" s="9">
        <v>2014.21</v>
      </c>
      <c r="E3822" t="s">
        <v>57</v>
      </c>
    </row>
    <row r="3823" spans="1:5">
      <c r="A3823" t="s">
        <v>33</v>
      </c>
      <c r="B3823" s="11" t="s">
        <v>68</v>
      </c>
      <c r="C3823">
        <v>3003</v>
      </c>
      <c r="D3823" s="9">
        <v>3068.8</v>
      </c>
      <c r="E3823" t="s">
        <v>58</v>
      </c>
    </row>
    <row r="3824" spans="1:5">
      <c r="A3824" t="s">
        <v>33</v>
      </c>
      <c r="B3824" s="11" t="s">
        <v>69</v>
      </c>
      <c r="C3824">
        <v>3003</v>
      </c>
      <c r="D3824" s="9">
        <v>2524.04</v>
      </c>
      <c r="E3824" t="s">
        <v>58</v>
      </c>
    </row>
    <row r="3825" spans="1:5">
      <c r="A3825" t="s">
        <v>33</v>
      </c>
      <c r="B3825" s="11" t="s">
        <v>77</v>
      </c>
      <c r="C3825">
        <v>3003</v>
      </c>
      <c r="D3825" s="9">
        <v>4764</v>
      </c>
      <c r="E3825" t="s">
        <v>58</v>
      </c>
    </row>
    <row r="3826" spans="1:5">
      <c r="A3826" t="s">
        <v>33</v>
      </c>
      <c r="B3826" s="11" t="s">
        <v>70</v>
      </c>
      <c r="C3826">
        <v>3003</v>
      </c>
      <c r="D3826" s="9">
        <v>3377.99</v>
      </c>
      <c r="E3826" t="s">
        <v>59</v>
      </c>
    </row>
    <row r="3827" spans="1:5">
      <c r="A3827" t="s">
        <v>33</v>
      </c>
      <c r="B3827" s="11" t="s">
        <v>71</v>
      </c>
      <c r="C3827">
        <v>3003</v>
      </c>
      <c r="D3827" s="9">
        <v>3717.87</v>
      </c>
      <c r="E3827" t="s">
        <v>59</v>
      </c>
    </row>
    <row r="3828" spans="1:5">
      <c r="A3828" t="s">
        <v>33</v>
      </c>
      <c r="B3828" s="11" t="s">
        <v>72</v>
      </c>
      <c r="C3828">
        <v>3003</v>
      </c>
      <c r="D3828" s="9">
        <v>4656.6000000000004</v>
      </c>
      <c r="E3828" t="s">
        <v>59</v>
      </c>
    </row>
    <row r="3829" spans="1:5">
      <c r="A3829" t="s">
        <v>33</v>
      </c>
      <c r="B3829" s="11" t="s">
        <v>78</v>
      </c>
      <c r="C3829">
        <v>3003</v>
      </c>
      <c r="D3829" s="9">
        <v>2297</v>
      </c>
      <c r="E3829" t="s">
        <v>59</v>
      </c>
    </row>
    <row r="3830" spans="1:5">
      <c r="A3830" t="s">
        <v>33</v>
      </c>
      <c r="B3830" s="11" t="s">
        <v>73</v>
      </c>
      <c r="C3830">
        <v>3003</v>
      </c>
      <c r="D3830" s="9">
        <v>4916.8900000000003</v>
      </c>
      <c r="E3830" t="s">
        <v>60</v>
      </c>
    </row>
    <row r="3831" spans="1:5">
      <c r="A3831" t="s">
        <v>33</v>
      </c>
      <c r="B3831" s="11" t="s">
        <v>74</v>
      </c>
      <c r="C3831">
        <v>3003</v>
      </c>
      <c r="D3831" s="9">
        <v>2827.48</v>
      </c>
      <c r="E3831" t="s">
        <v>60</v>
      </c>
    </row>
    <row r="3832" spans="1:5">
      <c r="A3832" t="s">
        <v>34</v>
      </c>
      <c r="B3832" s="11" t="s">
        <v>61</v>
      </c>
      <c r="C3832">
        <v>3003</v>
      </c>
      <c r="D3832" s="9">
        <v>2225.67</v>
      </c>
      <c r="E3832" t="s">
        <v>56</v>
      </c>
    </row>
    <row r="3833" spans="1:5">
      <c r="A3833" t="s">
        <v>34</v>
      </c>
      <c r="B3833" s="11" t="s">
        <v>62</v>
      </c>
      <c r="C3833">
        <v>3003</v>
      </c>
      <c r="D3833" s="9">
        <v>3943.6</v>
      </c>
      <c r="E3833" t="s">
        <v>56</v>
      </c>
    </row>
    <row r="3834" spans="1:5">
      <c r="A3834" t="s">
        <v>34</v>
      </c>
      <c r="B3834" s="11" t="s">
        <v>63</v>
      </c>
      <c r="C3834">
        <v>3003</v>
      </c>
      <c r="D3834" s="9">
        <v>4367.82</v>
      </c>
      <c r="E3834" t="s">
        <v>56</v>
      </c>
    </row>
    <row r="3835" spans="1:5">
      <c r="A3835" t="s">
        <v>34</v>
      </c>
      <c r="B3835" s="11" t="s">
        <v>64</v>
      </c>
      <c r="C3835">
        <v>3003</v>
      </c>
      <c r="D3835" s="9">
        <v>3244.58</v>
      </c>
      <c r="E3835" t="s">
        <v>57</v>
      </c>
    </row>
    <row r="3836" spans="1:5">
      <c r="A3836" t="s">
        <v>34</v>
      </c>
      <c r="B3836" s="11" t="s">
        <v>65</v>
      </c>
      <c r="C3836">
        <v>3003</v>
      </c>
      <c r="D3836" s="9">
        <v>3371.95</v>
      </c>
      <c r="E3836" t="s">
        <v>57</v>
      </c>
    </row>
    <row r="3837" spans="1:5">
      <c r="A3837" t="s">
        <v>34</v>
      </c>
      <c r="B3837" s="11" t="s">
        <v>66</v>
      </c>
      <c r="C3837">
        <v>3003</v>
      </c>
      <c r="D3837" s="9">
        <v>7031.08</v>
      </c>
      <c r="E3837" t="s">
        <v>57</v>
      </c>
    </row>
    <row r="3838" spans="1:5">
      <c r="A3838" t="s">
        <v>34</v>
      </c>
      <c r="B3838" s="11" t="s">
        <v>67</v>
      </c>
      <c r="C3838">
        <v>3003</v>
      </c>
      <c r="D3838" s="9">
        <v>2120.31</v>
      </c>
      <c r="E3838" t="s">
        <v>57</v>
      </c>
    </row>
    <row r="3839" spans="1:5">
      <c r="A3839" t="s">
        <v>34</v>
      </c>
      <c r="B3839" s="11" t="s">
        <v>76</v>
      </c>
      <c r="C3839">
        <v>3003</v>
      </c>
      <c r="D3839" s="9">
        <v>2130.33</v>
      </c>
      <c r="E3839" t="s">
        <v>57</v>
      </c>
    </row>
    <row r="3840" spans="1:5">
      <c r="A3840" t="s">
        <v>34</v>
      </c>
      <c r="B3840" s="11" t="s">
        <v>68</v>
      </c>
      <c r="C3840">
        <v>3003</v>
      </c>
      <c r="D3840" s="9">
        <v>3780.12</v>
      </c>
      <c r="E3840" t="s">
        <v>58</v>
      </c>
    </row>
    <row r="3841" spans="1:5">
      <c r="A3841" t="s">
        <v>34</v>
      </c>
      <c r="B3841" s="11" t="s">
        <v>69</v>
      </c>
      <c r="C3841">
        <v>3003</v>
      </c>
      <c r="D3841" s="9">
        <v>2173.5100000000002</v>
      </c>
      <c r="E3841" t="s">
        <v>58</v>
      </c>
    </row>
    <row r="3842" spans="1:5">
      <c r="A3842" t="s">
        <v>34</v>
      </c>
      <c r="B3842" s="11" t="s">
        <v>77</v>
      </c>
      <c r="C3842">
        <v>3003</v>
      </c>
      <c r="D3842" s="9">
        <v>4027.66</v>
      </c>
      <c r="E3842" t="s">
        <v>58</v>
      </c>
    </row>
    <row r="3843" spans="1:5">
      <c r="A3843" t="s">
        <v>34</v>
      </c>
      <c r="B3843" s="11" t="s">
        <v>70</v>
      </c>
      <c r="C3843">
        <v>3003</v>
      </c>
      <c r="D3843" s="9">
        <v>4022.79</v>
      </c>
      <c r="E3843" t="s">
        <v>59</v>
      </c>
    </row>
    <row r="3844" spans="1:5">
      <c r="A3844" t="s">
        <v>34</v>
      </c>
      <c r="B3844" s="11" t="s">
        <v>71</v>
      </c>
      <c r="C3844">
        <v>3003</v>
      </c>
      <c r="D3844" s="9">
        <v>3123.12</v>
      </c>
      <c r="E3844" t="s">
        <v>59</v>
      </c>
    </row>
    <row r="3845" spans="1:5">
      <c r="A3845" t="s">
        <v>34</v>
      </c>
      <c r="B3845" s="11" t="s">
        <v>72</v>
      </c>
      <c r="C3845">
        <v>3003</v>
      </c>
      <c r="D3845" s="9">
        <v>4498.05</v>
      </c>
      <c r="E3845" t="s">
        <v>59</v>
      </c>
    </row>
    <row r="3846" spans="1:5">
      <c r="A3846" t="s">
        <v>34</v>
      </c>
      <c r="B3846" s="11" t="s">
        <v>78</v>
      </c>
      <c r="C3846">
        <v>3003</v>
      </c>
      <c r="D3846" s="9">
        <v>3757.61</v>
      </c>
      <c r="E3846" t="s">
        <v>59</v>
      </c>
    </row>
    <row r="3847" spans="1:5">
      <c r="A3847" t="s">
        <v>34</v>
      </c>
      <c r="B3847" s="11" t="s">
        <v>73</v>
      </c>
      <c r="C3847">
        <v>3003</v>
      </c>
      <c r="D3847" s="9">
        <v>3131.32</v>
      </c>
      <c r="E3847" t="s">
        <v>60</v>
      </c>
    </row>
    <row r="3848" spans="1:5">
      <c r="A3848" t="s">
        <v>34</v>
      </c>
      <c r="B3848" s="11" t="s">
        <v>74</v>
      </c>
      <c r="C3848">
        <v>3003</v>
      </c>
      <c r="D3848" s="9">
        <v>2870.56</v>
      </c>
      <c r="E3848" t="s">
        <v>60</v>
      </c>
    </row>
    <row r="3849" spans="1:5">
      <c r="A3849" t="s">
        <v>35</v>
      </c>
      <c r="B3849" s="11" t="s">
        <v>61</v>
      </c>
      <c r="C3849">
        <v>3003</v>
      </c>
      <c r="D3849" s="9">
        <v>3946.83</v>
      </c>
      <c r="E3849" t="s">
        <v>56</v>
      </c>
    </row>
    <row r="3850" spans="1:5">
      <c r="A3850" t="s">
        <v>35</v>
      </c>
      <c r="B3850" s="11" t="s">
        <v>62</v>
      </c>
      <c r="C3850">
        <v>3003</v>
      </c>
      <c r="D3850" s="9">
        <v>3268.55</v>
      </c>
      <c r="E3850" t="s">
        <v>56</v>
      </c>
    </row>
    <row r="3851" spans="1:5">
      <c r="A3851" t="s">
        <v>35</v>
      </c>
      <c r="B3851" s="11" t="s">
        <v>63</v>
      </c>
      <c r="C3851">
        <v>3003</v>
      </c>
      <c r="D3851" s="9">
        <v>4008.71</v>
      </c>
      <c r="E3851" t="s">
        <v>56</v>
      </c>
    </row>
    <row r="3852" spans="1:5">
      <c r="A3852" t="s">
        <v>35</v>
      </c>
      <c r="B3852" s="11" t="s">
        <v>75</v>
      </c>
      <c r="C3852">
        <v>3003</v>
      </c>
      <c r="D3852" s="9">
        <v>3075.59</v>
      </c>
      <c r="E3852" t="s">
        <v>56</v>
      </c>
    </row>
    <row r="3853" spans="1:5">
      <c r="A3853" t="s">
        <v>35</v>
      </c>
      <c r="B3853" s="11" t="s">
        <v>64</v>
      </c>
      <c r="C3853">
        <v>3003</v>
      </c>
      <c r="D3853" s="9">
        <v>4521.8900000000003</v>
      </c>
      <c r="E3853" t="s">
        <v>57</v>
      </c>
    </row>
    <row r="3854" spans="1:5">
      <c r="A3854" t="s">
        <v>35</v>
      </c>
      <c r="B3854" s="11" t="s">
        <v>65</v>
      </c>
      <c r="C3854">
        <v>3003</v>
      </c>
      <c r="D3854" s="9">
        <v>2633.56</v>
      </c>
      <c r="E3854" t="s">
        <v>57</v>
      </c>
    </row>
    <row r="3855" spans="1:5">
      <c r="A3855" t="s">
        <v>35</v>
      </c>
      <c r="B3855" s="11" t="s">
        <v>66</v>
      </c>
      <c r="C3855">
        <v>3003</v>
      </c>
      <c r="D3855" s="9">
        <v>6469.23</v>
      </c>
      <c r="E3855" t="s">
        <v>57</v>
      </c>
    </row>
    <row r="3856" spans="1:5">
      <c r="A3856" t="s">
        <v>35</v>
      </c>
      <c r="B3856" s="11" t="s">
        <v>67</v>
      </c>
      <c r="C3856">
        <v>3003</v>
      </c>
      <c r="D3856" s="9">
        <v>1878.69</v>
      </c>
      <c r="E3856" t="s">
        <v>57</v>
      </c>
    </row>
    <row r="3857" spans="1:5">
      <c r="A3857" t="s">
        <v>35</v>
      </c>
      <c r="B3857" s="11" t="s">
        <v>76</v>
      </c>
      <c r="C3857">
        <v>3003</v>
      </c>
      <c r="D3857" s="9">
        <v>1498.19</v>
      </c>
      <c r="E3857" t="s">
        <v>57</v>
      </c>
    </row>
    <row r="3858" spans="1:5">
      <c r="A3858" t="s">
        <v>35</v>
      </c>
      <c r="B3858" s="11" t="s">
        <v>68</v>
      </c>
      <c r="C3858">
        <v>3003</v>
      </c>
      <c r="D3858" s="9">
        <v>2548.7600000000002</v>
      </c>
      <c r="E3858" t="s">
        <v>58</v>
      </c>
    </row>
    <row r="3859" spans="1:5">
      <c r="A3859" t="s">
        <v>35</v>
      </c>
      <c r="B3859" s="11" t="s">
        <v>69</v>
      </c>
      <c r="C3859">
        <v>3003</v>
      </c>
      <c r="D3859" s="9">
        <v>1917.54</v>
      </c>
      <c r="E3859" t="s">
        <v>58</v>
      </c>
    </row>
    <row r="3860" spans="1:5">
      <c r="A3860" t="s">
        <v>35</v>
      </c>
      <c r="B3860" s="11" t="s">
        <v>77</v>
      </c>
      <c r="C3860">
        <v>3003</v>
      </c>
      <c r="D3860" s="9">
        <v>4138.58</v>
      </c>
      <c r="E3860" t="s">
        <v>58</v>
      </c>
    </row>
    <row r="3861" spans="1:5">
      <c r="A3861" t="s">
        <v>35</v>
      </c>
      <c r="B3861" s="11" t="s">
        <v>70</v>
      </c>
      <c r="C3861">
        <v>3003</v>
      </c>
      <c r="D3861" s="9">
        <v>3512.29</v>
      </c>
      <c r="E3861" t="s">
        <v>59</v>
      </c>
    </row>
    <row r="3862" spans="1:5">
      <c r="A3862" t="s">
        <v>35</v>
      </c>
      <c r="B3862" s="11" t="s">
        <v>71</v>
      </c>
      <c r="C3862">
        <v>3003</v>
      </c>
      <c r="D3862" s="9">
        <v>3511.39</v>
      </c>
      <c r="E3862" t="s">
        <v>59</v>
      </c>
    </row>
    <row r="3863" spans="1:5">
      <c r="A3863" t="s">
        <v>35</v>
      </c>
      <c r="B3863" s="11" t="s">
        <v>72</v>
      </c>
      <c r="C3863">
        <v>3003</v>
      </c>
      <c r="D3863" s="9">
        <v>3718.11</v>
      </c>
      <c r="E3863" t="s">
        <v>59</v>
      </c>
    </row>
    <row r="3864" spans="1:5">
      <c r="A3864" t="s">
        <v>35</v>
      </c>
      <c r="B3864" s="11" t="s">
        <v>78</v>
      </c>
      <c r="C3864">
        <v>3003</v>
      </c>
      <c r="D3864" s="9">
        <v>2554.5700000000002</v>
      </c>
      <c r="E3864" t="s">
        <v>59</v>
      </c>
    </row>
    <row r="3865" spans="1:5">
      <c r="A3865" t="s">
        <v>35</v>
      </c>
      <c r="B3865" s="11" t="s">
        <v>73</v>
      </c>
      <c r="C3865">
        <v>3003</v>
      </c>
      <c r="D3865" s="9">
        <v>4517.87</v>
      </c>
      <c r="E3865" t="s">
        <v>60</v>
      </c>
    </row>
    <row r="3866" spans="1:5">
      <c r="A3866" t="s">
        <v>35</v>
      </c>
      <c r="B3866" s="11" t="s">
        <v>74</v>
      </c>
      <c r="C3866">
        <v>3003</v>
      </c>
      <c r="D3866" s="9">
        <v>2740.77</v>
      </c>
      <c r="E3866" t="s">
        <v>60</v>
      </c>
    </row>
    <row r="3867" spans="1:5">
      <c r="A3867" t="s">
        <v>36</v>
      </c>
      <c r="B3867" s="11" t="s">
        <v>61</v>
      </c>
      <c r="C3867">
        <v>3003</v>
      </c>
      <c r="D3867" s="9">
        <v>2369.29</v>
      </c>
      <c r="E3867" t="s">
        <v>56</v>
      </c>
    </row>
    <row r="3868" spans="1:5">
      <c r="A3868" t="s">
        <v>36</v>
      </c>
      <c r="B3868" s="11" t="s">
        <v>62</v>
      </c>
      <c r="C3868">
        <v>3003</v>
      </c>
      <c r="D3868" s="9">
        <v>2013.71</v>
      </c>
      <c r="E3868" t="s">
        <v>56</v>
      </c>
    </row>
    <row r="3869" spans="1:5">
      <c r="A3869" t="s">
        <v>36</v>
      </c>
      <c r="B3869" s="11" t="s">
        <v>63</v>
      </c>
      <c r="C3869">
        <v>3003</v>
      </c>
      <c r="D3869" s="9">
        <v>2527.3000000000002</v>
      </c>
      <c r="E3869" t="s">
        <v>56</v>
      </c>
    </row>
    <row r="3870" spans="1:5">
      <c r="A3870" t="s">
        <v>36</v>
      </c>
      <c r="B3870" s="11" t="s">
        <v>75</v>
      </c>
      <c r="C3870">
        <v>3003</v>
      </c>
      <c r="D3870" s="9">
        <v>3467.2</v>
      </c>
      <c r="E3870" t="s">
        <v>56</v>
      </c>
    </row>
    <row r="3871" spans="1:5">
      <c r="A3871" t="s">
        <v>36</v>
      </c>
      <c r="B3871" s="11" t="s">
        <v>64</v>
      </c>
      <c r="C3871">
        <v>3003</v>
      </c>
      <c r="D3871" s="9">
        <v>2589.58</v>
      </c>
      <c r="E3871" t="s">
        <v>57</v>
      </c>
    </row>
    <row r="3872" spans="1:5">
      <c r="A3872" t="s">
        <v>36</v>
      </c>
      <c r="B3872" s="11" t="s">
        <v>65</v>
      </c>
      <c r="C3872">
        <v>3003</v>
      </c>
      <c r="D3872" s="9">
        <v>1535.29</v>
      </c>
      <c r="E3872" t="s">
        <v>57</v>
      </c>
    </row>
    <row r="3873" spans="1:5">
      <c r="A3873" t="s">
        <v>36</v>
      </c>
      <c r="B3873" s="11" t="s">
        <v>66</v>
      </c>
      <c r="C3873">
        <v>3003</v>
      </c>
      <c r="D3873" s="9">
        <v>6232.39</v>
      </c>
      <c r="E3873" t="s">
        <v>57</v>
      </c>
    </row>
    <row r="3874" spans="1:5">
      <c r="A3874" t="s">
        <v>36</v>
      </c>
      <c r="B3874" s="11" t="s">
        <v>67</v>
      </c>
      <c r="C3874">
        <v>3003</v>
      </c>
      <c r="D3874" s="9">
        <v>2257.9899999999998</v>
      </c>
      <c r="E3874" t="s">
        <v>57</v>
      </c>
    </row>
    <row r="3875" spans="1:5">
      <c r="A3875" t="s">
        <v>36</v>
      </c>
      <c r="B3875" s="11" t="s">
        <v>76</v>
      </c>
      <c r="C3875">
        <v>3003</v>
      </c>
      <c r="D3875" s="9">
        <v>1809.01</v>
      </c>
      <c r="E3875" t="s">
        <v>57</v>
      </c>
    </row>
    <row r="3876" spans="1:5">
      <c r="A3876" t="s">
        <v>36</v>
      </c>
      <c r="B3876" s="11" t="s">
        <v>68</v>
      </c>
      <c r="C3876">
        <v>3003</v>
      </c>
      <c r="D3876" s="9">
        <v>3263.91</v>
      </c>
      <c r="E3876" t="s">
        <v>58</v>
      </c>
    </row>
    <row r="3877" spans="1:5">
      <c r="A3877" t="s">
        <v>36</v>
      </c>
      <c r="B3877" s="11" t="s">
        <v>69</v>
      </c>
      <c r="C3877">
        <v>3003</v>
      </c>
      <c r="D3877" s="9">
        <v>1681.18</v>
      </c>
      <c r="E3877" t="s">
        <v>58</v>
      </c>
    </row>
    <row r="3878" spans="1:5">
      <c r="A3878" t="s">
        <v>36</v>
      </c>
      <c r="B3878" s="11" t="s">
        <v>77</v>
      </c>
      <c r="C3878">
        <v>3003</v>
      </c>
      <c r="D3878" s="9">
        <v>3180.3</v>
      </c>
      <c r="E3878" t="s">
        <v>58</v>
      </c>
    </row>
    <row r="3879" spans="1:5">
      <c r="A3879" t="s">
        <v>36</v>
      </c>
      <c r="B3879" s="11" t="s">
        <v>70</v>
      </c>
      <c r="C3879">
        <v>3003</v>
      </c>
      <c r="D3879" s="9">
        <v>2164.02</v>
      </c>
      <c r="E3879" t="s">
        <v>59</v>
      </c>
    </row>
    <row r="3880" spans="1:5">
      <c r="A3880" t="s">
        <v>36</v>
      </c>
      <c r="B3880" s="11" t="s">
        <v>71</v>
      </c>
      <c r="C3880">
        <v>3003</v>
      </c>
      <c r="D3880" s="9">
        <v>4387.63</v>
      </c>
      <c r="E3880" t="s">
        <v>59</v>
      </c>
    </row>
    <row r="3881" spans="1:5">
      <c r="A3881" t="s">
        <v>36</v>
      </c>
      <c r="B3881" s="11" t="s">
        <v>72</v>
      </c>
      <c r="C3881">
        <v>3003</v>
      </c>
      <c r="D3881" s="9">
        <v>4413.37</v>
      </c>
      <c r="E3881" t="s">
        <v>59</v>
      </c>
    </row>
    <row r="3882" spans="1:5">
      <c r="A3882" t="s">
        <v>36</v>
      </c>
      <c r="B3882" s="11" t="s">
        <v>78</v>
      </c>
      <c r="C3882">
        <v>3003</v>
      </c>
      <c r="D3882" s="9">
        <v>2678.63</v>
      </c>
      <c r="E3882" t="s">
        <v>59</v>
      </c>
    </row>
    <row r="3883" spans="1:5">
      <c r="A3883" t="s">
        <v>36</v>
      </c>
      <c r="B3883" s="11" t="s">
        <v>73</v>
      </c>
      <c r="C3883">
        <v>3003</v>
      </c>
      <c r="D3883" s="9">
        <v>3814.22</v>
      </c>
      <c r="E3883" t="s">
        <v>60</v>
      </c>
    </row>
    <row r="3884" spans="1:5">
      <c r="A3884" t="s">
        <v>36</v>
      </c>
      <c r="B3884" s="11" t="s">
        <v>74</v>
      </c>
      <c r="C3884">
        <v>3003</v>
      </c>
      <c r="D3884" s="9">
        <v>4595.37</v>
      </c>
      <c r="E3884" t="s">
        <v>60</v>
      </c>
    </row>
    <row r="3885" spans="1:5">
      <c r="A3885" t="s">
        <v>37</v>
      </c>
      <c r="B3885" s="11" t="s">
        <v>61</v>
      </c>
      <c r="C3885">
        <v>3003</v>
      </c>
      <c r="D3885" s="9">
        <v>3722.5</v>
      </c>
      <c r="E3885" t="s">
        <v>56</v>
      </c>
    </row>
    <row r="3886" spans="1:5">
      <c r="A3886" t="s">
        <v>37</v>
      </c>
      <c r="B3886" s="11" t="s">
        <v>62</v>
      </c>
      <c r="C3886">
        <v>3003</v>
      </c>
      <c r="D3886" s="9">
        <v>2029.92</v>
      </c>
      <c r="E3886" t="s">
        <v>56</v>
      </c>
    </row>
    <row r="3887" spans="1:5">
      <c r="A3887" t="s">
        <v>37</v>
      </c>
      <c r="B3887" s="11" t="s">
        <v>63</v>
      </c>
      <c r="C3887">
        <v>3003</v>
      </c>
      <c r="D3887" s="9">
        <v>3804.13</v>
      </c>
      <c r="E3887" t="s">
        <v>56</v>
      </c>
    </row>
    <row r="3888" spans="1:5">
      <c r="A3888" t="s">
        <v>37</v>
      </c>
      <c r="B3888" s="11" t="s">
        <v>75</v>
      </c>
      <c r="C3888">
        <v>3003</v>
      </c>
      <c r="D3888" s="9">
        <v>4046.08</v>
      </c>
      <c r="E3888" t="s">
        <v>56</v>
      </c>
    </row>
    <row r="3889" spans="1:5">
      <c r="A3889" t="s">
        <v>37</v>
      </c>
      <c r="B3889" s="11" t="s">
        <v>64</v>
      </c>
      <c r="C3889">
        <v>3003</v>
      </c>
      <c r="D3889" s="9">
        <v>3240.98</v>
      </c>
      <c r="E3889" t="s">
        <v>57</v>
      </c>
    </row>
    <row r="3890" spans="1:5">
      <c r="A3890" t="s">
        <v>37</v>
      </c>
      <c r="B3890" s="11" t="s">
        <v>65</v>
      </c>
      <c r="C3890">
        <v>3003</v>
      </c>
      <c r="D3890" s="9">
        <v>2212.81</v>
      </c>
      <c r="E3890" t="s">
        <v>57</v>
      </c>
    </row>
    <row r="3891" spans="1:5">
      <c r="A3891" t="s">
        <v>37</v>
      </c>
      <c r="B3891" s="11" t="s">
        <v>66</v>
      </c>
      <c r="C3891">
        <v>3003</v>
      </c>
      <c r="D3891" s="9">
        <v>4471.38</v>
      </c>
      <c r="E3891" t="s">
        <v>57</v>
      </c>
    </row>
    <row r="3892" spans="1:5">
      <c r="A3892" t="s">
        <v>37</v>
      </c>
      <c r="B3892" s="11" t="s">
        <v>67</v>
      </c>
      <c r="C3892">
        <v>3003</v>
      </c>
      <c r="D3892" s="9">
        <v>2544.46</v>
      </c>
      <c r="E3892" t="s">
        <v>57</v>
      </c>
    </row>
    <row r="3893" spans="1:5">
      <c r="A3893" t="s">
        <v>37</v>
      </c>
      <c r="B3893" s="11" t="s">
        <v>76</v>
      </c>
      <c r="C3893">
        <v>3003</v>
      </c>
      <c r="D3893" s="9">
        <v>1271.0899999999999</v>
      </c>
      <c r="E3893" t="s">
        <v>57</v>
      </c>
    </row>
    <row r="3894" spans="1:5">
      <c r="A3894" t="s">
        <v>37</v>
      </c>
      <c r="B3894" s="11" t="s">
        <v>68</v>
      </c>
      <c r="C3894">
        <v>3003</v>
      </c>
      <c r="D3894" s="9">
        <v>2507.89</v>
      </c>
      <c r="E3894" t="s">
        <v>58</v>
      </c>
    </row>
    <row r="3895" spans="1:5">
      <c r="A3895" t="s">
        <v>37</v>
      </c>
      <c r="B3895" s="11" t="s">
        <v>69</v>
      </c>
      <c r="C3895">
        <v>3003</v>
      </c>
      <c r="D3895" s="9">
        <v>2402.96</v>
      </c>
      <c r="E3895" t="s">
        <v>58</v>
      </c>
    </row>
    <row r="3896" spans="1:5">
      <c r="A3896" t="s">
        <v>37</v>
      </c>
      <c r="B3896" s="11" t="s">
        <v>77</v>
      </c>
      <c r="C3896">
        <v>3003</v>
      </c>
      <c r="D3896" s="9">
        <v>2620.17</v>
      </c>
      <c r="E3896" t="s">
        <v>58</v>
      </c>
    </row>
    <row r="3897" spans="1:5">
      <c r="A3897" t="s">
        <v>37</v>
      </c>
      <c r="B3897" s="11" t="s">
        <v>70</v>
      </c>
      <c r="C3897">
        <v>3003</v>
      </c>
      <c r="D3897" s="9">
        <v>2986.76</v>
      </c>
      <c r="E3897" t="s">
        <v>59</v>
      </c>
    </row>
    <row r="3898" spans="1:5">
      <c r="A3898" t="s">
        <v>37</v>
      </c>
      <c r="B3898" s="11" t="s">
        <v>71</v>
      </c>
      <c r="C3898">
        <v>3003</v>
      </c>
      <c r="D3898" s="9">
        <v>5757.23</v>
      </c>
      <c r="E3898" t="s">
        <v>59</v>
      </c>
    </row>
    <row r="3899" spans="1:5">
      <c r="A3899" t="s">
        <v>37</v>
      </c>
      <c r="B3899" s="11" t="s">
        <v>72</v>
      </c>
      <c r="C3899">
        <v>3003</v>
      </c>
      <c r="D3899" s="9">
        <v>3987.91</v>
      </c>
      <c r="E3899" t="s">
        <v>59</v>
      </c>
    </row>
    <row r="3900" spans="1:5">
      <c r="A3900" t="s">
        <v>37</v>
      </c>
      <c r="B3900" s="11" t="s">
        <v>78</v>
      </c>
      <c r="C3900">
        <v>3003</v>
      </c>
      <c r="D3900" s="9">
        <v>2488.11</v>
      </c>
      <c r="E3900" t="s">
        <v>59</v>
      </c>
    </row>
    <row r="3901" spans="1:5">
      <c r="A3901" t="s">
        <v>37</v>
      </c>
      <c r="B3901" s="11" t="s">
        <v>73</v>
      </c>
      <c r="C3901">
        <v>3003</v>
      </c>
      <c r="D3901" s="9">
        <v>3374.41</v>
      </c>
      <c r="E3901" t="s">
        <v>60</v>
      </c>
    </row>
    <row r="3902" spans="1:5">
      <c r="A3902" t="s">
        <v>37</v>
      </c>
      <c r="B3902" s="11" t="s">
        <v>74</v>
      </c>
      <c r="C3902">
        <v>3003</v>
      </c>
      <c r="D3902" s="9">
        <v>2786.12</v>
      </c>
      <c r="E3902" t="s">
        <v>60</v>
      </c>
    </row>
    <row r="3903" spans="1:5">
      <c r="A3903" t="s">
        <v>38</v>
      </c>
      <c r="B3903" s="11" t="s">
        <v>61</v>
      </c>
      <c r="C3903">
        <v>3003</v>
      </c>
      <c r="D3903" s="9">
        <v>2366.67</v>
      </c>
      <c r="E3903" t="s">
        <v>56</v>
      </c>
    </row>
    <row r="3904" spans="1:5">
      <c r="A3904" t="s">
        <v>38</v>
      </c>
      <c r="B3904" s="11" t="s">
        <v>62</v>
      </c>
      <c r="C3904">
        <v>3003</v>
      </c>
      <c r="D3904" s="9">
        <v>2138.17</v>
      </c>
      <c r="E3904" t="s">
        <v>56</v>
      </c>
    </row>
    <row r="3905" spans="1:5">
      <c r="A3905" t="s">
        <v>38</v>
      </c>
      <c r="B3905" s="11" t="s">
        <v>63</v>
      </c>
      <c r="C3905">
        <v>3003</v>
      </c>
      <c r="D3905" s="9">
        <v>3792.36</v>
      </c>
      <c r="E3905" t="s">
        <v>56</v>
      </c>
    </row>
    <row r="3906" spans="1:5">
      <c r="A3906" t="s">
        <v>38</v>
      </c>
      <c r="B3906" s="11" t="s">
        <v>75</v>
      </c>
      <c r="C3906">
        <v>3003</v>
      </c>
      <c r="D3906" s="9">
        <v>2928.47</v>
      </c>
      <c r="E3906" t="s">
        <v>56</v>
      </c>
    </row>
    <row r="3907" spans="1:5">
      <c r="A3907" t="s">
        <v>38</v>
      </c>
      <c r="B3907" s="11" t="s">
        <v>64</v>
      </c>
      <c r="C3907">
        <v>3003</v>
      </c>
      <c r="D3907" s="9">
        <v>3370.46</v>
      </c>
      <c r="E3907" t="s">
        <v>57</v>
      </c>
    </row>
    <row r="3908" spans="1:5">
      <c r="A3908" t="s">
        <v>38</v>
      </c>
      <c r="B3908" s="11" t="s">
        <v>65</v>
      </c>
      <c r="C3908">
        <v>3003</v>
      </c>
      <c r="D3908" s="9">
        <v>2781.7</v>
      </c>
      <c r="E3908" t="s">
        <v>57</v>
      </c>
    </row>
    <row r="3909" spans="1:5">
      <c r="A3909" t="s">
        <v>38</v>
      </c>
      <c r="B3909" s="11" t="s">
        <v>66</v>
      </c>
      <c r="C3909">
        <v>3003</v>
      </c>
      <c r="D3909" s="9">
        <v>4850.3100000000004</v>
      </c>
      <c r="E3909" t="s">
        <v>57</v>
      </c>
    </row>
    <row r="3910" spans="1:5">
      <c r="A3910" t="s">
        <v>38</v>
      </c>
      <c r="B3910" s="11" t="s">
        <v>67</v>
      </c>
      <c r="C3910">
        <v>3003</v>
      </c>
      <c r="D3910" s="9">
        <v>2660.52</v>
      </c>
      <c r="E3910" t="s">
        <v>57</v>
      </c>
    </row>
    <row r="3911" spans="1:5">
      <c r="A3911" t="s">
        <v>38</v>
      </c>
      <c r="B3911" s="11" t="s">
        <v>76</v>
      </c>
      <c r="C3911">
        <v>3003</v>
      </c>
      <c r="D3911" s="9">
        <v>1558.86</v>
      </c>
      <c r="E3911" t="s">
        <v>57</v>
      </c>
    </row>
    <row r="3912" spans="1:5">
      <c r="A3912" t="s">
        <v>38</v>
      </c>
      <c r="B3912" s="11" t="s">
        <v>68</v>
      </c>
      <c r="C3912">
        <v>3003</v>
      </c>
      <c r="D3912" s="9">
        <v>1930.11</v>
      </c>
      <c r="E3912" t="s">
        <v>58</v>
      </c>
    </row>
    <row r="3913" spans="1:5">
      <c r="A3913" t="s">
        <v>38</v>
      </c>
      <c r="B3913" s="11" t="s">
        <v>69</v>
      </c>
      <c r="C3913">
        <v>3003</v>
      </c>
      <c r="D3913" s="9">
        <v>1914.11</v>
      </c>
      <c r="E3913" t="s">
        <v>58</v>
      </c>
    </row>
    <row r="3914" spans="1:5">
      <c r="A3914" t="s">
        <v>38</v>
      </c>
      <c r="B3914" s="11" t="s">
        <v>77</v>
      </c>
      <c r="C3914">
        <v>3003</v>
      </c>
      <c r="D3914" s="9">
        <v>2759.13</v>
      </c>
      <c r="E3914" t="s">
        <v>58</v>
      </c>
    </row>
    <row r="3915" spans="1:5">
      <c r="A3915" t="s">
        <v>38</v>
      </c>
      <c r="B3915" s="11" t="s">
        <v>70</v>
      </c>
      <c r="C3915">
        <v>3003</v>
      </c>
      <c r="D3915" s="9">
        <v>4181.6400000000003</v>
      </c>
      <c r="E3915" t="s">
        <v>59</v>
      </c>
    </row>
    <row r="3916" spans="1:5">
      <c r="A3916" t="s">
        <v>38</v>
      </c>
      <c r="B3916" s="11" t="s">
        <v>71</v>
      </c>
      <c r="C3916">
        <v>3003</v>
      </c>
      <c r="D3916" s="9">
        <v>3454</v>
      </c>
      <c r="E3916" t="s">
        <v>59</v>
      </c>
    </row>
    <row r="3917" spans="1:5">
      <c r="A3917" t="s">
        <v>38</v>
      </c>
      <c r="B3917" s="11" t="s">
        <v>72</v>
      </c>
      <c r="C3917">
        <v>3003</v>
      </c>
      <c r="D3917" s="9">
        <v>2908.97</v>
      </c>
      <c r="E3917" t="s">
        <v>59</v>
      </c>
    </row>
    <row r="3918" spans="1:5">
      <c r="A3918" t="s">
        <v>38</v>
      </c>
      <c r="B3918" s="11" t="s">
        <v>78</v>
      </c>
      <c r="C3918">
        <v>3003</v>
      </c>
      <c r="D3918" s="9">
        <v>2160.56</v>
      </c>
      <c r="E3918" t="s">
        <v>59</v>
      </c>
    </row>
    <row r="3919" spans="1:5">
      <c r="A3919" t="s">
        <v>38</v>
      </c>
      <c r="B3919" s="11" t="s">
        <v>73</v>
      </c>
      <c r="C3919">
        <v>3003</v>
      </c>
      <c r="D3919" s="9">
        <v>4975.41</v>
      </c>
      <c r="E3919" t="s">
        <v>60</v>
      </c>
    </row>
    <row r="3920" spans="1:5">
      <c r="A3920" t="s">
        <v>38</v>
      </c>
      <c r="B3920" s="11" t="s">
        <v>74</v>
      </c>
      <c r="C3920">
        <v>3003</v>
      </c>
      <c r="D3920" s="9">
        <v>3071.98</v>
      </c>
      <c r="E3920" t="s">
        <v>60</v>
      </c>
    </row>
    <row r="3921" spans="1:5">
      <c r="A3921" t="s">
        <v>39</v>
      </c>
      <c r="B3921" s="11" t="s">
        <v>61</v>
      </c>
      <c r="C3921">
        <v>3003</v>
      </c>
      <c r="D3921" s="9">
        <v>1813.64</v>
      </c>
      <c r="E3921" t="s">
        <v>56</v>
      </c>
    </row>
    <row r="3922" spans="1:5">
      <c r="A3922" t="s">
        <v>39</v>
      </c>
      <c r="B3922" s="11" t="s">
        <v>62</v>
      </c>
      <c r="C3922">
        <v>3003</v>
      </c>
      <c r="D3922" s="9">
        <v>1482.74</v>
      </c>
      <c r="E3922" t="s">
        <v>56</v>
      </c>
    </row>
    <row r="3923" spans="1:5">
      <c r="A3923" t="s">
        <v>39</v>
      </c>
      <c r="B3923" s="11" t="s">
        <v>63</v>
      </c>
      <c r="C3923">
        <v>3003</v>
      </c>
      <c r="D3923" s="9">
        <v>2847.04</v>
      </c>
      <c r="E3923" t="s">
        <v>56</v>
      </c>
    </row>
    <row r="3924" spans="1:5">
      <c r="A3924" t="s">
        <v>39</v>
      </c>
      <c r="B3924" s="11" t="s">
        <v>75</v>
      </c>
      <c r="C3924">
        <v>3003</v>
      </c>
      <c r="D3924" s="9">
        <v>2517.31</v>
      </c>
      <c r="E3924" t="s">
        <v>56</v>
      </c>
    </row>
    <row r="3925" spans="1:5">
      <c r="A3925" t="s">
        <v>39</v>
      </c>
      <c r="B3925" s="11" t="s">
        <v>64</v>
      </c>
      <c r="C3925">
        <v>3003</v>
      </c>
      <c r="D3925" s="9">
        <v>2650.63</v>
      </c>
      <c r="E3925" t="s">
        <v>57</v>
      </c>
    </row>
    <row r="3926" spans="1:5">
      <c r="A3926" t="s">
        <v>39</v>
      </c>
      <c r="B3926" s="11" t="s">
        <v>65</v>
      </c>
      <c r="C3926">
        <v>3003</v>
      </c>
      <c r="D3926" s="9">
        <v>2481.2399999999998</v>
      </c>
      <c r="E3926" t="s">
        <v>57</v>
      </c>
    </row>
    <row r="3927" spans="1:5">
      <c r="A3927" t="s">
        <v>39</v>
      </c>
      <c r="B3927" s="11" t="s">
        <v>66</v>
      </c>
      <c r="C3927">
        <v>3003</v>
      </c>
      <c r="D3927" s="9">
        <v>4899.7299999999996</v>
      </c>
      <c r="E3927" t="s">
        <v>57</v>
      </c>
    </row>
    <row r="3928" spans="1:5">
      <c r="A3928" t="s">
        <v>39</v>
      </c>
      <c r="B3928" s="11" t="s">
        <v>67</v>
      </c>
      <c r="C3928">
        <v>3003</v>
      </c>
      <c r="D3928" s="9">
        <v>2136.81</v>
      </c>
      <c r="E3928" t="s">
        <v>57</v>
      </c>
    </row>
    <row r="3929" spans="1:5">
      <c r="A3929" t="s">
        <v>39</v>
      </c>
      <c r="B3929" s="11" t="s">
        <v>76</v>
      </c>
      <c r="C3929">
        <v>3003</v>
      </c>
      <c r="D3929" s="9">
        <v>1565.37</v>
      </c>
      <c r="E3929" t="s">
        <v>57</v>
      </c>
    </row>
    <row r="3930" spans="1:5">
      <c r="A3930" t="s">
        <v>39</v>
      </c>
      <c r="B3930" s="11" t="s">
        <v>68</v>
      </c>
      <c r="C3930">
        <v>3003</v>
      </c>
      <c r="D3930" s="9">
        <v>2609.48</v>
      </c>
      <c r="E3930" t="s">
        <v>58</v>
      </c>
    </row>
    <row r="3931" spans="1:5">
      <c r="A3931" t="s">
        <v>39</v>
      </c>
      <c r="B3931" s="11" t="s">
        <v>69</v>
      </c>
      <c r="C3931">
        <v>3003</v>
      </c>
      <c r="D3931" s="9">
        <v>2693.7</v>
      </c>
      <c r="E3931" t="s">
        <v>58</v>
      </c>
    </row>
    <row r="3932" spans="1:5">
      <c r="A3932" t="s">
        <v>39</v>
      </c>
      <c r="B3932" s="11" t="s">
        <v>77</v>
      </c>
      <c r="C3932">
        <v>3003</v>
      </c>
      <c r="D3932" s="9">
        <v>4222.62</v>
      </c>
      <c r="E3932" t="s">
        <v>58</v>
      </c>
    </row>
    <row r="3933" spans="1:5">
      <c r="A3933" t="s">
        <v>39</v>
      </c>
      <c r="B3933" s="11" t="s">
        <v>70</v>
      </c>
      <c r="C3933">
        <v>3003</v>
      </c>
      <c r="D3933" s="9">
        <v>3947.26</v>
      </c>
      <c r="E3933" t="s">
        <v>59</v>
      </c>
    </row>
    <row r="3934" spans="1:5">
      <c r="A3934" t="s">
        <v>39</v>
      </c>
      <c r="B3934" s="11" t="s">
        <v>71</v>
      </c>
      <c r="C3934">
        <v>3003</v>
      </c>
      <c r="D3934" s="9">
        <v>3624.05</v>
      </c>
      <c r="E3934" t="s">
        <v>59</v>
      </c>
    </row>
    <row r="3935" spans="1:5">
      <c r="A3935" t="s">
        <v>39</v>
      </c>
      <c r="B3935" s="11" t="s">
        <v>72</v>
      </c>
      <c r="C3935">
        <v>3003</v>
      </c>
      <c r="D3935" s="9">
        <v>5313.06</v>
      </c>
      <c r="E3935" t="s">
        <v>59</v>
      </c>
    </row>
    <row r="3936" spans="1:5">
      <c r="A3936" t="s">
        <v>39</v>
      </c>
      <c r="B3936" s="11" t="s">
        <v>78</v>
      </c>
      <c r="C3936">
        <v>3003</v>
      </c>
      <c r="D3936" s="9">
        <v>2220.16</v>
      </c>
      <c r="E3936" t="s">
        <v>59</v>
      </c>
    </row>
    <row r="3937" spans="1:5">
      <c r="A3937" t="s">
        <v>39</v>
      </c>
      <c r="B3937" s="11" t="s">
        <v>73</v>
      </c>
      <c r="C3937">
        <v>3003</v>
      </c>
      <c r="D3937" s="9">
        <v>2576.1799999999998</v>
      </c>
      <c r="E3937" t="s">
        <v>60</v>
      </c>
    </row>
    <row r="3938" spans="1:5">
      <c r="A3938" t="s">
        <v>39</v>
      </c>
      <c r="B3938" s="11" t="s">
        <v>74</v>
      </c>
      <c r="C3938">
        <v>3003</v>
      </c>
      <c r="D3938" s="9">
        <v>2501.54</v>
      </c>
      <c r="E3938" t="s">
        <v>60</v>
      </c>
    </row>
    <row r="3939" spans="1:5">
      <c r="A3939" t="s">
        <v>28</v>
      </c>
      <c r="B3939" s="11" t="s">
        <v>61</v>
      </c>
      <c r="C3939">
        <v>3004</v>
      </c>
      <c r="D3939" s="9">
        <v>314.35000000000002</v>
      </c>
      <c r="E3939" t="s">
        <v>56</v>
      </c>
    </row>
    <row r="3940" spans="1:5">
      <c r="A3940" t="s">
        <v>28</v>
      </c>
      <c r="B3940" s="11" t="s">
        <v>62</v>
      </c>
      <c r="C3940">
        <v>3004</v>
      </c>
      <c r="D3940" s="9">
        <v>390.26</v>
      </c>
      <c r="E3940" t="s">
        <v>56</v>
      </c>
    </row>
    <row r="3941" spans="1:5">
      <c r="A3941" t="s">
        <v>28</v>
      </c>
      <c r="B3941" s="11" t="s">
        <v>63</v>
      </c>
      <c r="C3941">
        <v>3004</v>
      </c>
      <c r="D3941" s="9">
        <v>528.91999999999996</v>
      </c>
      <c r="E3941" t="s">
        <v>56</v>
      </c>
    </row>
    <row r="3942" spans="1:5">
      <c r="A3942" t="s">
        <v>28</v>
      </c>
      <c r="B3942" s="11" t="s">
        <v>64</v>
      </c>
      <c r="C3942">
        <v>3004</v>
      </c>
      <c r="D3942" s="9">
        <v>357.75</v>
      </c>
      <c r="E3942" t="s">
        <v>57</v>
      </c>
    </row>
    <row r="3943" spans="1:5">
      <c r="A3943" t="s">
        <v>28</v>
      </c>
      <c r="B3943" s="11" t="s">
        <v>65</v>
      </c>
      <c r="C3943">
        <v>3004</v>
      </c>
      <c r="D3943" s="9">
        <v>280.60000000000002</v>
      </c>
      <c r="E3943" t="s">
        <v>57</v>
      </c>
    </row>
    <row r="3944" spans="1:5">
      <c r="A3944" t="s">
        <v>28</v>
      </c>
      <c r="B3944" s="11" t="s">
        <v>66</v>
      </c>
      <c r="C3944">
        <v>3004</v>
      </c>
      <c r="D3944" s="9">
        <v>681.68</v>
      </c>
      <c r="E3944" t="s">
        <v>57</v>
      </c>
    </row>
    <row r="3945" spans="1:5">
      <c r="A3945" t="s">
        <v>28</v>
      </c>
      <c r="B3945" s="11" t="s">
        <v>67</v>
      </c>
      <c r="C3945">
        <v>3004</v>
      </c>
      <c r="D3945" s="9">
        <v>276.19</v>
      </c>
      <c r="E3945" t="s">
        <v>57</v>
      </c>
    </row>
    <row r="3946" spans="1:5">
      <c r="A3946" t="s">
        <v>28</v>
      </c>
      <c r="B3946" s="11" t="s">
        <v>76</v>
      </c>
      <c r="C3946">
        <v>3004</v>
      </c>
      <c r="D3946" s="9">
        <v>217.29</v>
      </c>
      <c r="E3946" t="s">
        <v>57</v>
      </c>
    </row>
    <row r="3947" spans="1:5">
      <c r="A3947" t="s">
        <v>28</v>
      </c>
      <c r="B3947" s="11" t="s">
        <v>68</v>
      </c>
      <c r="C3947">
        <v>3004</v>
      </c>
      <c r="D3947" s="9">
        <v>615.03</v>
      </c>
      <c r="E3947" t="s">
        <v>58</v>
      </c>
    </row>
    <row r="3948" spans="1:5">
      <c r="A3948" t="s">
        <v>28</v>
      </c>
      <c r="B3948" s="11" t="s">
        <v>69</v>
      </c>
      <c r="C3948">
        <v>3004</v>
      </c>
      <c r="D3948" s="9">
        <v>355.29</v>
      </c>
      <c r="E3948" t="s">
        <v>58</v>
      </c>
    </row>
    <row r="3949" spans="1:5">
      <c r="A3949" t="s">
        <v>28</v>
      </c>
      <c r="B3949" s="11" t="s">
        <v>77</v>
      </c>
      <c r="C3949">
        <v>3004</v>
      </c>
      <c r="D3949" s="9">
        <v>385.48</v>
      </c>
      <c r="E3949" t="s">
        <v>58</v>
      </c>
    </row>
    <row r="3950" spans="1:5">
      <c r="A3950" t="s">
        <v>28</v>
      </c>
      <c r="B3950" s="11" t="s">
        <v>70</v>
      </c>
      <c r="C3950">
        <v>3004</v>
      </c>
      <c r="D3950" s="9">
        <v>516.4</v>
      </c>
      <c r="E3950" t="s">
        <v>59</v>
      </c>
    </row>
    <row r="3951" spans="1:5">
      <c r="A3951" t="s">
        <v>28</v>
      </c>
      <c r="B3951" s="11" t="s">
        <v>71</v>
      </c>
      <c r="C3951">
        <v>3004</v>
      </c>
      <c r="D3951" s="9">
        <v>721.26</v>
      </c>
      <c r="E3951" t="s">
        <v>59</v>
      </c>
    </row>
    <row r="3952" spans="1:5">
      <c r="A3952" t="s">
        <v>28</v>
      </c>
      <c r="B3952" s="11" t="s">
        <v>72</v>
      </c>
      <c r="C3952">
        <v>3004</v>
      </c>
      <c r="D3952" s="9">
        <v>356.91</v>
      </c>
      <c r="E3952" t="s">
        <v>59</v>
      </c>
    </row>
    <row r="3953" spans="1:5">
      <c r="A3953" t="s">
        <v>28</v>
      </c>
      <c r="B3953" s="11" t="s">
        <v>78</v>
      </c>
      <c r="C3953">
        <v>3004</v>
      </c>
      <c r="D3953" s="9">
        <v>612.9</v>
      </c>
      <c r="E3953" t="s">
        <v>59</v>
      </c>
    </row>
    <row r="3954" spans="1:5">
      <c r="A3954" t="s">
        <v>28</v>
      </c>
      <c r="B3954" s="11" t="s">
        <v>73</v>
      </c>
      <c r="C3954">
        <v>3004</v>
      </c>
      <c r="D3954" s="9">
        <v>610.86</v>
      </c>
      <c r="E3954" t="s">
        <v>60</v>
      </c>
    </row>
    <row r="3955" spans="1:5">
      <c r="A3955" t="s">
        <v>28</v>
      </c>
      <c r="B3955" s="11" t="s">
        <v>74</v>
      </c>
      <c r="C3955">
        <v>3004</v>
      </c>
      <c r="D3955" s="9">
        <v>605.05999999999995</v>
      </c>
      <c r="E3955" t="s">
        <v>60</v>
      </c>
    </row>
    <row r="3956" spans="1:5">
      <c r="A3956" t="s">
        <v>29</v>
      </c>
      <c r="B3956" s="11" t="s">
        <v>61</v>
      </c>
      <c r="C3956">
        <v>3004</v>
      </c>
      <c r="D3956" s="9">
        <v>696.57</v>
      </c>
      <c r="E3956" t="s">
        <v>56</v>
      </c>
    </row>
    <row r="3957" spans="1:5">
      <c r="A3957" t="s">
        <v>29</v>
      </c>
      <c r="B3957" s="11" t="s">
        <v>62</v>
      </c>
      <c r="C3957">
        <v>3004</v>
      </c>
      <c r="D3957" s="9">
        <v>377.43</v>
      </c>
      <c r="E3957" t="s">
        <v>56</v>
      </c>
    </row>
    <row r="3958" spans="1:5">
      <c r="A3958" t="s">
        <v>29</v>
      </c>
      <c r="B3958" s="11" t="s">
        <v>63</v>
      </c>
      <c r="C3958">
        <v>3004</v>
      </c>
      <c r="D3958" s="9">
        <v>380.03</v>
      </c>
      <c r="E3958" t="s">
        <v>56</v>
      </c>
    </row>
    <row r="3959" spans="1:5">
      <c r="A3959" t="s">
        <v>29</v>
      </c>
      <c r="B3959" s="11" t="s">
        <v>75</v>
      </c>
      <c r="C3959">
        <v>3004</v>
      </c>
      <c r="D3959" s="9">
        <v>503.49</v>
      </c>
      <c r="E3959" t="s">
        <v>56</v>
      </c>
    </row>
    <row r="3960" spans="1:5">
      <c r="A3960" t="s">
        <v>29</v>
      </c>
      <c r="B3960" s="11" t="s">
        <v>64</v>
      </c>
      <c r="C3960">
        <v>3004</v>
      </c>
      <c r="D3960" s="9">
        <v>470.77</v>
      </c>
      <c r="E3960" t="s">
        <v>57</v>
      </c>
    </row>
    <row r="3961" spans="1:5">
      <c r="A3961" t="s">
        <v>29</v>
      </c>
      <c r="B3961" s="11" t="s">
        <v>65</v>
      </c>
      <c r="C3961">
        <v>3004</v>
      </c>
      <c r="D3961" s="9">
        <v>389.17</v>
      </c>
      <c r="E3961" t="s">
        <v>57</v>
      </c>
    </row>
    <row r="3962" spans="1:5">
      <c r="A3962" t="s">
        <v>29</v>
      </c>
      <c r="B3962" s="11" t="s">
        <v>66</v>
      </c>
      <c r="C3962">
        <v>3004</v>
      </c>
      <c r="D3962" s="9">
        <v>697.04</v>
      </c>
      <c r="E3962" t="s">
        <v>57</v>
      </c>
    </row>
    <row r="3963" spans="1:5">
      <c r="A3963" t="s">
        <v>29</v>
      </c>
      <c r="B3963" s="11" t="s">
        <v>67</v>
      </c>
      <c r="C3963">
        <v>3004</v>
      </c>
      <c r="D3963" s="9">
        <v>354.86</v>
      </c>
      <c r="E3963" t="s">
        <v>57</v>
      </c>
    </row>
    <row r="3964" spans="1:5">
      <c r="A3964" t="s">
        <v>29</v>
      </c>
      <c r="B3964" s="11" t="s">
        <v>76</v>
      </c>
      <c r="C3964">
        <v>3004</v>
      </c>
      <c r="D3964" s="9">
        <v>168.17</v>
      </c>
      <c r="E3964" t="s">
        <v>57</v>
      </c>
    </row>
    <row r="3965" spans="1:5">
      <c r="A3965" t="s">
        <v>29</v>
      </c>
      <c r="B3965" s="11" t="s">
        <v>68</v>
      </c>
      <c r="C3965">
        <v>3004</v>
      </c>
      <c r="D3965" s="9">
        <v>336.09</v>
      </c>
      <c r="E3965" t="s">
        <v>58</v>
      </c>
    </row>
    <row r="3966" spans="1:5">
      <c r="A3966" t="s">
        <v>29</v>
      </c>
      <c r="B3966" s="11" t="s">
        <v>69</v>
      </c>
      <c r="C3966">
        <v>3004</v>
      </c>
      <c r="D3966" s="9">
        <v>233.92</v>
      </c>
      <c r="E3966" t="s">
        <v>58</v>
      </c>
    </row>
    <row r="3967" spans="1:5">
      <c r="A3967" t="s">
        <v>29</v>
      </c>
      <c r="B3967" s="11" t="s">
        <v>77</v>
      </c>
      <c r="C3967">
        <v>3004</v>
      </c>
      <c r="D3967" s="9">
        <v>748.02</v>
      </c>
      <c r="E3967" t="s">
        <v>58</v>
      </c>
    </row>
    <row r="3968" spans="1:5">
      <c r="A3968" t="s">
        <v>29</v>
      </c>
      <c r="B3968" s="11" t="s">
        <v>70</v>
      </c>
      <c r="C3968">
        <v>3004</v>
      </c>
      <c r="D3968" s="9">
        <v>701.71</v>
      </c>
      <c r="E3968" t="s">
        <v>59</v>
      </c>
    </row>
    <row r="3969" spans="1:5">
      <c r="A3969" t="s">
        <v>29</v>
      </c>
      <c r="B3969" s="11" t="s">
        <v>71</v>
      </c>
      <c r="C3969">
        <v>3004</v>
      </c>
      <c r="D3969" s="9">
        <v>322.5</v>
      </c>
      <c r="E3969" t="s">
        <v>59</v>
      </c>
    </row>
    <row r="3970" spans="1:5">
      <c r="A3970" t="s">
        <v>29</v>
      </c>
      <c r="B3970" s="11" t="s">
        <v>72</v>
      </c>
      <c r="C3970">
        <v>3004</v>
      </c>
      <c r="D3970" s="9">
        <v>395.21</v>
      </c>
      <c r="E3970" t="s">
        <v>59</v>
      </c>
    </row>
    <row r="3971" spans="1:5">
      <c r="A3971" t="s">
        <v>29</v>
      </c>
      <c r="B3971" s="11" t="s">
        <v>78</v>
      </c>
      <c r="C3971">
        <v>3004</v>
      </c>
      <c r="D3971" s="9">
        <v>444.96</v>
      </c>
      <c r="E3971" t="s">
        <v>59</v>
      </c>
    </row>
    <row r="3972" spans="1:5">
      <c r="A3972" t="s">
        <v>29</v>
      </c>
      <c r="B3972" s="11" t="s">
        <v>73</v>
      </c>
      <c r="C3972">
        <v>3004</v>
      </c>
      <c r="D3972" s="9">
        <v>373.6</v>
      </c>
      <c r="E3972" t="s">
        <v>60</v>
      </c>
    </row>
    <row r="3973" spans="1:5">
      <c r="A3973" t="s">
        <v>29</v>
      </c>
      <c r="B3973" s="11" t="s">
        <v>74</v>
      </c>
      <c r="C3973">
        <v>3004</v>
      </c>
      <c r="D3973" s="9">
        <v>390.57</v>
      </c>
      <c r="E3973" t="s">
        <v>60</v>
      </c>
    </row>
    <row r="3974" spans="1:5">
      <c r="A3974" t="s">
        <v>30</v>
      </c>
      <c r="B3974" s="11" t="s">
        <v>61</v>
      </c>
      <c r="C3974">
        <v>3004</v>
      </c>
      <c r="D3974" s="9">
        <v>436.29</v>
      </c>
      <c r="E3974" t="s">
        <v>56</v>
      </c>
    </row>
    <row r="3975" spans="1:5">
      <c r="A3975" t="s">
        <v>30</v>
      </c>
      <c r="B3975" s="11" t="s">
        <v>62</v>
      </c>
      <c r="C3975">
        <v>3004</v>
      </c>
      <c r="D3975" s="9">
        <v>149.5</v>
      </c>
      <c r="E3975" t="s">
        <v>56</v>
      </c>
    </row>
    <row r="3976" spans="1:5">
      <c r="A3976" t="s">
        <v>30</v>
      </c>
      <c r="B3976" s="11" t="s">
        <v>63</v>
      </c>
      <c r="C3976">
        <v>3004</v>
      </c>
      <c r="D3976" s="9">
        <v>309.33999999999997</v>
      </c>
      <c r="E3976" t="s">
        <v>56</v>
      </c>
    </row>
    <row r="3977" spans="1:5">
      <c r="A3977" t="s">
        <v>30</v>
      </c>
      <c r="B3977" s="11" t="s">
        <v>75</v>
      </c>
      <c r="C3977">
        <v>3004</v>
      </c>
      <c r="D3977" s="9">
        <v>243.75</v>
      </c>
      <c r="E3977" t="s">
        <v>56</v>
      </c>
    </row>
    <row r="3978" spans="1:5">
      <c r="A3978" t="s">
        <v>30</v>
      </c>
      <c r="B3978" s="11" t="s">
        <v>64</v>
      </c>
      <c r="C3978">
        <v>3004</v>
      </c>
      <c r="D3978" s="9">
        <v>291.58</v>
      </c>
      <c r="E3978" t="s">
        <v>57</v>
      </c>
    </row>
    <row r="3979" spans="1:5">
      <c r="A3979" t="s">
        <v>30</v>
      </c>
      <c r="B3979" s="11" t="s">
        <v>65</v>
      </c>
      <c r="C3979">
        <v>3004</v>
      </c>
      <c r="D3979" s="9">
        <v>186.16</v>
      </c>
      <c r="E3979" t="s">
        <v>57</v>
      </c>
    </row>
    <row r="3980" spans="1:5">
      <c r="A3980" t="s">
        <v>30</v>
      </c>
      <c r="B3980" s="11" t="s">
        <v>66</v>
      </c>
      <c r="C3980">
        <v>3004</v>
      </c>
      <c r="D3980" s="9">
        <v>625.79</v>
      </c>
      <c r="E3980" t="s">
        <v>57</v>
      </c>
    </row>
    <row r="3981" spans="1:5">
      <c r="A3981" t="s">
        <v>30</v>
      </c>
      <c r="B3981" s="11" t="s">
        <v>67</v>
      </c>
      <c r="C3981">
        <v>3004</v>
      </c>
      <c r="D3981" s="9">
        <v>323.04000000000002</v>
      </c>
      <c r="E3981" t="s">
        <v>57</v>
      </c>
    </row>
    <row r="3982" spans="1:5">
      <c r="A3982" t="s">
        <v>30</v>
      </c>
      <c r="B3982" s="11" t="s">
        <v>76</v>
      </c>
      <c r="C3982">
        <v>3004</v>
      </c>
      <c r="D3982" s="9">
        <v>219.79</v>
      </c>
      <c r="E3982" t="s">
        <v>57</v>
      </c>
    </row>
    <row r="3983" spans="1:5">
      <c r="A3983" t="s">
        <v>30</v>
      </c>
      <c r="B3983" s="11" t="s">
        <v>68</v>
      </c>
      <c r="C3983">
        <v>3004</v>
      </c>
      <c r="D3983" s="9">
        <v>551.87</v>
      </c>
      <c r="E3983" t="s">
        <v>58</v>
      </c>
    </row>
    <row r="3984" spans="1:5">
      <c r="A3984" t="s">
        <v>30</v>
      </c>
      <c r="B3984" s="11" t="s">
        <v>69</v>
      </c>
      <c r="C3984">
        <v>3004</v>
      </c>
      <c r="D3984" s="9">
        <v>294.51</v>
      </c>
      <c r="E3984" t="s">
        <v>58</v>
      </c>
    </row>
    <row r="3985" spans="1:5">
      <c r="A3985" t="s">
        <v>30</v>
      </c>
      <c r="B3985" s="11" t="s">
        <v>77</v>
      </c>
      <c r="C3985">
        <v>3004</v>
      </c>
      <c r="D3985" s="9">
        <v>364.9</v>
      </c>
      <c r="E3985" t="s">
        <v>58</v>
      </c>
    </row>
    <row r="3986" spans="1:5">
      <c r="A3986" t="s">
        <v>30</v>
      </c>
      <c r="B3986" s="11" t="s">
        <v>70</v>
      </c>
      <c r="C3986">
        <v>3004</v>
      </c>
      <c r="D3986" s="9">
        <v>400.78</v>
      </c>
      <c r="E3986" t="s">
        <v>59</v>
      </c>
    </row>
    <row r="3987" spans="1:5">
      <c r="A3987" t="s">
        <v>30</v>
      </c>
      <c r="B3987" s="11" t="s">
        <v>71</v>
      </c>
      <c r="C3987">
        <v>3004</v>
      </c>
      <c r="D3987" s="9">
        <v>634.91</v>
      </c>
      <c r="E3987" t="s">
        <v>59</v>
      </c>
    </row>
    <row r="3988" spans="1:5">
      <c r="A3988" t="s">
        <v>30</v>
      </c>
      <c r="B3988" s="11" t="s">
        <v>72</v>
      </c>
      <c r="C3988">
        <v>3004</v>
      </c>
      <c r="D3988" s="9">
        <v>542.48</v>
      </c>
      <c r="E3988" t="s">
        <v>59</v>
      </c>
    </row>
    <row r="3989" spans="1:5">
      <c r="A3989" t="s">
        <v>30</v>
      </c>
      <c r="B3989" s="11" t="s">
        <v>78</v>
      </c>
      <c r="C3989">
        <v>3004</v>
      </c>
      <c r="D3989" s="9">
        <v>520.16999999999996</v>
      </c>
      <c r="E3989" t="s">
        <v>59</v>
      </c>
    </row>
    <row r="3990" spans="1:5">
      <c r="A3990" t="s">
        <v>30</v>
      </c>
      <c r="B3990" s="11" t="s">
        <v>73</v>
      </c>
      <c r="C3990">
        <v>3004</v>
      </c>
      <c r="D3990" s="9">
        <v>625.51</v>
      </c>
      <c r="E3990" t="s">
        <v>60</v>
      </c>
    </row>
    <row r="3991" spans="1:5">
      <c r="A3991" t="s">
        <v>30</v>
      </c>
      <c r="B3991" s="11" t="s">
        <v>74</v>
      </c>
      <c r="C3991">
        <v>3004</v>
      </c>
      <c r="D3991" s="9">
        <v>527.57000000000005</v>
      </c>
      <c r="E3991" t="s">
        <v>60</v>
      </c>
    </row>
    <row r="3992" spans="1:5">
      <c r="A3992" t="s">
        <v>31</v>
      </c>
      <c r="B3992" s="11" t="s">
        <v>61</v>
      </c>
      <c r="C3992">
        <v>3004</v>
      </c>
      <c r="D3992" s="9">
        <v>395.52</v>
      </c>
      <c r="E3992" t="s">
        <v>56</v>
      </c>
    </row>
    <row r="3993" spans="1:5">
      <c r="A3993" t="s">
        <v>31</v>
      </c>
      <c r="B3993" s="11" t="s">
        <v>62</v>
      </c>
      <c r="C3993">
        <v>3004</v>
      </c>
      <c r="D3993" s="9">
        <v>150.72</v>
      </c>
      <c r="E3993" t="s">
        <v>56</v>
      </c>
    </row>
    <row r="3994" spans="1:5">
      <c r="A3994" t="s">
        <v>31</v>
      </c>
      <c r="B3994" s="11" t="s">
        <v>63</v>
      </c>
      <c r="C3994">
        <v>3004</v>
      </c>
      <c r="D3994" s="9">
        <v>441.79</v>
      </c>
      <c r="E3994" t="s">
        <v>56</v>
      </c>
    </row>
    <row r="3995" spans="1:5">
      <c r="A3995" t="s">
        <v>31</v>
      </c>
      <c r="B3995" s="11" t="s">
        <v>75</v>
      </c>
      <c r="C3995">
        <v>3004</v>
      </c>
      <c r="D3995" s="9">
        <v>338.86</v>
      </c>
      <c r="E3995" t="s">
        <v>56</v>
      </c>
    </row>
    <row r="3996" spans="1:5">
      <c r="A3996" t="s">
        <v>31</v>
      </c>
      <c r="B3996" s="11" t="s">
        <v>64</v>
      </c>
      <c r="C3996">
        <v>3004</v>
      </c>
      <c r="D3996" s="9">
        <v>276.42</v>
      </c>
      <c r="E3996" t="s">
        <v>57</v>
      </c>
    </row>
    <row r="3997" spans="1:5">
      <c r="A3997" t="s">
        <v>31</v>
      </c>
      <c r="B3997" s="11" t="s">
        <v>65</v>
      </c>
      <c r="C3997">
        <v>3004</v>
      </c>
      <c r="D3997" s="9">
        <v>482.64</v>
      </c>
      <c r="E3997" t="s">
        <v>57</v>
      </c>
    </row>
    <row r="3998" spans="1:5">
      <c r="A3998" t="s">
        <v>31</v>
      </c>
      <c r="B3998" s="11" t="s">
        <v>66</v>
      </c>
      <c r="C3998">
        <v>3004</v>
      </c>
      <c r="D3998" s="9">
        <v>376.25</v>
      </c>
      <c r="E3998" t="s">
        <v>57</v>
      </c>
    </row>
    <row r="3999" spans="1:5">
      <c r="A3999" t="s">
        <v>31</v>
      </c>
      <c r="B3999" s="11" t="s">
        <v>67</v>
      </c>
      <c r="C3999">
        <v>3004</v>
      </c>
      <c r="D3999" s="9">
        <v>209.18</v>
      </c>
      <c r="E3999" t="s">
        <v>57</v>
      </c>
    </row>
    <row r="4000" spans="1:5">
      <c r="A4000" t="s">
        <v>31</v>
      </c>
      <c r="B4000" s="11" t="s">
        <v>76</v>
      </c>
      <c r="C4000">
        <v>3004</v>
      </c>
      <c r="D4000" s="9">
        <v>127.87</v>
      </c>
      <c r="E4000" t="s">
        <v>57</v>
      </c>
    </row>
    <row r="4001" spans="1:5">
      <c r="A4001" t="s">
        <v>31</v>
      </c>
      <c r="B4001" s="11" t="s">
        <v>68</v>
      </c>
      <c r="C4001">
        <v>3004</v>
      </c>
      <c r="D4001" s="9">
        <v>341.07</v>
      </c>
      <c r="E4001" t="s">
        <v>58</v>
      </c>
    </row>
    <row r="4002" spans="1:5">
      <c r="A4002" t="s">
        <v>31</v>
      </c>
      <c r="B4002" s="11" t="s">
        <v>69</v>
      </c>
      <c r="C4002">
        <v>3004</v>
      </c>
      <c r="D4002" s="9">
        <v>278.62</v>
      </c>
      <c r="E4002" t="s">
        <v>58</v>
      </c>
    </row>
    <row r="4003" spans="1:5">
      <c r="A4003" t="s">
        <v>31</v>
      </c>
      <c r="B4003" s="11" t="s">
        <v>77</v>
      </c>
      <c r="C4003">
        <v>3004</v>
      </c>
      <c r="D4003" s="9">
        <v>378.46</v>
      </c>
      <c r="E4003" t="s">
        <v>58</v>
      </c>
    </row>
    <row r="4004" spans="1:5">
      <c r="A4004" t="s">
        <v>31</v>
      </c>
      <c r="B4004" s="11" t="s">
        <v>70</v>
      </c>
      <c r="C4004">
        <v>3004</v>
      </c>
      <c r="D4004" s="9">
        <v>423.12</v>
      </c>
      <c r="E4004" t="s">
        <v>59</v>
      </c>
    </row>
    <row r="4005" spans="1:5">
      <c r="A4005" t="s">
        <v>31</v>
      </c>
      <c r="B4005" s="11" t="s">
        <v>71</v>
      </c>
      <c r="C4005">
        <v>3004</v>
      </c>
      <c r="D4005" s="9">
        <v>523.97</v>
      </c>
      <c r="E4005" t="s">
        <v>59</v>
      </c>
    </row>
    <row r="4006" spans="1:5">
      <c r="A4006" t="s">
        <v>31</v>
      </c>
      <c r="B4006" s="11" t="s">
        <v>72</v>
      </c>
      <c r="C4006">
        <v>3004</v>
      </c>
      <c r="D4006" s="9">
        <v>774.46</v>
      </c>
      <c r="E4006" t="s">
        <v>59</v>
      </c>
    </row>
    <row r="4007" spans="1:5">
      <c r="A4007" t="s">
        <v>31</v>
      </c>
      <c r="B4007" s="11" t="s">
        <v>78</v>
      </c>
      <c r="C4007">
        <v>3004</v>
      </c>
      <c r="D4007" s="9">
        <v>488.05</v>
      </c>
      <c r="E4007" t="s">
        <v>59</v>
      </c>
    </row>
    <row r="4008" spans="1:5">
      <c r="A4008" t="s">
        <v>31</v>
      </c>
      <c r="B4008" s="11" t="s">
        <v>73</v>
      </c>
      <c r="C4008">
        <v>3004</v>
      </c>
      <c r="D4008" s="9">
        <v>527.61</v>
      </c>
      <c r="E4008" t="s">
        <v>60</v>
      </c>
    </row>
    <row r="4009" spans="1:5">
      <c r="A4009" t="s">
        <v>31</v>
      </c>
      <c r="B4009" s="11" t="s">
        <v>74</v>
      </c>
      <c r="C4009">
        <v>3004</v>
      </c>
      <c r="D4009" s="9">
        <v>584.16</v>
      </c>
      <c r="E4009" t="s">
        <v>60</v>
      </c>
    </row>
    <row r="4010" spans="1:5">
      <c r="A4010" t="s">
        <v>32</v>
      </c>
      <c r="B4010" s="11" t="s">
        <v>61</v>
      </c>
      <c r="C4010">
        <v>3004</v>
      </c>
      <c r="D4010" s="9">
        <v>465.66</v>
      </c>
      <c r="E4010" t="s">
        <v>56</v>
      </c>
    </row>
    <row r="4011" spans="1:5">
      <c r="A4011" t="s">
        <v>32</v>
      </c>
      <c r="B4011" s="11" t="s">
        <v>62</v>
      </c>
      <c r="C4011">
        <v>3004</v>
      </c>
      <c r="D4011" s="9">
        <v>198.27</v>
      </c>
      <c r="E4011" t="s">
        <v>56</v>
      </c>
    </row>
    <row r="4012" spans="1:5">
      <c r="A4012" t="s">
        <v>32</v>
      </c>
      <c r="B4012" s="11" t="s">
        <v>63</v>
      </c>
      <c r="C4012">
        <v>3004</v>
      </c>
      <c r="D4012" s="9">
        <v>314.23</v>
      </c>
      <c r="E4012" t="s">
        <v>56</v>
      </c>
    </row>
    <row r="4013" spans="1:5">
      <c r="A4013" t="s">
        <v>32</v>
      </c>
      <c r="B4013" s="11" t="s">
        <v>75</v>
      </c>
      <c r="C4013">
        <v>3004</v>
      </c>
      <c r="D4013" s="9">
        <v>383.91</v>
      </c>
      <c r="E4013" t="s">
        <v>56</v>
      </c>
    </row>
    <row r="4014" spans="1:5">
      <c r="A4014" t="s">
        <v>32</v>
      </c>
      <c r="B4014" s="11" t="s">
        <v>64</v>
      </c>
      <c r="C4014">
        <v>3004</v>
      </c>
      <c r="D4014" s="9">
        <v>281.69</v>
      </c>
      <c r="E4014" t="s">
        <v>57</v>
      </c>
    </row>
    <row r="4015" spans="1:5">
      <c r="A4015" t="s">
        <v>32</v>
      </c>
      <c r="B4015" s="11" t="s">
        <v>65</v>
      </c>
      <c r="C4015">
        <v>3004</v>
      </c>
      <c r="D4015" s="9">
        <v>221.67</v>
      </c>
      <c r="E4015" t="s">
        <v>57</v>
      </c>
    </row>
    <row r="4016" spans="1:5">
      <c r="A4016" t="s">
        <v>32</v>
      </c>
      <c r="B4016" s="11" t="s">
        <v>66</v>
      </c>
      <c r="C4016">
        <v>3004</v>
      </c>
      <c r="D4016" s="9">
        <v>416.44</v>
      </c>
      <c r="E4016" t="s">
        <v>57</v>
      </c>
    </row>
    <row r="4017" spans="1:5">
      <c r="A4017" t="s">
        <v>32</v>
      </c>
      <c r="B4017" s="11" t="s">
        <v>67</v>
      </c>
      <c r="C4017">
        <v>3004</v>
      </c>
      <c r="D4017" s="9">
        <v>193.29</v>
      </c>
      <c r="E4017" t="s">
        <v>57</v>
      </c>
    </row>
    <row r="4018" spans="1:5">
      <c r="A4018" t="s">
        <v>32</v>
      </c>
      <c r="B4018" s="11" t="s">
        <v>76</v>
      </c>
      <c r="C4018">
        <v>3004</v>
      </c>
      <c r="D4018" s="9">
        <v>223.69</v>
      </c>
      <c r="E4018" t="s">
        <v>57</v>
      </c>
    </row>
    <row r="4019" spans="1:5">
      <c r="A4019" t="s">
        <v>32</v>
      </c>
      <c r="B4019" s="11" t="s">
        <v>68</v>
      </c>
      <c r="C4019">
        <v>3004</v>
      </c>
      <c r="D4019" s="9">
        <v>405.79</v>
      </c>
      <c r="E4019" t="s">
        <v>58</v>
      </c>
    </row>
    <row r="4020" spans="1:5">
      <c r="A4020" t="s">
        <v>32</v>
      </c>
      <c r="B4020" s="11" t="s">
        <v>69</v>
      </c>
      <c r="C4020">
        <v>3004</v>
      </c>
      <c r="D4020" s="9">
        <v>246.83</v>
      </c>
      <c r="E4020" t="s">
        <v>58</v>
      </c>
    </row>
    <row r="4021" spans="1:5">
      <c r="A4021" t="s">
        <v>32</v>
      </c>
      <c r="B4021" s="11" t="s">
        <v>77</v>
      </c>
      <c r="C4021">
        <v>3004</v>
      </c>
      <c r="D4021" s="9">
        <v>381.06</v>
      </c>
      <c r="E4021" t="s">
        <v>58</v>
      </c>
    </row>
    <row r="4022" spans="1:5">
      <c r="A4022" t="s">
        <v>32</v>
      </c>
      <c r="B4022" s="11" t="s">
        <v>70</v>
      </c>
      <c r="C4022">
        <v>3004</v>
      </c>
      <c r="D4022" s="9">
        <v>417.18</v>
      </c>
      <c r="E4022" t="s">
        <v>59</v>
      </c>
    </row>
    <row r="4023" spans="1:5">
      <c r="A4023" t="s">
        <v>32</v>
      </c>
      <c r="B4023" s="11" t="s">
        <v>71</v>
      </c>
      <c r="C4023">
        <v>3004</v>
      </c>
      <c r="D4023" s="9">
        <v>619.79999999999995</v>
      </c>
      <c r="E4023" t="s">
        <v>59</v>
      </c>
    </row>
    <row r="4024" spans="1:5">
      <c r="A4024" t="s">
        <v>32</v>
      </c>
      <c r="B4024" s="11" t="s">
        <v>72</v>
      </c>
      <c r="C4024">
        <v>3004</v>
      </c>
      <c r="D4024" s="9">
        <v>852.63</v>
      </c>
      <c r="E4024" t="s">
        <v>59</v>
      </c>
    </row>
    <row r="4025" spans="1:5">
      <c r="A4025" t="s">
        <v>32</v>
      </c>
      <c r="B4025" s="11" t="s">
        <v>78</v>
      </c>
      <c r="C4025">
        <v>3004</v>
      </c>
      <c r="D4025" s="9">
        <v>396.89</v>
      </c>
      <c r="E4025" t="s">
        <v>59</v>
      </c>
    </row>
    <row r="4026" spans="1:5">
      <c r="A4026" t="s">
        <v>32</v>
      </c>
      <c r="B4026" s="11" t="s">
        <v>73</v>
      </c>
      <c r="C4026">
        <v>3004</v>
      </c>
      <c r="D4026" s="9">
        <v>402.16</v>
      </c>
      <c r="E4026" t="s">
        <v>60</v>
      </c>
    </row>
    <row r="4027" spans="1:5">
      <c r="A4027" t="s">
        <v>32</v>
      </c>
      <c r="B4027" s="11" t="s">
        <v>74</v>
      </c>
      <c r="C4027">
        <v>3004</v>
      </c>
      <c r="D4027" s="9">
        <v>419.98</v>
      </c>
      <c r="E4027" t="s">
        <v>60</v>
      </c>
    </row>
    <row r="4028" spans="1:5">
      <c r="A4028" t="s">
        <v>33</v>
      </c>
      <c r="B4028" s="11" t="s">
        <v>61</v>
      </c>
      <c r="C4028">
        <v>3004</v>
      </c>
      <c r="D4028" s="9">
        <v>488.64</v>
      </c>
      <c r="E4028" t="s">
        <v>56</v>
      </c>
    </row>
    <row r="4029" spans="1:5">
      <c r="A4029" t="s">
        <v>33</v>
      </c>
      <c r="B4029" s="11" t="s">
        <v>62</v>
      </c>
      <c r="C4029">
        <v>3004</v>
      </c>
      <c r="D4029" s="9">
        <v>271.48</v>
      </c>
      <c r="E4029" t="s">
        <v>56</v>
      </c>
    </row>
    <row r="4030" spans="1:5">
      <c r="A4030" t="s">
        <v>33</v>
      </c>
      <c r="B4030" s="11" t="s">
        <v>63</v>
      </c>
      <c r="C4030">
        <v>3004</v>
      </c>
      <c r="D4030" s="9">
        <v>627.79</v>
      </c>
      <c r="E4030" t="s">
        <v>56</v>
      </c>
    </row>
    <row r="4031" spans="1:5">
      <c r="A4031" t="s">
        <v>33</v>
      </c>
      <c r="B4031" s="11" t="s">
        <v>75</v>
      </c>
      <c r="C4031">
        <v>3004</v>
      </c>
      <c r="D4031" s="9">
        <v>384.69</v>
      </c>
      <c r="E4031" t="s">
        <v>56</v>
      </c>
    </row>
    <row r="4032" spans="1:5">
      <c r="A4032" t="s">
        <v>33</v>
      </c>
      <c r="B4032" s="11" t="s">
        <v>64</v>
      </c>
      <c r="C4032">
        <v>3004</v>
      </c>
      <c r="D4032" s="9">
        <v>381.71</v>
      </c>
      <c r="E4032" t="s">
        <v>57</v>
      </c>
    </row>
    <row r="4033" spans="1:5">
      <c r="A4033" t="s">
        <v>33</v>
      </c>
      <c r="B4033" s="11" t="s">
        <v>65</v>
      </c>
      <c r="C4033">
        <v>3004</v>
      </c>
      <c r="D4033" s="9">
        <v>395.22</v>
      </c>
      <c r="E4033" t="s">
        <v>57</v>
      </c>
    </row>
    <row r="4034" spans="1:5">
      <c r="A4034" t="s">
        <v>33</v>
      </c>
      <c r="B4034" s="11" t="s">
        <v>66</v>
      </c>
      <c r="C4034">
        <v>3004</v>
      </c>
      <c r="D4034" s="9">
        <v>866.35</v>
      </c>
      <c r="E4034" t="s">
        <v>57</v>
      </c>
    </row>
    <row r="4035" spans="1:5">
      <c r="A4035" t="s">
        <v>33</v>
      </c>
      <c r="B4035" s="11" t="s">
        <v>67</v>
      </c>
      <c r="C4035">
        <v>3004</v>
      </c>
      <c r="D4035" s="9">
        <v>425</v>
      </c>
      <c r="E4035" t="s">
        <v>57</v>
      </c>
    </row>
    <row r="4036" spans="1:5">
      <c r="A4036" t="s">
        <v>33</v>
      </c>
      <c r="B4036" s="11" t="s">
        <v>76</v>
      </c>
      <c r="C4036">
        <v>3004</v>
      </c>
      <c r="D4036" s="9">
        <v>197.55</v>
      </c>
      <c r="E4036" t="s">
        <v>57</v>
      </c>
    </row>
    <row r="4037" spans="1:5">
      <c r="A4037" t="s">
        <v>33</v>
      </c>
      <c r="B4037" s="11" t="s">
        <v>68</v>
      </c>
      <c r="C4037">
        <v>3004</v>
      </c>
      <c r="D4037" s="9">
        <v>496.85</v>
      </c>
      <c r="E4037" t="s">
        <v>58</v>
      </c>
    </row>
    <row r="4038" spans="1:5">
      <c r="A4038" t="s">
        <v>33</v>
      </c>
      <c r="B4038" s="11" t="s">
        <v>69</v>
      </c>
      <c r="C4038">
        <v>3004</v>
      </c>
      <c r="D4038" s="9">
        <v>476.76</v>
      </c>
      <c r="E4038" t="s">
        <v>58</v>
      </c>
    </row>
    <row r="4039" spans="1:5">
      <c r="A4039" t="s">
        <v>33</v>
      </c>
      <c r="B4039" s="11" t="s">
        <v>77</v>
      </c>
      <c r="C4039">
        <v>3004</v>
      </c>
      <c r="D4039" s="9">
        <v>674.9</v>
      </c>
      <c r="E4039" t="s">
        <v>58</v>
      </c>
    </row>
    <row r="4040" spans="1:5">
      <c r="A4040" t="s">
        <v>33</v>
      </c>
      <c r="B4040" s="11" t="s">
        <v>70</v>
      </c>
      <c r="C4040">
        <v>3004</v>
      </c>
      <c r="D4040" s="9">
        <v>358.91</v>
      </c>
      <c r="E4040" t="s">
        <v>59</v>
      </c>
    </row>
    <row r="4041" spans="1:5">
      <c r="A4041" t="s">
        <v>33</v>
      </c>
      <c r="B4041" s="11" t="s">
        <v>71</v>
      </c>
      <c r="C4041">
        <v>3004</v>
      </c>
      <c r="D4041" s="9">
        <v>316.02</v>
      </c>
      <c r="E4041" t="s">
        <v>59</v>
      </c>
    </row>
    <row r="4042" spans="1:5">
      <c r="A4042" t="s">
        <v>33</v>
      </c>
      <c r="B4042" s="11" t="s">
        <v>72</v>
      </c>
      <c r="C4042">
        <v>3004</v>
      </c>
      <c r="D4042" s="9">
        <v>431.79</v>
      </c>
      <c r="E4042" t="s">
        <v>59</v>
      </c>
    </row>
    <row r="4043" spans="1:5">
      <c r="A4043" t="s">
        <v>33</v>
      </c>
      <c r="B4043" s="11" t="s">
        <v>78</v>
      </c>
      <c r="C4043">
        <v>3004</v>
      </c>
      <c r="D4043" s="9">
        <v>263.83999999999997</v>
      </c>
      <c r="E4043" t="s">
        <v>59</v>
      </c>
    </row>
    <row r="4044" spans="1:5">
      <c r="A4044" t="s">
        <v>33</v>
      </c>
      <c r="B4044" s="11" t="s">
        <v>73</v>
      </c>
      <c r="C4044">
        <v>3004</v>
      </c>
      <c r="D4044" s="9">
        <v>800.3</v>
      </c>
      <c r="E4044" t="s">
        <v>60</v>
      </c>
    </row>
    <row r="4045" spans="1:5">
      <c r="A4045" t="s">
        <v>33</v>
      </c>
      <c r="B4045" s="11" t="s">
        <v>74</v>
      </c>
      <c r="C4045">
        <v>3004</v>
      </c>
      <c r="D4045" s="9">
        <v>336.47</v>
      </c>
      <c r="E4045" t="s">
        <v>60</v>
      </c>
    </row>
    <row r="4046" spans="1:5">
      <c r="A4046" t="s">
        <v>34</v>
      </c>
      <c r="B4046" s="11" t="s">
        <v>61</v>
      </c>
      <c r="C4046">
        <v>3004</v>
      </c>
      <c r="D4046" s="9">
        <v>262.75</v>
      </c>
      <c r="E4046" t="s">
        <v>56</v>
      </c>
    </row>
    <row r="4047" spans="1:5">
      <c r="A4047" t="s">
        <v>34</v>
      </c>
      <c r="B4047" s="11" t="s">
        <v>62</v>
      </c>
      <c r="C4047">
        <v>3004</v>
      </c>
      <c r="D4047" s="9">
        <v>322.31</v>
      </c>
      <c r="E4047" t="s">
        <v>56</v>
      </c>
    </row>
    <row r="4048" spans="1:5">
      <c r="A4048" t="s">
        <v>34</v>
      </c>
      <c r="B4048" s="11" t="s">
        <v>63</v>
      </c>
      <c r="C4048">
        <v>3004</v>
      </c>
      <c r="D4048" s="9">
        <v>668.28</v>
      </c>
      <c r="E4048" t="s">
        <v>56</v>
      </c>
    </row>
    <row r="4049" spans="1:5">
      <c r="A4049" t="s">
        <v>34</v>
      </c>
      <c r="B4049" s="11" t="s">
        <v>64</v>
      </c>
      <c r="C4049">
        <v>3004</v>
      </c>
      <c r="D4049" s="9">
        <v>564.11</v>
      </c>
      <c r="E4049" t="s">
        <v>57</v>
      </c>
    </row>
    <row r="4050" spans="1:5">
      <c r="A4050" t="s">
        <v>34</v>
      </c>
      <c r="B4050" s="11" t="s">
        <v>65</v>
      </c>
      <c r="C4050">
        <v>3004</v>
      </c>
      <c r="D4050" s="9">
        <v>260.56</v>
      </c>
      <c r="E4050" t="s">
        <v>57</v>
      </c>
    </row>
    <row r="4051" spans="1:5">
      <c r="A4051" t="s">
        <v>34</v>
      </c>
      <c r="B4051" s="11" t="s">
        <v>66</v>
      </c>
      <c r="C4051">
        <v>3004</v>
      </c>
      <c r="D4051" s="9">
        <v>853.77</v>
      </c>
      <c r="E4051" t="s">
        <v>57</v>
      </c>
    </row>
    <row r="4052" spans="1:5">
      <c r="A4052" t="s">
        <v>34</v>
      </c>
      <c r="B4052" s="11" t="s">
        <v>67</v>
      </c>
      <c r="C4052">
        <v>3004</v>
      </c>
      <c r="D4052" s="9">
        <v>163.84</v>
      </c>
      <c r="E4052" t="s">
        <v>57</v>
      </c>
    </row>
    <row r="4053" spans="1:5">
      <c r="A4053" t="s">
        <v>34</v>
      </c>
      <c r="B4053" s="11" t="s">
        <v>76</v>
      </c>
      <c r="C4053">
        <v>3004</v>
      </c>
      <c r="D4053" s="9">
        <v>253.51</v>
      </c>
      <c r="E4053" t="s">
        <v>57</v>
      </c>
    </row>
    <row r="4054" spans="1:5">
      <c r="A4054" t="s">
        <v>34</v>
      </c>
      <c r="B4054" s="11" t="s">
        <v>68</v>
      </c>
      <c r="C4054">
        <v>3004</v>
      </c>
      <c r="D4054" s="9">
        <v>363.75</v>
      </c>
      <c r="E4054" t="s">
        <v>58</v>
      </c>
    </row>
    <row r="4055" spans="1:5">
      <c r="A4055" t="s">
        <v>34</v>
      </c>
      <c r="B4055" s="11" t="s">
        <v>69</v>
      </c>
      <c r="C4055">
        <v>3004</v>
      </c>
      <c r="D4055" s="9">
        <v>209.94</v>
      </c>
      <c r="E4055" t="s">
        <v>58</v>
      </c>
    </row>
    <row r="4056" spans="1:5">
      <c r="A4056" t="s">
        <v>34</v>
      </c>
      <c r="B4056" s="11" t="s">
        <v>77</v>
      </c>
      <c r="C4056">
        <v>3004</v>
      </c>
      <c r="D4056" s="9">
        <v>322.97000000000003</v>
      </c>
      <c r="E4056" t="s">
        <v>58</v>
      </c>
    </row>
    <row r="4057" spans="1:5">
      <c r="A4057" t="s">
        <v>34</v>
      </c>
      <c r="B4057" s="11" t="s">
        <v>70</v>
      </c>
      <c r="C4057">
        <v>3004</v>
      </c>
      <c r="D4057" s="9">
        <v>418.7</v>
      </c>
      <c r="E4057" t="s">
        <v>59</v>
      </c>
    </row>
    <row r="4058" spans="1:5">
      <c r="A4058" t="s">
        <v>34</v>
      </c>
      <c r="B4058" s="11" t="s">
        <v>71</v>
      </c>
      <c r="C4058">
        <v>3004</v>
      </c>
      <c r="D4058" s="9">
        <v>398.2</v>
      </c>
      <c r="E4058" t="s">
        <v>59</v>
      </c>
    </row>
    <row r="4059" spans="1:5">
      <c r="A4059" t="s">
        <v>34</v>
      </c>
      <c r="B4059" s="11" t="s">
        <v>72</v>
      </c>
      <c r="C4059">
        <v>3004</v>
      </c>
      <c r="D4059" s="9">
        <v>889.15</v>
      </c>
      <c r="E4059" t="s">
        <v>59</v>
      </c>
    </row>
    <row r="4060" spans="1:5">
      <c r="A4060" t="s">
        <v>34</v>
      </c>
      <c r="B4060" s="11" t="s">
        <v>78</v>
      </c>
      <c r="C4060">
        <v>3004</v>
      </c>
      <c r="D4060" s="9">
        <v>425.86</v>
      </c>
      <c r="E4060" t="s">
        <v>59</v>
      </c>
    </row>
    <row r="4061" spans="1:5">
      <c r="A4061" t="s">
        <v>34</v>
      </c>
      <c r="B4061" s="11" t="s">
        <v>73</v>
      </c>
      <c r="C4061">
        <v>3004</v>
      </c>
      <c r="D4061" s="9">
        <v>532.32000000000005</v>
      </c>
      <c r="E4061" t="s">
        <v>60</v>
      </c>
    </row>
    <row r="4062" spans="1:5">
      <c r="A4062" t="s">
        <v>34</v>
      </c>
      <c r="B4062" s="11" t="s">
        <v>74</v>
      </c>
      <c r="C4062">
        <v>3004</v>
      </c>
      <c r="D4062" s="9">
        <v>522.85</v>
      </c>
      <c r="E4062" t="s">
        <v>60</v>
      </c>
    </row>
    <row r="4063" spans="1:5">
      <c r="A4063" t="s">
        <v>35</v>
      </c>
      <c r="B4063" s="11" t="s">
        <v>61</v>
      </c>
      <c r="C4063">
        <v>3004</v>
      </c>
      <c r="D4063" s="9">
        <v>372.76</v>
      </c>
      <c r="E4063" t="s">
        <v>56</v>
      </c>
    </row>
    <row r="4064" spans="1:5">
      <c r="A4064" t="s">
        <v>35</v>
      </c>
      <c r="B4064" s="11" t="s">
        <v>62</v>
      </c>
      <c r="C4064">
        <v>3004</v>
      </c>
      <c r="D4064" s="9">
        <v>262.10000000000002</v>
      </c>
      <c r="E4064" t="s">
        <v>56</v>
      </c>
    </row>
    <row r="4065" spans="1:5">
      <c r="A4065" t="s">
        <v>35</v>
      </c>
      <c r="B4065" s="11" t="s">
        <v>63</v>
      </c>
      <c r="C4065">
        <v>3004</v>
      </c>
      <c r="D4065" s="9">
        <v>740.74</v>
      </c>
      <c r="E4065" t="s">
        <v>56</v>
      </c>
    </row>
    <row r="4066" spans="1:5">
      <c r="A4066" t="s">
        <v>35</v>
      </c>
      <c r="B4066" s="11" t="s">
        <v>75</v>
      </c>
      <c r="C4066">
        <v>3004</v>
      </c>
      <c r="D4066" s="9">
        <v>580.94000000000005</v>
      </c>
      <c r="E4066" t="s">
        <v>56</v>
      </c>
    </row>
    <row r="4067" spans="1:5">
      <c r="A4067" t="s">
        <v>35</v>
      </c>
      <c r="B4067" s="11" t="s">
        <v>64</v>
      </c>
      <c r="C4067">
        <v>3004</v>
      </c>
      <c r="D4067" s="9">
        <v>452.19</v>
      </c>
      <c r="E4067" t="s">
        <v>57</v>
      </c>
    </row>
    <row r="4068" spans="1:5">
      <c r="A4068" t="s">
        <v>35</v>
      </c>
      <c r="B4068" s="11" t="s">
        <v>65</v>
      </c>
      <c r="C4068">
        <v>3004</v>
      </c>
      <c r="D4068" s="9">
        <v>363</v>
      </c>
      <c r="E4068" t="s">
        <v>57</v>
      </c>
    </row>
    <row r="4069" spans="1:5">
      <c r="A4069" t="s">
        <v>35</v>
      </c>
      <c r="B4069" s="11" t="s">
        <v>66</v>
      </c>
      <c r="C4069">
        <v>3004</v>
      </c>
      <c r="D4069" s="9">
        <v>1195.4000000000001</v>
      </c>
      <c r="E4069" t="s">
        <v>57</v>
      </c>
    </row>
    <row r="4070" spans="1:5">
      <c r="A4070" t="s">
        <v>35</v>
      </c>
      <c r="B4070" s="11" t="s">
        <v>67</v>
      </c>
      <c r="C4070">
        <v>3004</v>
      </c>
      <c r="D4070" s="9">
        <v>258.95</v>
      </c>
      <c r="E4070" t="s">
        <v>57</v>
      </c>
    </row>
    <row r="4071" spans="1:5">
      <c r="A4071" t="s">
        <v>35</v>
      </c>
      <c r="B4071" s="11" t="s">
        <v>76</v>
      </c>
      <c r="C4071">
        <v>3004</v>
      </c>
      <c r="D4071" s="9">
        <v>177.69</v>
      </c>
      <c r="E4071" t="s">
        <v>57</v>
      </c>
    </row>
    <row r="4072" spans="1:5">
      <c r="A4072" t="s">
        <v>35</v>
      </c>
      <c r="B4072" s="11" t="s">
        <v>68</v>
      </c>
      <c r="C4072">
        <v>3004</v>
      </c>
      <c r="D4072" s="9">
        <v>240.72</v>
      </c>
      <c r="E4072" t="s">
        <v>58</v>
      </c>
    </row>
    <row r="4073" spans="1:5">
      <c r="A4073" t="s">
        <v>35</v>
      </c>
      <c r="B4073" s="11" t="s">
        <v>69</v>
      </c>
      <c r="C4073">
        <v>3004</v>
      </c>
      <c r="D4073" s="9">
        <v>362.2</v>
      </c>
      <c r="E4073" t="s">
        <v>58</v>
      </c>
    </row>
    <row r="4074" spans="1:5">
      <c r="A4074" t="s">
        <v>35</v>
      </c>
      <c r="B4074" s="11" t="s">
        <v>77</v>
      </c>
      <c r="C4074">
        <v>3004</v>
      </c>
      <c r="D4074" s="9">
        <v>597.36</v>
      </c>
      <c r="E4074" t="s">
        <v>58</v>
      </c>
    </row>
    <row r="4075" spans="1:5">
      <c r="A4075" t="s">
        <v>35</v>
      </c>
      <c r="B4075" s="11" t="s">
        <v>70</v>
      </c>
      <c r="C4075">
        <v>3004</v>
      </c>
      <c r="D4075" s="9">
        <v>497.57</v>
      </c>
      <c r="E4075" t="s">
        <v>59</v>
      </c>
    </row>
    <row r="4076" spans="1:5">
      <c r="A4076" t="s">
        <v>35</v>
      </c>
      <c r="B4076" s="11" t="s">
        <v>71</v>
      </c>
      <c r="C4076">
        <v>3004</v>
      </c>
      <c r="D4076" s="9">
        <v>671.55</v>
      </c>
      <c r="E4076" t="s">
        <v>59</v>
      </c>
    </row>
    <row r="4077" spans="1:5">
      <c r="A4077" t="s">
        <v>35</v>
      </c>
      <c r="B4077" s="11" t="s">
        <v>72</v>
      </c>
      <c r="C4077">
        <v>3004</v>
      </c>
      <c r="D4077" s="9">
        <v>683.33</v>
      </c>
      <c r="E4077" t="s">
        <v>59</v>
      </c>
    </row>
    <row r="4078" spans="1:5">
      <c r="A4078" t="s">
        <v>35</v>
      </c>
      <c r="B4078" s="11" t="s">
        <v>78</v>
      </c>
      <c r="C4078">
        <v>3004</v>
      </c>
      <c r="D4078" s="9">
        <v>422.21</v>
      </c>
      <c r="E4078" t="s">
        <v>59</v>
      </c>
    </row>
    <row r="4079" spans="1:5">
      <c r="A4079" t="s">
        <v>35</v>
      </c>
      <c r="B4079" s="11" t="s">
        <v>73</v>
      </c>
      <c r="C4079">
        <v>3004</v>
      </c>
      <c r="D4079" s="9">
        <v>507.2</v>
      </c>
      <c r="E4079" t="s">
        <v>60</v>
      </c>
    </row>
    <row r="4080" spans="1:5">
      <c r="A4080" t="s">
        <v>35</v>
      </c>
      <c r="B4080" s="11" t="s">
        <v>74</v>
      </c>
      <c r="C4080">
        <v>3004</v>
      </c>
      <c r="D4080" s="9">
        <v>537.61</v>
      </c>
      <c r="E4080" t="s">
        <v>60</v>
      </c>
    </row>
    <row r="4081" spans="1:5">
      <c r="A4081" t="s">
        <v>36</v>
      </c>
      <c r="B4081" s="11" t="s">
        <v>61</v>
      </c>
      <c r="C4081">
        <v>3004</v>
      </c>
      <c r="D4081" s="9">
        <v>544.29999999999995</v>
      </c>
      <c r="E4081" t="s">
        <v>56</v>
      </c>
    </row>
    <row r="4082" spans="1:5">
      <c r="A4082" t="s">
        <v>36</v>
      </c>
      <c r="B4082" s="11" t="s">
        <v>62</v>
      </c>
      <c r="C4082">
        <v>3004</v>
      </c>
      <c r="D4082" s="9">
        <v>167.81</v>
      </c>
      <c r="E4082" t="s">
        <v>56</v>
      </c>
    </row>
    <row r="4083" spans="1:5">
      <c r="A4083" t="s">
        <v>36</v>
      </c>
      <c r="B4083" s="11" t="s">
        <v>63</v>
      </c>
      <c r="C4083">
        <v>3004</v>
      </c>
      <c r="D4083" s="9">
        <v>537.04999999999995</v>
      </c>
      <c r="E4083" t="s">
        <v>56</v>
      </c>
    </row>
    <row r="4084" spans="1:5">
      <c r="A4084" t="s">
        <v>36</v>
      </c>
      <c r="B4084" s="11" t="s">
        <v>75</v>
      </c>
      <c r="C4084">
        <v>3004</v>
      </c>
      <c r="D4084" s="9">
        <v>438.93</v>
      </c>
      <c r="E4084" t="s">
        <v>56</v>
      </c>
    </row>
    <row r="4085" spans="1:5">
      <c r="A4085" t="s">
        <v>36</v>
      </c>
      <c r="B4085" s="11" t="s">
        <v>64</v>
      </c>
      <c r="C4085">
        <v>3004</v>
      </c>
      <c r="D4085" s="9">
        <v>524.08000000000004</v>
      </c>
      <c r="E4085" t="s">
        <v>57</v>
      </c>
    </row>
    <row r="4086" spans="1:5">
      <c r="A4086" t="s">
        <v>36</v>
      </c>
      <c r="B4086" s="11" t="s">
        <v>65</v>
      </c>
      <c r="C4086">
        <v>3004</v>
      </c>
      <c r="D4086" s="9">
        <v>237.27</v>
      </c>
      <c r="E4086" t="s">
        <v>57</v>
      </c>
    </row>
    <row r="4087" spans="1:5">
      <c r="A4087" t="s">
        <v>36</v>
      </c>
      <c r="B4087" s="11" t="s">
        <v>66</v>
      </c>
      <c r="C4087">
        <v>3004</v>
      </c>
      <c r="D4087" s="9">
        <v>499.77</v>
      </c>
      <c r="E4087" t="s">
        <v>57</v>
      </c>
    </row>
    <row r="4088" spans="1:5">
      <c r="A4088" t="s">
        <v>36</v>
      </c>
      <c r="B4088" s="11" t="s">
        <v>67</v>
      </c>
      <c r="C4088">
        <v>3004</v>
      </c>
      <c r="D4088" s="9">
        <v>375.51</v>
      </c>
      <c r="E4088" t="s">
        <v>57</v>
      </c>
    </row>
    <row r="4089" spans="1:5">
      <c r="A4089" t="s">
        <v>36</v>
      </c>
      <c r="B4089" s="11" t="s">
        <v>76</v>
      </c>
      <c r="C4089">
        <v>3004</v>
      </c>
      <c r="D4089" s="9">
        <v>153.77000000000001</v>
      </c>
      <c r="E4089" t="s">
        <v>57</v>
      </c>
    </row>
    <row r="4090" spans="1:5">
      <c r="A4090" t="s">
        <v>36</v>
      </c>
      <c r="B4090" s="11" t="s">
        <v>68</v>
      </c>
      <c r="C4090">
        <v>3004</v>
      </c>
      <c r="D4090" s="9">
        <v>543.98</v>
      </c>
      <c r="E4090" t="s">
        <v>58</v>
      </c>
    </row>
    <row r="4091" spans="1:5">
      <c r="A4091" t="s">
        <v>36</v>
      </c>
      <c r="B4091" s="11" t="s">
        <v>69</v>
      </c>
      <c r="C4091">
        <v>3004</v>
      </c>
      <c r="D4091" s="9">
        <v>366.41</v>
      </c>
      <c r="E4091" t="s">
        <v>58</v>
      </c>
    </row>
    <row r="4092" spans="1:5">
      <c r="A4092" t="s">
        <v>36</v>
      </c>
      <c r="B4092" s="11" t="s">
        <v>77</v>
      </c>
      <c r="C4092">
        <v>3004</v>
      </c>
      <c r="D4092" s="9">
        <v>552.94000000000005</v>
      </c>
      <c r="E4092" t="s">
        <v>58</v>
      </c>
    </row>
    <row r="4093" spans="1:5">
      <c r="A4093" t="s">
        <v>36</v>
      </c>
      <c r="B4093" s="11" t="s">
        <v>70</v>
      </c>
      <c r="C4093">
        <v>3004</v>
      </c>
      <c r="D4093" s="9">
        <v>292.64</v>
      </c>
      <c r="E4093" t="s">
        <v>59</v>
      </c>
    </row>
    <row r="4094" spans="1:5">
      <c r="A4094" t="s">
        <v>36</v>
      </c>
      <c r="B4094" s="11" t="s">
        <v>71</v>
      </c>
      <c r="C4094">
        <v>3004</v>
      </c>
      <c r="D4094" s="9">
        <v>645.49</v>
      </c>
      <c r="E4094" t="s">
        <v>59</v>
      </c>
    </row>
    <row r="4095" spans="1:5">
      <c r="A4095" t="s">
        <v>36</v>
      </c>
      <c r="B4095" s="11" t="s">
        <v>72</v>
      </c>
      <c r="C4095">
        <v>3004</v>
      </c>
      <c r="D4095" s="9">
        <v>703.38</v>
      </c>
      <c r="E4095" t="s">
        <v>59</v>
      </c>
    </row>
    <row r="4096" spans="1:5">
      <c r="A4096" t="s">
        <v>36</v>
      </c>
      <c r="B4096" s="11" t="s">
        <v>78</v>
      </c>
      <c r="C4096">
        <v>3004</v>
      </c>
      <c r="D4096" s="9">
        <v>350.28</v>
      </c>
      <c r="E4096" t="s">
        <v>59</v>
      </c>
    </row>
    <row r="4097" spans="1:5">
      <c r="A4097" t="s">
        <v>36</v>
      </c>
      <c r="B4097" s="11" t="s">
        <v>73</v>
      </c>
      <c r="C4097">
        <v>3004</v>
      </c>
      <c r="D4097" s="9">
        <v>472.8</v>
      </c>
      <c r="E4097" t="s">
        <v>60</v>
      </c>
    </row>
    <row r="4098" spans="1:5">
      <c r="A4098" t="s">
        <v>36</v>
      </c>
      <c r="B4098" s="11" t="s">
        <v>74</v>
      </c>
      <c r="C4098">
        <v>3004</v>
      </c>
      <c r="D4098" s="9">
        <v>355.1</v>
      </c>
      <c r="E4098" t="s">
        <v>60</v>
      </c>
    </row>
    <row r="4099" spans="1:5">
      <c r="A4099" t="s">
        <v>37</v>
      </c>
      <c r="B4099" s="11" t="s">
        <v>61</v>
      </c>
      <c r="C4099">
        <v>3004</v>
      </c>
      <c r="D4099" s="9">
        <v>351.57</v>
      </c>
      <c r="E4099" t="s">
        <v>56</v>
      </c>
    </row>
    <row r="4100" spans="1:5">
      <c r="A4100" t="s">
        <v>37</v>
      </c>
      <c r="B4100" s="11" t="s">
        <v>62</v>
      </c>
      <c r="C4100">
        <v>3004</v>
      </c>
      <c r="D4100" s="9">
        <v>195.33</v>
      </c>
      <c r="E4100" t="s">
        <v>56</v>
      </c>
    </row>
    <row r="4101" spans="1:5">
      <c r="A4101" t="s">
        <v>37</v>
      </c>
      <c r="B4101" s="11" t="s">
        <v>63</v>
      </c>
      <c r="C4101">
        <v>3004</v>
      </c>
      <c r="D4101" s="9">
        <v>488.08</v>
      </c>
      <c r="E4101" t="s">
        <v>56</v>
      </c>
    </row>
    <row r="4102" spans="1:5">
      <c r="A4102" t="s">
        <v>37</v>
      </c>
      <c r="B4102" s="11" t="s">
        <v>75</v>
      </c>
      <c r="C4102">
        <v>3004</v>
      </c>
      <c r="D4102" s="9">
        <v>343.92</v>
      </c>
      <c r="E4102" t="s">
        <v>56</v>
      </c>
    </row>
    <row r="4103" spans="1:5">
      <c r="A4103" t="s">
        <v>37</v>
      </c>
      <c r="B4103" s="11" t="s">
        <v>64</v>
      </c>
      <c r="C4103">
        <v>3004</v>
      </c>
      <c r="D4103" s="9">
        <v>449.77</v>
      </c>
      <c r="E4103" t="s">
        <v>57</v>
      </c>
    </row>
    <row r="4104" spans="1:5">
      <c r="A4104" t="s">
        <v>37</v>
      </c>
      <c r="B4104" s="11" t="s">
        <v>65</v>
      </c>
      <c r="C4104">
        <v>3004</v>
      </c>
      <c r="D4104" s="9">
        <v>177.44</v>
      </c>
      <c r="E4104" t="s">
        <v>57</v>
      </c>
    </row>
    <row r="4105" spans="1:5">
      <c r="A4105" t="s">
        <v>37</v>
      </c>
      <c r="B4105" s="11" t="s">
        <v>66</v>
      </c>
      <c r="C4105">
        <v>3004</v>
      </c>
      <c r="D4105" s="9">
        <v>556.20000000000005</v>
      </c>
      <c r="E4105" t="s">
        <v>57</v>
      </c>
    </row>
    <row r="4106" spans="1:5">
      <c r="A4106" t="s">
        <v>37</v>
      </c>
      <c r="B4106" s="11" t="s">
        <v>67</v>
      </c>
      <c r="C4106">
        <v>3004</v>
      </c>
      <c r="D4106" s="9">
        <v>389.3</v>
      </c>
      <c r="E4106" t="s">
        <v>57</v>
      </c>
    </row>
    <row r="4107" spans="1:5">
      <c r="A4107" t="s">
        <v>37</v>
      </c>
      <c r="B4107" s="11" t="s">
        <v>76</v>
      </c>
      <c r="C4107">
        <v>3004</v>
      </c>
      <c r="D4107" s="9">
        <v>125.63</v>
      </c>
      <c r="E4107" t="s">
        <v>57</v>
      </c>
    </row>
    <row r="4108" spans="1:5">
      <c r="A4108" t="s">
        <v>37</v>
      </c>
      <c r="B4108" s="11" t="s">
        <v>68</v>
      </c>
      <c r="C4108">
        <v>3004</v>
      </c>
      <c r="D4108" s="9">
        <v>378.97</v>
      </c>
      <c r="E4108" t="s">
        <v>58</v>
      </c>
    </row>
    <row r="4109" spans="1:5">
      <c r="A4109" t="s">
        <v>37</v>
      </c>
      <c r="B4109" s="11" t="s">
        <v>69</v>
      </c>
      <c r="C4109">
        <v>3004</v>
      </c>
      <c r="D4109" s="9">
        <v>272.33999999999997</v>
      </c>
      <c r="E4109" t="s">
        <v>58</v>
      </c>
    </row>
    <row r="4110" spans="1:5">
      <c r="A4110" t="s">
        <v>37</v>
      </c>
      <c r="B4110" s="11" t="s">
        <v>77</v>
      </c>
      <c r="C4110">
        <v>3004</v>
      </c>
      <c r="D4110" s="9">
        <v>272.70999999999998</v>
      </c>
      <c r="E4110" t="s">
        <v>58</v>
      </c>
    </row>
    <row r="4111" spans="1:5">
      <c r="A4111" t="s">
        <v>37</v>
      </c>
      <c r="B4111" s="11" t="s">
        <v>70</v>
      </c>
      <c r="C4111">
        <v>3004</v>
      </c>
      <c r="D4111" s="9">
        <v>376.11</v>
      </c>
      <c r="E4111" t="s">
        <v>59</v>
      </c>
    </row>
    <row r="4112" spans="1:5">
      <c r="A4112" t="s">
        <v>37</v>
      </c>
      <c r="B4112" s="11" t="s">
        <v>71</v>
      </c>
      <c r="C4112">
        <v>3004</v>
      </c>
      <c r="D4112" s="9">
        <v>533.85</v>
      </c>
      <c r="E4112" t="s">
        <v>59</v>
      </c>
    </row>
    <row r="4113" spans="1:5">
      <c r="A4113" t="s">
        <v>37</v>
      </c>
      <c r="B4113" s="11" t="s">
        <v>72</v>
      </c>
      <c r="C4113">
        <v>3004</v>
      </c>
      <c r="D4113" s="9">
        <v>308.16000000000003</v>
      </c>
      <c r="E4113" t="s">
        <v>59</v>
      </c>
    </row>
    <row r="4114" spans="1:5">
      <c r="A4114" t="s">
        <v>37</v>
      </c>
      <c r="B4114" s="11" t="s">
        <v>78</v>
      </c>
      <c r="C4114">
        <v>3004</v>
      </c>
      <c r="D4114" s="9">
        <v>244.03</v>
      </c>
      <c r="E4114" t="s">
        <v>59</v>
      </c>
    </row>
    <row r="4115" spans="1:5">
      <c r="A4115" t="s">
        <v>37</v>
      </c>
      <c r="B4115" s="11" t="s">
        <v>73</v>
      </c>
      <c r="C4115">
        <v>3004</v>
      </c>
      <c r="D4115" s="9">
        <v>391.12</v>
      </c>
      <c r="E4115" t="s">
        <v>60</v>
      </c>
    </row>
    <row r="4116" spans="1:5">
      <c r="A4116" t="s">
        <v>37</v>
      </c>
      <c r="B4116" s="11" t="s">
        <v>74</v>
      </c>
      <c r="C4116">
        <v>3004</v>
      </c>
      <c r="D4116" s="9">
        <v>394.7</v>
      </c>
      <c r="E4116" t="s">
        <v>60</v>
      </c>
    </row>
    <row r="4117" spans="1:5">
      <c r="A4117" t="s">
        <v>38</v>
      </c>
      <c r="B4117" s="11" t="s">
        <v>61</v>
      </c>
      <c r="C4117">
        <v>3004</v>
      </c>
      <c r="D4117" s="9">
        <v>279.39999999999998</v>
      </c>
      <c r="E4117" t="s">
        <v>56</v>
      </c>
    </row>
    <row r="4118" spans="1:5">
      <c r="A4118" t="s">
        <v>38</v>
      </c>
      <c r="B4118" s="11" t="s">
        <v>62</v>
      </c>
      <c r="C4118">
        <v>3004</v>
      </c>
      <c r="D4118" s="9">
        <v>231.31</v>
      </c>
      <c r="E4118" t="s">
        <v>56</v>
      </c>
    </row>
    <row r="4119" spans="1:5">
      <c r="A4119" t="s">
        <v>38</v>
      </c>
      <c r="B4119" s="11" t="s">
        <v>63</v>
      </c>
      <c r="C4119">
        <v>3004</v>
      </c>
      <c r="D4119" s="9">
        <v>619.91</v>
      </c>
      <c r="E4119" t="s">
        <v>56</v>
      </c>
    </row>
    <row r="4120" spans="1:5">
      <c r="A4120" t="s">
        <v>38</v>
      </c>
      <c r="B4120" s="11" t="s">
        <v>75</v>
      </c>
      <c r="C4120">
        <v>3004</v>
      </c>
      <c r="D4120" s="9">
        <v>622.29999999999995</v>
      </c>
      <c r="E4120" t="s">
        <v>56</v>
      </c>
    </row>
    <row r="4121" spans="1:5">
      <c r="A4121" t="s">
        <v>38</v>
      </c>
      <c r="B4121" s="11" t="s">
        <v>64</v>
      </c>
      <c r="C4121">
        <v>3004</v>
      </c>
      <c r="D4121" s="9">
        <v>487.64</v>
      </c>
      <c r="E4121" t="s">
        <v>57</v>
      </c>
    </row>
    <row r="4122" spans="1:5">
      <c r="A4122" t="s">
        <v>38</v>
      </c>
      <c r="B4122" s="11" t="s">
        <v>65</v>
      </c>
      <c r="C4122">
        <v>3004</v>
      </c>
      <c r="D4122" s="9">
        <v>356.9</v>
      </c>
      <c r="E4122" t="s">
        <v>57</v>
      </c>
    </row>
    <row r="4123" spans="1:5">
      <c r="A4123" t="s">
        <v>38</v>
      </c>
      <c r="B4123" s="11" t="s">
        <v>66</v>
      </c>
      <c r="C4123">
        <v>3004</v>
      </c>
      <c r="D4123" s="9">
        <v>565.87</v>
      </c>
      <c r="E4123" t="s">
        <v>57</v>
      </c>
    </row>
    <row r="4124" spans="1:5">
      <c r="A4124" t="s">
        <v>38</v>
      </c>
      <c r="B4124" s="11" t="s">
        <v>67</v>
      </c>
      <c r="C4124">
        <v>3004</v>
      </c>
      <c r="D4124" s="9">
        <v>251.27</v>
      </c>
      <c r="E4124" t="s">
        <v>57</v>
      </c>
    </row>
    <row r="4125" spans="1:5">
      <c r="A4125" t="s">
        <v>38</v>
      </c>
      <c r="B4125" s="11" t="s">
        <v>76</v>
      </c>
      <c r="C4125">
        <v>3004</v>
      </c>
      <c r="D4125" s="9">
        <v>259.25</v>
      </c>
      <c r="E4125" t="s">
        <v>57</v>
      </c>
    </row>
    <row r="4126" spans="1:5">
      <c r="A4126" t="s">
        <v>38</v>
      </c>
      <c r="B4126" s="11" t="s">
        <v>68</v>
      </c>
      <c r="C4126">
        <v>3004</v>
      </c>
      <c r="D4126" s="9">
        <v>218.75</v>
      </c>
      <c r="E4126" t="s">
        <v>58</v>
      </c>
    </row>
    <row r="4127" spans="1:5">
      <c r="A4127" t="s">
        <v>38</v>
      </c>
      <c r="B4127" s="11" t="s">
        <v>69</v>
      </c>
      <c r="C4127">
        <v>3004</v>
      </c>
      <c r="D4127" s="9">
        <v>316.36</v>
      </c>
      <c r="E4127" t="s">
        <v>58</v>
      </c>
    </row>
    <row r="4128" spans="1:5">
      <c r="A4128" t="s">
        <v>38</v>
      </c>
      <c r="B4128" s="11" t="s">
        <v>77</v>
      </c>
      <c r="C4128">
        <v>3004</v>
      </c>
      <c r="D4128" s="9">
        <v>315.70999999999998</v>
      </c>
      <c r="E4128" t="s">
        <v>58</v>
      </c>
    </row>
    <row r="4129" spans="1:5">
      <c r="A4129" t="s">
        <v>38</v>
      </c>
      <c r="B4129" s="11" t="s">
        <v>70</v>
      </c>
      <c r="C4129">
        <v>3004</v>
      </c>
      <c r="D4129" s="9">
        <v>329.11</v>
      </c>
      <c r="E4129" t="s">
        <v>59</v>
      </c>
    </row>
    <row r="4130" spans="1:5">
      <c r="A4130" t="s">
        <v>38</v>
      </c>
      <c r="B4130" s="11" t="s">
        <v>71</v>
      </c>
      <c r="C4130">
        <v>3004</v>
      </c>
      <c r="D4130" s="9">
        <v>326.20999999999998</v>
      </c>
      <c r="E4130" t="s">
        <v>59</v>
      </c>
    </row>
    <row r="4131" spans="1:5">
      <c r="A4131" t="s">
        <v>38</v>
      </c>
      <c r="B4131" s="11" t="s">
        <v>72</v>
      </c>
      <c r="C4131">
        <v>3004</v>
      </c>
      <c r="D4131" s="9">
        <v>412.1</v>
      </c>
      <c r="E4131" t="s">
        <v>59</v>
      </c>
    </row>
    <row r="4132" spans="1:5">
      <c r="A4132" t="s">
        <v>38</v>
      </c>
      <c r="B4132" s="11" t="s">
        <v>78</v>
      </c>
      <c r="C4132">
        <v>3004</v>
      </c>
      <c r="D4132" s="9">
        <v>235.45</v>
      </c>
      <c r="E4132" t="s">
        <v>59</v>
      </c>
    </row>
    <row r="4133" spans="1:5">
      <c r="A4133" t="s">
        <v>38</v>
      </c>
      <c r="B4133" s="11" t="s">
        <v>73</v>
      </c>
      <c r="C4133">
        <v>3004</v>
      </c>
      <c r="D4133" s="9">
        <v>558.55999999999995</v>
      </c>
      <c r="E4133" t="s">
        <v>60</v>
      </c>
    </row>
    <row r="4134" spans="1:5">
      <c r="A4134" t="s">
        <v>38</v>
      </c>
      <c r="B4134" s="11" t="s">
        <v>74</v>
      </c>
      <c r="C4134">
        <v>3004</v>
      </c>
      <c r="D4134" s="9">
        <v>351.51</v>
      </c>
      <c r="E4134" t="s">
        <v>60</v>
      </c>
    </row>
    <row r="4135" spans="1:5">
      <c r="A4135" t="s">
        <v>39</v>
      </c>
      <c r="B4135" s="11" t="s">
        <v>61</v>
      </c>
      <c r="C4135">
        <v>3004</v>
      </c>
      <c r="D4135" s="9">
        <v>396.41</v>
      </c>
      <c r="E4135" t="s">
        <v>56</v>
      </c>
    </row>
    <row r="4136" spans="1:5">
      <c r="A4136" t="s">
        <v>39</v>
      </c>
      <c r="B4136" s="11" t="s">
        <v>62</v>
      </c>
      <c r="C4136">
        <v>3004</v>
      </c>
      <c r="D4136" s="9">
        <v>150.04</v>
      </c>
      <c r="E4136" t="s">
        <v>56</v>
      </c>
    </row>
    <row r="4137" spans="1:5">
      <c r="A4137" t="s">
        <v>39</v>
      </c>
      <c r="B4137" s="11" t="s">
        <v>63</v>
      </c>
      <c r="C4137">
        <v>3004</v>
      </c>
      <c r="D4137" s="9">
        <v>360.42</v>
      </c>
      <c r="E4137" t="s">
        <v>56</v>
      </c>
    </row>
    <row r="4138" spans="1:5">
      <c r="A4138" t="s">
        <v>39</v>
      </c>
      <c r="B4138" s="11" t="s">
        <v>75</v>
      </c>
      <c r="C4138">
        <v>3004</v>
      </c>
      <c r="D4138" s="9">
        <v>267.45999999999998</v>
      </c>
      <c r="E4138" t="s">
        <v>56</v>
      </c>
    </row>
    <row r="4139" spans="1:5">
      <c r="A4139" t="s">
        <v>39</v>
      </c>
      <c r="B4139" s="11" t="s">
        <v>64</v>
      </c>
      <c r="C4139">
        <v>3004</v>
      </c>
      <c r="D4139" s="9">
        <v>429.15</v>
      </c>
      <c r="E4139" t="s">
        <v>57</v>
      </c>
    </row>
    <row r="4140" spans="1:5">
      <c r="A4140" t="s">
        <v>39</v>
      </c>
      <c r="B4140" s="11" t="s">
        <v>65</v>
      </c>
      <c r="C4140">
        <v>3004</v>
      </c>
      <c r="D4140" s="9">
        <v>555.01</v>
      </c>
      <c r="E4140" t="s">
        <v>57</v>
      </c>
    </row>
    <row r="4141" spans="1:5">
      <c r="A4141" t="s">
        <v>39</v>
      </c>
      <c r="B4141" s="11" t="s">
        <v>66</v>
      </c>
      <c r="C4141">
        <v>3004</v>
      </c>
      <c r="D4141" s="9">
        <v>471.48</v>
      </c>
      <c r="E4141" t="s">
        <v>57</v>
      </c>
    </row>
    <row r="4142" spans="1:5">
      <c r="A4142" t="s">
        <v>39</v>
      </c>
      <c r="B4142" s="11" t="s">
        <v>67</v>
      </c>
      <c r="C4142">
        <v>3004</v>
      </c>
      <c r="D4142" s="9">
        <v>244.5</v>
      </c>
      <c r="E4142" t="s">
        <v>57</v>
      </c>
    </row>
    <row r="4143" spans="1:5">
      <c r="A4143" t="s">
        <v>39</v>
      </c>
      <c r="B4143" s="11" t="s">
        <v>76</v>
      </c>
      <c r="C4143">
        <v>3004</v>
      </c>
      <c r="D4143" s="9">
        <v>241.92</v>
      </c>
      <c r="E4143" t="s">
        <v>57</v>
      </c>
    </row>
    <row r="4144" spans="1:5">
      <c r="A4144" t="s">
        <v>39</v>
      </c>
      <c r="B4144" s="11" t="s">
        <v>68</v>
      </c>
      <c r="C4144">
        <v>3004</v>
      </c>
      <c r="D4144" s="9">
        <v>511.86</v>
      </c>
      <c r="E4144" t="s">
        <v>58</v>
      </c>
    </row>
    <row r="4145" spans="1:5">
      <c r="A4145" t="s">
        <v>39</v>
      </c>
      <c r="B4145" s="11" t="s">
        <v>69</v>
      </c>
      <c r="C4145">
        <v>3004</v>
      </c>
      <c r="D4145" s="9">
        <v>224.47</v>
      </c>
      <c r="E4145" t="s">
        <v>58</v>
      </c>
    </row>
    <row r="4146" spans="1:5">
      <c r="A4146" t="s">
        <v>39</v>
      </c>
      <c r="B4146" s="11" t="s">
        <v>77</v>
      </c>
      <c r="C4146">
        <v>3004</v>
      </c>
      <c r="D4146" s="9">
        <v>422.26</v>
      </c>
      <c r="E4146" t="s">
        <v>58</v>
      </c>
    </row>
    <row r="4147" spans="1:5">
      <c r="A4147" t="s">
        <v>39</v>
      </c>
      <c r="B4147" s="11" t="s">
        <v>70</v>
      </c>
      <c r="C4147">
        <v>3004</v>
      </c>
      <c r="D4147" s="9">
        <v>402.62</v>
      </c>
      <c r="E4147" t="s">
        <v>59</v>
      </c>
    </row>
    <row r="4148" spans="1:5">
      <c r="A4148" t="s">
        <v>39</v>
      </c>
      <c r="B4148" s="11" t="s">
        <v>71</v>
      </c>
      <c r="C4148">
        <v>3004</v>
      </c>
      <c r="D4148" s="9">
        <v>422.81</v>
      </c>
      <c r="E4148" t="s">
        <v>59</v>
      </c>
    </row>
    <row r="4149" spans="1:5">
      <c r="A4149" t="s">
        <v>39</v>
      </c>
      <c r="B4149" s="11" t="s">
        <v>72</v>
      </c>
      <c r="C4149">
        <v>3004</v>
      </c>
      <c r="D4149" s="9">
        <v>460.83</v>
      </c>
      <c r="E4149" t="s">
        <v>59</v>
      </c>
    </row>
    <row r="4150" spans="1:5">
      <c r="A4150" t="s">
        <v>39</v>
      </c>
      <c r="B4150" s="11" t="s">
        <v>78</v>
      </c>
      <c r="C4150">
        <v>3004</v>
      </c>
      <c r="D4150" s="9">
        <v>410.25</v>
      </c>
      <c r="E4150" t="s">
        <v>59</v>
      </c>
    </row>
    <row r="4151" spans="1:5">
      <c r="A4151" t="s">
        <v>39</v>
      </c>
      <c r="B4151" s="11" t="s">
        <v>73</v>
      </c>
      <c r="C4151">
        <v>3004</v>
      </c>
      <c r="D4151" s="9">
        <v>345.75</v>
      </c>
      <c r="E4151" t="s">
        <v>60</v>
      </c>
    </row>
    <row r="4152" spans="1:5">
      <c r="A4152" t="s">
        <v>39</v>
      </c>
      <c r="B4152" s="11" t="s">
        <v>74</v>
      </c>
      <c r="C4152">
        <v>3004</v>
      </c>
      <c r="D4152" s="9">
        <v>455.64</v>
      </c>
      <c r="E4152" t="s">
        <v>60</v>
      </c>
    </row>
    <row r="4153" spans="1:5">
      <c r="A4153" t="s">
        <v>28</v>
      </c>
      <c r="B4153" s="11" t="s">
        <v>61</v>
      </c>
      <c r="C4153">
        <v>4010</v>
      </c>
      <c r="D4153" s="9">
        <v>15000</v>
      </c>
      <c r="E4153" t="s">
        <v>56</v>
      </c>
    </row>
    <row r="4154" spans="1:5">
      <c r="A4154" t="s">
        <v>28</v>
      </c>
      <c r="B4154" s="11" t="s">
        <v>62</v>
      </c>
      <c r="C4154">
        <v>4010</v>
      </c>
      <c r="D4154" s="9">
        <v>2000</v>
      </c>
      <c r="E4154" t="s">
        <v>56</v>
      </c>
    </row>
    <row r="4155" spans="1:5">
      <c r="A4155" t="s">
        <v>28</v>
      </c>
      <c r="B4155" s="11" t="s">
        <v>63</v>
      </c>
      <c r="C4155">
        <v>4010</v>
      </c>
      <c r="D4155" s="9">
        <v>0</v>
      </c>
      <c r="E4155" t="s">
        <v>56</v>
      </c>
    </row>
    <row r="4156" spans="1:5">
      <c r="A4156" t="s">
        <v>28</v>
      </c>
      <c r="B4156" s="11" t="s">
        <v>75</v>
      </c>
      <c r="C4156">
        <v>4010</v>
      </c>
      <c r="D4156" s="9">
        <v>0</v>
      </c>
      <c r="E4156" t="s">
        <v>56</v>
      </c>
    </row>
    <row r="4157" spans="1:5">
      <c r="A4157" t="s">
        <v>28</v>
      </c>
      <c r="B4157" s="11" t="s">
        <v>64</v>
      </c>
      <c r="C4157">
        <v>4010</v>
      </c>
      <c r="D4157" s="9">
        <v>25000</v>
      </c>
      <c r="E4157" t="s">
        <v>57</v>
      </c>
    </row>
    <row r="4158" spans="1:5">
      <c r="A4158" t="s">
        <v>28</v>
      </c>
      <c r="B4158" s="11" t="s">
        <v>65</v>
      </c>
      <c r="C4158">
        <v>4010</v>
      </c>
      <c r="D4158" s="9">
        <v>15000</v>
      </c>
      <c r="E4158" t="s">
        <v>57</v>
      </c>
    </row>
    <row r="4159" spans="1:5">
      <c r="A4159" t="s">
        <v>28</v>
      </c>
      <c r="B4159" s="11" t="s">
        <v>66</v>
      </c>
      <c r="C4159">
        <v>4010</v>
      </c>
      <c r="D4159" s="9">
        <v>0</v>
      </c>
      <c r="E4159" t="s">
        <v>57</v>
      </c>
    </row>
    <row r="4160" spans="1:5">
      <c r="A4160" t="s">
        <v>28</v>
      </c>
      <c r="B4160" s="11" t="s">
        <v>67</v>
      </c>
      <c r="C4160">
        <v>4010</v>
      </c>
      <c r="D4160" s="9">
        <v>0</v>
      </c>
      <c r="E4160" t="s">
        <v>57</v>
      </c>
    </row>
    <row r="4161" spans="1:5">
      <c r="A4161" t="s">
        <v>28</v>
      </c>
      <c r="B4161" s="11" t="s">
        <v>76</v>
      </c>
      <c r="C4161">
        <v>4010</v>
      </c>
      <c r="D4161" s="9">
        <v>2400</v>
      </c>
      <c r="E4161" t="s">
        <v>57</v>
      </c>
    </row>
    <row r="4162" spans="1:5">
      <c r="A4162" t="s">
        <v>28</v>
      </c>
      <c r="B4162" s="11" t="s">
        <v>68</v>
      </c>
      <c r="C4162">
        <v>4010</v>
      </c>
      <c r="D4162" s="9">
        <v>2500</v>
      </c>
      <c r="E4162" t="s">
        <v>58</v>
      </c>
    </row>
    <row r="4163" spans="1:5">
      <c r="A4163" t="s">
        <v>28</v>
      </c>
      <c r="B4163" s="11" t="s">
        <v>69</v>
      </c>
      <c r="C4163">
        <v>4010</v>
      </c>
      <c r="D4163" s="9">
        <v>5000</v>
      </c>
      <c r="E4163" t="s">
        <v>58</v>
      </c>
    </row>
    <row r="4164" spans="1:5">
      <c r="A4164" t="s">
        <v>28</v>
      </c>
      <c r="B4164" s="11" t="s">
        <v>77</v>
      </c>
      <c r="C4164">
        <v>4010</v>
      </c>
      <c r="D4164" s="9">
        <v>3500</v>
      </c>
      <c r="E4164" t="s">
        <v>58</v>
      </c>
    </row>
    <row r="4165" spans="1:5">
      <c r="A4165" t="s">
        <v>28</v>
      </c>
      <c r="B4165" s="11" t="s">
        <v>70</v>
      </c>
      <c r="C4165">
        <v>4010</v>
      </c>
      <c r="D4165" s="9">
        <v>0</v>
      </c>
      <c r="E4165" t="s">
        <v>59</v>
      </c>
    </row>
    <row r="4166" spans="1:5">
      <c r="A4166" t="s">
        <v>28</v>
      </c>
      <c r="B4166" s="11" t="s">
        <v>71</v>
      </c>
      <c r="C4166">
        <v>4010</v>
      </c>
      <c r="D4166" s="9">
        <v>0</v>
      </c>
      <c r="E4166" t="s">
        <v>59</v>
      </c>
    </row>
    <row r="4167" spans="1:5">
      <c r="A4167" t="s">
        <v>28</v>
      </c>
      <c r="B4167" s="11" t="s">
        <v>72</v>
      </c>
      <c r="C4167">
        <v>4010</v>
      </c>
      <c r="D4167" s="9">
        <v>1500</v>
      </c>
      <c r="E4167" t="s">
        <v>59</v>
      </c>
    </row>
    <row r="4168" spans="1:5">
      <c r="A4168" t="s">
        <v>28</v>
      </c>
      <c r="B4168" s="11" t="s">
        <v>78</v>
      </c>
      <c r="C4168">
        <v>4010</v>
      </c>
      <c r="D4168" s="9">
        <v>15000</v>
      </c>
      <c r="E4168" t="s">
        <v>59</v>
      </c>
    </row>
    <row r="4169" spans="1:5">
      <c r="A4169" t="s">
        <v>28</v>
      </c>
      <c r="B4169" s="11" t="s">
        <v>73</v>
      </c>
      <c r="C4169">
        <v>4010</v>
      </c>
      <c r="D4169" s="9">
        <v>0</v>
      </c>
      <c r="E4169" t="s">
        <v>60</v>
      </c>
    </row>
    <row r="4170" spans="1:5">
      <c r="A4170" t="s">
        <v>28</v>
      </c>
      <c r="B4170" s="11" t="s">
        <v>74</v>
      </c>
      <c r="C4170">
        <v>4010</v>
      </c>
      <c r="D4170" s="9">
        <v>0</v>
      </c>
      <c r="E4170" t="s">
        <v>60</v>
      </c>
    </row>
    <row r="4171" spans="1:5">
      <c r="A4171" t="s">
        <v>29</v>
      </c>
      <c r="B4171" s="11" t="s">
        <v>61</v>
      </c>
      <c r="C4171">
        <v>4010</v>
      </c>
      <c r="D4171" s="9">
        <v>15000</v>
      </c>
      <c r="E4171" t="s">
        <v>56</v>
      </c>
    </row>
    <row r="4172" spans="1:5">
      <c r="A4172" t="s">
        <v>29</v>
      </c>
      <c r="B4172" s="11" t="s">
        <v>62</v>
      </c>
      <c r="C4172">
        <v>4010</v>
      </c>
      <c r="D4172" s="9">
        <v>2000</v>
      </c>
      <c r="E4172" t="s">
        <v>56</v>
      </c>
    </row>
    <row r="4173" spans="1:5">
      <c r="A4173" t="s">
        <v>29</v>
      </c>
      <c r="B4173" s="11" t="s">
        <v>63</v>
      </c>
      <c r="C4173">
        <v>4010</v>
      </c>
      <c r="D4173" s="9">
        <v>0</v>
      </c>
      <c r="E4173" t="s">
        <v>56</v>
      </c>
    </row>
    <row r="4174" spans="1:5">
      <c r="A4174" t="s">
        <v>29</v>
      </c>
      <c r="B4174" s="11" t="s">
        <v>75</v>
      </c>
      <c r="C4174">
        <v>4010</v>
      </c>
      <c r="D4174" s="9">
        <v>0</v>
      </c>
      <c r="E4174" t="s">
        <v>56</v>
      </c>
    </row>
    <row r="4175" spans="1:5">
      <c r="A4175" t="s">
        <v>29</v>
      </c>
      <c r="B4175" s="11" t="s">
        <v>64</v>
      </c>
      <c r="C4175">
        <v>4010</v>
      </c>
      <c r="D4175" s="9">
        <v>25000</v>
      </c>
      <c r="E4175" t="s">
        <v>57</v>
      </c>
    </row>
    <row r="4176" spans="1:5">
      <c r="A4176" t="s">
        <v>29</v>
      </c>
      <c r="B4176" s="11" t="s">
        <v>65</v>
      </c>
      <c r="C4176">
        <v>4010</v>
      </c>
      <c r="D4176" s="9">
        <v>15000</v>
      </c>
      <c r="E4176" t="s">
        <v>57</v>
      </c>
    </row>
    <row r="4177" spans="1:5">
      <c r="A4177" t="s">
        <v>29</v>
      </c>
      <c r="B4177" s="11" t="s">
        <v>66</v>
      </c>
      <c r="C4177">
        <v>4010</v>
      </c>
      <c r="D4177" s="9">
        <v>0</v>
      </c>
      <c r="E4177" t="s">
        <v>57</v>
      </c>
    </row>
    <row r="4178" spans="1:5">
      <c r="A4178" t="s">
        <v>29</v>
      </c>
      <c r="B4178" s="11" t="s">
        <v>67</v>
      </c>
      <c r="C4178">
        <v>4010</v>
      </c>
      <c r="D4178" s="9">
        <v>0</v>
      </c>
      <c r="E4178" t="s">
        <v>57</v>
      </c>
    </row>
    <row r="4179" spans="1:5">
      <c r="A4179" t="s">
        <v>29</v>
      </c>
      <c r="B4179" s="11" t="s">
        <v>76</v>
      </c>
      <c r="C4179">
        <v>4010</v>
      </c>
      <c r="D4179" s="9">
        <v>2400</v>
      </c>
      <c r="E4179" t="s">
        <v>57</v>
      </c>
    </row>
    <row r="4180" spans="1:5">
      <c r="A4180" t="s">
        <v>29</v>
      </c>
      <c r="B4180" s="11" t="s">
        <v>68</v>
      </c>
      <c r="C4180">
        <v>4010</v>
      </c>
      <c r="D4180" s="9">
        <v>2500</v>
      </c>
      <c r="E4180" t="s">
        <v>58</v>
      </c>
    </row>
    <row r="4181" spans="1:5">
      <c r="A4181" t="s">
        <v>29</v>
      </c>
      <c r="B4181" s="11" t="s">
        <v>69</v>
      </c>
      <c r="C4181">
        <v>4010</v>
      </c>
      <c r="D4181" s="9">
        <v>5000</v>
      </c>
      <c r="E4181" t="s">
        <v>58</v>
      </c>
    </row>
    <row r="4182" spans="1:5">
      <c r="A4182" t="s">
        <v>29</v>
      </c>
      <c r="B4182" s="11" t="s">
        <v>77</v>
      </c>
      <c r="C4182">
        <v>4010</v>
      </c>
      <c r="D4182" s="9">
        <v>3500</v>
      </c>
      <c r="E4182" t="s">
        <v>58</v>
      </c>
    </row>
    <row r="4183" spans="1:5">
      <c r="A4183" t="s">
        <v>29</v>
      </c>
      <c r="B4183" s="11" t="s">
        <v>70</v>
      </c>
      <c r="C4183">
        <v>4010</v>
      </c>
      <c r="D4183" s="9">
        <v>0</v>
      </c>
      <c r="E4183" t="s">
        <v>59</v>
      </c>
    </row>
    <row r="4184" spans="1:5">
      <c r="A4184" t="s">
        <v>29</v>
      </c>
      <c r="B4184" s="11" t="s">
        <v>71</v>
      </c>
      <c r="C4184">
        <v>4010</v>
      </c>
      <c r="D4184" s="9">
        <v>0</v>
      </c>
      <c r="E4184" t="s">
        <v>59</v>
      </c>
    </row>
    <row r="4185" spans="1:5">
      <c r="A4185" t="s">
        <v>29</v>
      </c>
      <c r="B4185" s="11" t="s">
        <v>72</v>
      </c>
      <c r="C4185">
        <v>4010</v>
      </c>
      <c r="D4185" s="9">
        <v>1500</v>
      </c>
      <c r="E4185" t="s">
        <v>59</v>
      </c>
    </row>
    <row r="4186" spans="1:5">
      <c r="A4186" t="s">
        <v>29</v>
      </c>
      <c r="B4186" s="11" t="s">
        <v>78</v>
      </c>
      <c r="C4186">
        <v>4010</v>
      </c>
      <c r="D4186" s="9">
        <v>15000</v>
      </c>
      <c r="E4186" t="s">
        <v>59</v>
      </c>
    </row>
    <row r="4187" spans="1:5">
      <c r="A4187" t="s">
        <v>29</v>
      </c>
      <c r="B4187" s="11" t="s">
        <v>73</v>
      </c>
      <c r="C4187">
        <v>4010</v>
      </c>
      <c r="D4187" s="9">
        <v>0</v>
      </c>
      <c r="E4187" t="s">
        <v>60</v>
      </c>
    </row>
    <row r="4188" spans="1:5">
      <c r="A4188" t="s">
        <v>29</v>
      </c>
      <c r="B4188" s="11" t="s">
        <v>74</v>
      </c>
      <c r="C4188">
        <v>4010</v>
      </c>
      <c r="D4188" s="9">
        <v>0</v>
      </c>
      <c r="E4188" t="s">
        <v>60</v>
      </c>
    </row>
    <row r="4189" spans="1:5">
      <c r="A4189" t="s">
        <v>30</v>
      </c>
      <c r="B4189" s="11" t="s">
        <v>61</v>
      </c>
      <c r="C4189">
        <v>4010</v>
      </c>
      <c r="D4189" s="9">
        <v>15000</v>
      </c>
      <c r="E4189" t="s">
        <v>56</v>
      </c>
    </row>
    <row r="4190" spans="1:5">
      <c r="A4190" t="s">
        <v>30</v>
      </c>
      <c r="B4190" s="11" t="s">
        <v>62</v>
      </c>
      <c r="C4190">
        <v>4010</v>
      </c>
      <c r="D4190" s="9">
        <v>2000</v>
      </c>
      <c r="E4190" t="s">
        <v>56</v>
      </c>
    </row>
    <row r="4191" spans="1:5">
      <c r="A4191" t="s">
        <v>30</v>
      </c>
      <c r="B4191" s="11" t="s">
        <v>63</v>
      </c>
      <c r="C4191">
        <v>4010</v>
      </c>
      <c r="D4191" s="9">
        <v>0</v>
      </c>
      <c r="E4191" t="s">
        <v>56</v>
      </c>
    </row>
    <row r="4192" spans="1:5">
      <c r="A4192" t="s">
        <v>30</v>
      </c>
      <c r="B4192" s="11" t="s">
        <v>75</v>
      </c>
      <c r="C4192">
        <v>4010</v>
      </c>
      <c r="D4192" s="9">
        <v>0</v>
      </c>
      <c r="E4192" t="s">
        <v>56</v>
      </c>
    </row>
    <row r="4193" spans="1:5">
      <c r="A4193" t="s">
        <v>30</v>
      </c>
      <c r="B4193" s="11" t="s">
        <v>64</v>
      </c>
      <c r="C4193">
        <v>4010</v>
      </c>
      <c r="D4193" s="9">
        <v>25000</v>
      </c>
      <c r="E4193" t="s">
        <v>57</v>
      </c>
    </row>
    <row r="4194" spans="1:5">
      <c r="A4194" t="s">
        <v>30</v>
      </c>
      <c r="B4194" s="11" t="s">
        <v>65</v>
      </c>
      <c r="C4194">
        <v>4010</v>
      </c>
      <c r="D4194" s="9">
        <v>15000</v>
      </c>
      <c r="E4194" t="s">
        <v>57</v>
      </c>
    </row>
    <row r="4195" spans="1:5">
      <c r="A4195" t="s">
        <v>30</v>
      </c>
      <c r="B4195" s="11" t="s">
        <v>66</v>
      </c>
      <c r="C4195">
        <v>4010</v>
      </c>
      <c r="D4195" s="9">
        <v>0</v>
      </c>
      <c r="E4195" t="s">
        <v>57</v>
      </c>
    </row>
    <row r="4196" spans="1:5">
      <c r="A4196" t="s">
        <v>30</v>
      </c>
      <c r="B4196" s="11" t="s">
        <v>67</v>
      </c>
      <c r="C4196">
        <v>4010</v>
      </c>
      <c r="D4196" s="9">
        <v>0</v>
      </c>
      <c r="E4196" t="s">
        <v>57</v>
      </c>
    </row>
    <row r="4197" spans="1:5">
      <c r="A4197" t="s">
        <v>30</v>
      </c>
      <c r="B4197" s="11" t="s">
        <v>76</v>
      </c>
      <c r="C4197">
        <v>4010</v>
      </c>
      <c r="D4197" s="9">
        <v>2400</v>
      </c>
      <c r="E4197" t="s">
        <v>57</v>
      </c>
    </row>
    <row r="4198" spans="1:5">
      <c r="A4198" t="s">
        <v>30</v>
      </c>
      <c r="B4198" s="11" t="s">
        <v>68</v>
      </c>
      <c r="C4198">
        <v>4010</v>
      </c>
      <c r="D4198" s="9">
        <v>2500</v>
      </c>
      <c r="E4198" t="s">
        <v>58</v>
      </c>
    </row>
    <row r="4199" spans="1:5">
      <c r="A4199" t="s">
        <v>30</v>
      </c>
      <c r="B4199" s="11" t="s">
        <v>69</v>
      </c>
      <c r="C4199">
        <v>4010</v>
      </c>
      <c r="D4199" s="9">
        <v>5000</v>
      </c>
      <c r="E4199" t="s">
        <v>58</v>
      </c>
    </row>
    <row r="4200" spans="1:5">
      <c r="A4200" t="s">
        <v>30</v>
      </c>
      <c r="B4200" s="11" t="s">
        <v>77</v>
      </c>
      <c r="C4200">
        <v>4010</v>
      </c>
      <c r="D4200" s="9">
        <v>3500</v>
      </c>
      <c r="E4200" t="s">
        <v>58</v>
      </c>
    </row>
    <row r="4201" spans="1:5">
      <c r="A4201" t="s">
        <v>30</v>
      </c>
      <c r="B4201" s="11" t="s">
        <v>70</v>
      </c>
      <c r="C4201">
        <v>4010</v>
      </c>
      <c r="D4201" s="9">
        <v>0</v>
      </c>
      <c r="E4201" t="s">
        <v>59</v>
      </c>
    </row>
    <row r="4202" spans="1:5">
      <c r="A4202" t="s">
        <v>30</v>
      </c>
      <c r="B4202" s="11" t="s">
        <v>71</v>
      </c>
      <c r="C4202">
        <v>4010</v>
      </c>
      <c r="D4202" s="9">
        <v>0</v>
      </c>
      <c r="E4202" t="s">
        <v>59</v>
      </c>
    </row>
    <row r="4203" spans="1:5">
      <c r="A4203" t="s">
        <v>30</v>
      </c>
      <c r="B4203" s="11" t="s">
        <v>72</v>
      </c>
      <c r="C4203">
        <v>4010</v>
      </c>
      <c r="D4203" s="9">
        <v>1500</v>
      </c>
      <c r="E4203" t="s">
        <v>59</v>
      </c>
    </row>
    <row r="4204" spans="1:5">
      <c r="A4204" t="s">
        <v>30</v>
      </c>
      <c r="B4204" s="11" t="s">
        <v>78</v>
      </c>
      <c r="C4204">
        <v>4010</v>
      </c>
      <c r="D4204" s="9">
        <v>15000</v>
      </c>
      <c r="E4204" t="s">
        <v>59</v>
      </c>
    </row>
    <row r="4205" spans="1:5">
      <c r="A4205" t="s">
        <v>30</v>
      </c>
      <c r="B4205" s="11" t="s">
        <v>73</v>
      </c>
      <c r="C4205">
        <v>4010</v>
      </c>
      <c r="D4205" s="9">
        <v>0</v>
      </c>
      <c r="E4205" t="s">
        <v>60</v>
      </c>
    </row>
    <row r="4206" spans="1:5">
      <c r="A4206" t="s">
        <v>30</v>
      </c>
      <c r="B4206" s="11" t="s">
        <v>74</v>
      </c>
      <c r="C4206">
        <v>4010</v>
      </c>
      <c r="D4206" s="9">
        <v>0</v>
      </c>
      <c r="E4206" t="s">
        <v>60</v>
      </c>
    </row>
    <row r="4207" spans="1:5">
      <c r="A4207" t="s">
        <v>31</v>
      </c>
      <c r="B4207" s="11" t="s">
        <v>61</v>
      </c>
      <c r="C4207">
        <v>4010</v>
      </c>
      <c r="D4207" s="9">
        <v>15000</v>
      </c>
      <c r="E4207" t="s">
        <v>56</v>
      </c>
    </row>
    <row r="4208" spans="1:5">
      <c r="A4208" t="s">
        <v>31</v>
      </c>
      <c r="B4208" s="11" t="s">
        <v>62</v>
      </c>
      <c r="C4208">
        <v>4010</v>
      </c>
      <c r="D4208" s="9">
        <v>2000</v>
      </c>
      <c r="E4208" t="s">
        <v>56</v>
      </c>
    </row>
    <row r="4209" spans="1:5">
      <c r="A4209" t="s">
        <v>31</v>
      </c>
      <c r="B4209" s="11" t="s">
        <v>63</v>
      </c>
      <c r="C4209">
        <v>4010</v>
      </c>
      <c r="D4209" s="9">
        <v>0</v>
      </c>
      <c r="E4209" t="s">
        <v>56</v>
      </c>
    </row>
    <row r="4210" spans="1:5">
      <c r="A4210" t="s">
        <v>31</v>
      </c>
      <c r="B4210" s="11" t="s">
        <v>75</v>
      </c>
      <c r="C4210">
        <v>4010</v>
      </c>
      <c r="D4210" s="9">
        <v>0</v>
      </c>
      <c r="E4210" t="s">
        <v>56</v>
      </c>
    </row>
    <row r="4211" spans="1:5">
      <c r="A4211" t="s">
        <v>31</v>
      </c>
      <c r="B4211" s="11" t="s">
        <v>64</v>
      </c>
      <c r="C4211">
        <v>4010</v>
      </c>
      <c r="D4211" s="9">
        <v>25000</v>
      </c>
      <c r="E4211" t="s">
        <v>57</v>
      </c>
    </row>
    <row r="4212" spans="1:5">
      <c r="A4212" t="s">
        <v>31</v>
      </c>
      <c r="B4212" s="11" t="s">
        <v>65</v>
      </c>
      <c r="C4212">
        <v>4010</v>
      </c>
      <c r="D4212" s="9">
        <v>15000</v>
      </c>
      <c r="E4212" t="s">
        <v>57</v>
      </c>
    </row>
    <row r="4213" spans="1:5">
      <c r="A4213" t="s">
        <v>31</v>
      </c>
      <c r="B4213" s="11" t="s">
        <v>66</v>
      </c>
      <c r="C4213">
        <v>4010</v>
      </c>
      <c r="D4213" s="9">
        <v>0</v>
      </c>
      <c r="E4213" t="s">
        <v>57</v>
      </c>
    </row>
    <row r="4214" spans="1:5">
      <c r="A4214" t="s">
        <v>31</v>
      </c>
      <c r="B4214" s="11" t="s">
        <v>67</v>
      </c>
      <c r="C4214">
        <v>4010</v>
      </c>
      <c r="D4214" s="9">
        <v>0</v>
      </c>
      <c r="E4214" t="s">
        <v>57</v>
      </c>
    </row>
    <row r="4215" spans="1:5">
      <c r="A4215" t="s">
        <v>31</v>
      </c>
      <c r="B4215" s="11" t="s">
        <v>76</v>
      </c>
      <c r="C4215">
        <v>4010</v>
      </c>
      <c r="D4215" s="9">
        <v>2400</v>
      </c>
      <c r="E4215" t="s">
        <v>57</v>
      </c>
    </row>
    <row r="4216" spans="1:5">
      <c r="A4216" t="s">
        <v>31</v>
      </c>
      <c r="B4216" s="11" t="s">
        <v>68</v>
      </c>
      <c r="C4216">
        <v>4010</v>
      </c>
      <c r="D4216" s="9">
        <v>2500</v>
      </c>
      <c r="E4216" t="s">
        <v>58</v>
      </c>
    </row>
    <row r="4217" spans="1:5">
      <c r="A4217" t="s">
        <v>31</v>
      </c>
      <c r="B4217" s="11" t="s">
        <v>69</v>
      </c>
      <c r="C4217">
        <v>4010</v>
      </c>
      <c r="D4217" s="9">
        <v>5000</v>
      </c>
      <c r="E4217" t="s">
        <v>58</v>
      </c>
    </row>
    <row r="4218" spans="1:5">
      <c r="A4218" t="s">
        <v>31</v>
      </c>
      <c r="B4218" s="11" t="s">
        <v>77</v>
      </c>
      <c r="C4218">
        <v>4010</v>
      </c>
      <c r="D4218" s="9">
        <v>3500</v>
      </c>
      <c r="E4218" t="s">
        <v>58</v>
      </c>
    </row>
    <row r="4219" spans="1:5">
      <c r="A4219" t="s">
        <v>31</v>
      </c>
      <c r="B4219" s="11" t="s">
        <v>70</v>
      </c>
      <c r="C4219">
        <v>4010</v>
      </c>
      <c r="D4219" s="9">
        <v>0</v>
      </c>
      <c r="E4219" t="s">
        <v>59</v>
      </c>
    </row>
    <row r="4220" spans="1:5">
      <c r="A4220" t="s">
        <v>31</v>
      </c>
      <c r="B4220" s="11" t="s">
        <v>71</v>
      </c>
      <c r="C4220">
        <v>4010</v>
      </c>
      <c r="D4220" s="9">
        <v>0</v>
      </c>
      <c r="E4220" t="s">
        <v>59</v>
      </c>
    </row>
    <row r="4221" spans="1:5">
      <c r="A4221" t="s">
        <v>31</v>
      </c>
      <c r="B4221" s="11" t="s">
        <v>72</v>
      </c>
      <c r="C4221">
        <v>4010</v>
      </c>
      <c r="D4221" s="9">
        <v>1500</v>
      </c>
      <c r="E4221" t="s">
        <v>59</v>
      </c>
    </row>
    <row r="4222" spans="1:5">
      <c r="A4222" t="s">
        <v>31</v>
      </c>
      <c r="B4222" s="11" t="s">
        <v>78</v>
      </c>
      <c r="C4222">
        <v>4010</v>
      </c>
      <c r="D4222" s="9">
        <v>15000</v>
      </c>
      <c r="E4222" t="s">
        <v>59</v>
      </c>
    </row>
    <row r="4223" spans="1:5">
      <c r="A4223" t="s">
        <v>31</v>
      </c>
      <c r="B4223" s="11" t="s">
        <v>73</v>
      </c>
      <c r="C4223">
        <v>4010</v>
      </c>
      <c r="D4223" s="9">
        <v>0</v>
      </c>
      <c r="E4223" t="s">
        <v>60</v>
      </c>
    </row>
    <row r="4224" spans="1:5">
      <c r="A4224" t="s">
        <v>31</v>
      </c>
      <c r="B4224" s="11" t="s">
        <v>74</v>
      </c>
      <c r="C4224">
        <v>4010</v>
      </c>
      <c r="D4224" s="9">
        <v>0</v>
      </c>
      <c r="E4224" t="s">
        <v>60</v>
      </c>
    </row>
    <row r="4225" spans="1:5">
      <c r="A4225" t="s">
        <v>32</v>
      </c>
      <c r="B4225" s="11" t="s">
        <v>61</v>
      </c>
      <c r="C4225">
        <v>4010</v>
      </c>
      <c r="D4225" s="9">
        <v>15000</v>
      </c>
      <c r="E4225" t="s">
        <v>56</v>
      </c>
    </row>
    <row r="4226" spans="1:5">
      <c r="A4226" t="s">
        <v>32</v>
      </c>
      <c r="B4226" s="11" t="s">
        <v>62</v>
      </c>
      <c r="C4226">
        <v>4010</v>
      </c>
      <c r="D4226" s="9">
        <v>2000</v>
      </c>
      <c r="E4226" t="s">
        <v>56</v>
      </c>
    </row>
    <row r="4227" spans="1:5">
      <c r="A4227" t="s">
        <v>32</v>
      </c>
      <c r="B4227" s="11" t="s">
        <v>63</v>
      </c>
      <c r="C4227">
        <v>4010</v>
      </c>
      <c r="D4227" s="9">
        <v>0</v>
      </c>
      <c r="E4227" t="s">
        <v>56</v>
      </c>
    </row>
    <row r="4228" spans="1:5">
      <c r="A4228" t="s">
        <v>32</v>
      </c>
      <c r="B4228" s="11" t="s">
        <v>75</v>
      </c>
      <c r="C4228">
        <v>4010</v>
      </c>
      <c r="D4228" s="9">
        <v>0</v>
      </c>
      <c r="E4228" t="s">
        <v>56</v>
      </c>
    </row>
    <row r="4229" spans="1:5">
      <c r="A4229" t="s">
        <v>32</v>
      </c>
      <c r="B4229" s="11" t="s">
        <v>64</v>
      </c>
      <c r="C4229">
        <v>4010</v>
      </c>
      <c r="D4229" s="9">
        <v>25000</v>
      </c>
      <c r="E4229" t="s">
        <v>57</v>
      </c>
    </row>
    <row r="4230" spans="1:5">
      <c r="A4230" t="s">
        <v>32</v>
      </c>
      <c r="B4230" s="11" t="s">
        <v>65</v>
      </c>
      <c r="C4230">
        <v>4010</v>
      </c>
      <c r="D4230" s="9">
        <v>15000</v>
      </c>
      <c r="E4230" t="s">
        <v>57</v>
      </c>
    </row>
    <row r="4231" spans="1:5">
      <c r="A4231" t="s">
        <v>32</v>
      </c>
      <c r="B4231" s="11" t="s">
        <v>66</v>
      </c>
      <c r="C4231">
        <v>4010</v>
      </c>
      <c r="D4231" s="9">
        <v>0</v>
      </c>
      <c r="E4231" t="s">
        <v>57</v>
      </c>
    </row>
    <row r="4232" spans="1:5">
      <c r="A4232" t="s">
        <v>32</v>
      </c>
      <c r="B4232" s="11" t="s">
        <v>67</v>
      </c>
      <c r="C4232">
        <v>4010</v>
      </c>
      <c r="D4232" s="9">
        <v>0</v>
      </c>
      <c r="E4232" t="s">
        <v>57</v>
      </c>
    </row>
    <row r="4233" spans="1:5">
      <c r="A4233" t="s">
        <v>32</v>
      </c>
      <c r="B4233" s="11" t="s">
        <v>76</v>
      </c>
      <c r="C4233">
        <v>4010</v>
      </c>
      <c r="D4233" s="9">
        <v>2400</v>
      </c>
      <c r="E4233" t="s">
        <v>57</v>
      </c>
    </row>
    <row r="4234" spans="1:5">
      <c r="A4234" t="s">
        <v>32</v>
      </c>
      <c r="B4234" s="11" t="s">
        <v>68</v>
      </c>
      <c r="C4234">
        <v>4010</v>
      </c>
      <c r="D4234" s="9">
        <v>2500</v>
      </c>
      <c r="E4234" t="s">
        <v>58</v>
      </c>
    </row>
    <row r="4235" spans="1:5">
      <c r="A4235" t="s">
        <v>32</v>
      </c>
      <c r="B4235" s="11" t="s">
        <v>69</v>
      </c>
      <c r="C4235">
        <v>4010</v>
      </c>
      <c r="D4235" s="9">
        <v>5000</v>
      </c>
      <c r="E4235" t="s">
        <v>58</v>
      </c>
    </row>
    <row r="4236" spans="1:5">
      <c r="A4236" t="s">
        <v>32</v>
      </c>
      <c r="B4236" s="11" t="s">
        <v>77</v>
      </c>
      <c r="C4236">
        <v>4010</v>
      </c>
      <c r="D4236" s="9">
        <v>3500</v>
      </c>
      <c r="E4236" t="s">
        <v>58</v>
      </c>
    </row>
    <row r="4237" spans="1:5">
      <c r="A4237" t="s">
        <v>32</v>
      </c>
      <c r="B4237" s="11" t="s">
        <v>70</v>
      </c>
      <c r="C4237">
        <v>4010</v>
      </c>
      <c r="D4237" s="9">
        <v>0</v>
      </c>
      <c r="E4237" t="s">
        <v>59</v>
      </c>
    </row>
    <row r="4238" spans="1:5">
      <c r="A4238" t="s">
        <v>32</v>
      </c>
      <c r="B4238" s="11" t="s">
        <v>71</v>
      </c>
      <c r="C4238">
        <v>4010</v>
      </c>
      <c r="D4238" s="9">
        <v>0</v>
      </c>
      <c r="E4238" t="s">
        <v>59</v>
      </c>
    </row>
    <row r="4239" spans="1:5">
      <c r="A4239" t="s">
        <v>32</v>
      </c>
      <c r="B4239" s="11" t="s">
        <v>72</v>
      </c>
      <c r="C4239">
        <v>4010</v>
      </c>
      <c r="D4239" s="9">
        <v>1500</v>
      </c>
      <c r="E4239" t="s">
        <v>59</v>
      </c>
    </row>
    <row r="4240" spans="1:5">
      <c r="A4240" t="s">
        <v>32</v>
      </c>
      <c r="B4240" s="11" t="s">
        <v>78</v>
      </c>
      <c r="C4240">
        <v>4010</v>
      </c>
      <c r="D4240" s="9">
        <v>15000</v>
      </c>
      <c r="E4240" t="s">
        <v>59</v>
      </c>
    </row>
    <row r="4241" spans="1:5">
      <c r="A4241" t="s">
        <v>32</v>
      </c>
      <c r="B4241" s="11" t="s">
        <v>73</v>
      </c>
      <c r="C4241">
        <v>4010</v>
      </c>
      <c r="D4241" s="9">
        <v>0</v>
      </c>
      <c r="E4241" t="s">
        <v>60</v>
      </c>
    </row>
    <row r="4242" spans="1:5">
      <c r="A4242" t="s">
        <v>32</v>
      </c>
      <c r="B4242" s="11" t="s">
        <v>74</v>
      </c>
      <c r="C4242">
        <v>4010</v>
      </c>
      <c r="D4242" s="9">
        <v>0</v>
      </c>
      <c r="E4242" t="s">
        <v>60</v>
      </c>
    </row>
    <row r="4243" spans="1:5">
      <c r="A4243" t="s">
        <v>33</v>
      </c>
      <c r="B4243" s="11" t="s">
        <v>61</v>
      </c>
      <c r="C4243">
        <v>4010</v>
      </c>
      <c r="D4243" s="9">
        <v>15000</v>
      </c>
      <c r="E4243" t="s">
        <v>56</v>
      </c>
    </row>
    <row r="4244" spans="1:5">
      <c r="A4244" t="s">
        <v>33</v>
      </c>
      <c r="B4244" s="11" t="s">
        <v>62</v>
      </c>
      <c r="C4244">
        <v>4010</v>
      </c>
      <c r="D4244" s="9">
        <v>2000</v>
      </c>
      <c r="E4244" t="s">
        <v>56</v>
      </c>
    </row>
    <row r="4245" spans="1:5">
      <c r="A4245" t="s">
        <v>33</v>
      </c>
      <c r="B4245" s="11" t="s">
        <v>63</v>
      </c>
      <c r="C4245">
        <v>4010</v>
      </c>
      <c r="D4245" s="9">
        <v>0</v>
      </c>
      <c r="E4245" t="s">
        <v>56</v>
      </c>
    </row>
    <row r="4246" spans="1:5">
      <c r="A4246" t="s">
        <v>33</v>
      </c>
      <c r="B4246" s="11" t="s">
        <v>75</v>
      </c>
      <c r="C4246">
        <v>4010</v>
      </c>
      <c r="D4246" s="9">
        <v>0</v>
      </c>
      <c r="E4246" t="s">
        <v>56</v>
      </c>
    </row>
    <row r="4247" spans="1:5">
      <c r="A4247" t="s">
        <v>33</v>
      </c>
      <c r="B4247" s="11" t="s">
        <v>64</v>
      </c>
      <c r="C4247">
        <v>4010</v>
      </c>
      <c r="D4247" s="9">
        <v>25000</v>
      </c>
      <c r="E4247" t="s">
        <v>57</v>
      </c>
    </row>
    <row r="4248" spans="1:5">
      <c r="A4248" t="s">
        <v>33</v>
      </c>
      <c r="B4248" s="11" t="s">
        <v>65</v>
      </c>
      <c r="C4248">
        <v>4010</v>
      </c>
      <c r="D4248" s="9">
        <v>15000</v>
      </c>
      <c r="E4248" t="s">
        <v>57</v>
      </c>
    </row>
    <row r="4249" spans="1:5">
      <c r="A4249" t="s">
        <v>33</v>
      </c>
      <c r="B4249" s="11" t="s">
        <v>66</v>
      </c>
      <c r="C4249">
        <v>4010</v>
      </c>
      <c r="D4249" s="9">
        <v>0</v>
      </c>
      <c r="E4249" t="s">
        <v>57</v>
      </c>
    </row>
    <row r="4250" spans="1:5">
      <c r="A4250" t="s">
        <v>33</v>
      </c>
      <c r="B4250" s="11" t="s">
        <v>67</v>
      </c>
      <c r="C4250">
        <v>4010</v>
      </c>
      <c r="D4250" s="9">
        <v>0</v>
      </c>
      <c r="E4250" t="s">
        <v>57</v>
      </c>
    </row>
    <row r="4251" spans="1:5">
      <c r="A4251" t="s">
        <v>33</v>
      </c>
      <c r="B4251" s="11" t="s">
        <v>76</v>
      </c>
      <c r="C4251">
        <v>4010</v>
      </c>
      <c r="D4251" s="9">
        <v>2400</v>
      </c>
      <c r="E4251" t="s">
        <v>57</v>
      </c>
    </row>
    <row r="4252" spans="1:5">
      <c r="A4252" t="s">
        <v>33</v>
      </c>
      <c r="B4252" s="11" t="s">
        <v>68</v>
      </c>
      <c r="C4252">
        <v>4010</v>
      </c>
      <c r="D4252" s="9">
        <v>2500</v>
      </c>
      <c r="E4252" t="s">
        <v>58</v>
      </c>
    </row>
    <row r="4253" spans="1:5">
      <c r="A4253" t="s">
        <v>33</v>
      </c>
      <c r="B4253" s="11" t="s">
        <v>69</v>
      </c>
      <c r="C4253">
        <v>4010</v>
      </c>
      <c r="D4253" s="9">
        <v>5000</v>
      </c>
      <c r="E4253" t="s">
        <v>58</v>
      </c>
    </row>
    <row r="4254" spans="1:5">
      <c r="A4254" t="s">
        <v>33</v>
      </c>
      <c r="B4254" s="11" t="s">
        <v>77</v>
      </c>
      <c r="C4254">
        <v>4010</v>
      </c>
      <c r="D4254" s="9">
        <v>3500</v>
      </c>
      <c r="E4254" t="s">
        <v>58</v>
      </c>
    </row>
    <row r="4255" spans="1:5">
      <c r="A4255" t="s">
        <v>33</v>
      </c>
      <c r="B4255" s="11" t="s">
        <v>70</v>
      </c>
      <c r="C4255">
        <v>4010</v>
      </c>
      <c r="D4255" s="9">
        <v>0</v>
      </c>
      <c r="E4255" t="s">
        <v>59</v>
      </c>
    </row>
    <row r="4256" spans="1:5">
      <c r="A4256" t="s">
        <v>33</v>
      </c>
      <c r="B4256" s="11" t="s">
        <v>71</v>
      </c>
      <c r="C4256">
        <v>4010</v>
      </c>
      <c r="D4256" s="9">
        <v>0</v>
      </c>
      <c r="E4256" t="s">
        <v>59</v>
      </c>
    </row>
    <row r="4257" spans="1:5">
      <c r="A4257" t="s">
        <v>33</v>
      </c>
      <c r="B4257" s="11" t="s">
        <v>72</v>
      </c>
      <c r="C4257">
        <v>4010</v>
      </c>
      <c r="D4257" s="9">
        <v>1500</v>
      </c>
      <c r="E4257" t="s">
        <v>59</v>
      </c>
    </row>
    <row r="4258" spans="1:5">
      <c r="A4258" t="s">
        <v>33</v>
      </c>
      <c r="B4258" s="11" t="s">
        <v>78</v>
      </c>
      <c r="C4258">
        <v>4010</v>
      </c>
      <c r="D4258" s="9">
        <v>15000</v>
      </c>
      <c r="E4258" t="s">
        <v>59</v>
      </c>
    </row>
    <row r="4259" spans="1:5">
      <c r="A4259" t="s">
        <v>33</v>
      </c>
      <c r="B4259" s="11" t="s">
        <v>73</v>
      </c>
      <c r="C4259">
        <v>4010</v>
      </c>
      <c r="D4259" s="9">
        <v>0</v>
      </c>
      <c r="E4259" t="s">
        <v>60</v>
      </c>
    </row>
    <row r="4260" spans="1:5">
      <c r="A4260" t="s">
        <v>33</v>
      </c>
      <c r="B4260" s="11" t="s">
        <v>74</v>
      </c>
      <c r="C4260">
        <v>4010</v>
      </c>
      <c r="D4260" s="9">
        <v>0</v>
      </c>
      <c r="E4260" t="s">
        <v>60</v>
      </c>
    </row>
    <row r="4261" spans="1:5">
      <c r="A4261" t="s">
        <v>34</v>
      </c>
      <c r="B4261" s="11" t="s">
        <v>61</v>
      </c>
      <c r="C4261">
        <v>4010</v>
      </c>
      <c r="D4261" s="9">
        <v>15000</v>
      </c>
      <c r="E4261" t="s">
        <v>56</v>
      </c>
    </row>
    <row r="4262" spans="1:5">
      <c r="A4262" t="s">
        <v>34</v>
      </c>
      <c r="B4262" s="11" t="s">
        <v>62</v>
      </c>
      <c r="C4262">
        <v>4010</v>
      </c>
      <c r="D4262" s="9">
        <v>2000</v>
      </c>
      <c r="E4262" t="s">
        <v>56</v>
      </c>
    </row>
    <row r="4263" spans="1:5">
      <c r="A4263" t="s">
        <v>34</v>
      </c>
      <c r="B4263" s="11" t="s">
        <v>63</v>
      </c>
      <c r="C4263">
        <v>4010</v>
      </c>
      <c r="D4263" s="9">
        <v>0</v>
      </c>
      <c r="E4263" t="s">
        <v>56</v>
      </c>
    </row>
    <row r="4264" spans="1:5">
      <c r="A4264" t="s">
        <v>34</v>
      </c>
      <c r="B4264" s="11" t="s">
        <v>75</v>
      </c>
      <c r="C4264">
        <v>4010</v>
      </c>
      <c r="D4264" s="9">
        <v>0</v>
      </c>
      <c r="E4264" t="s">
        <v>56</v>
      </c>
    </row>
    <row r="4265" spans="1:5">
      <c r="A4265" t="s">
        <v>34</v>
      </c>
      <c r="B4265" s="11" t="s">
        <v>64</v>
      </c>
      <c r="C4265">
        <v>4010</v>
      </c>
      <c r="D4265" s="9">
        <v>25000</v>
      </c>
      <c r="E4265" t="s">
        <v>57</v>
      </c>
    </row>
    <row r="4266" spans="1:5">
      <c r="A4266" t="s">
        <v>34</v>
      </c>
      <c r="B4266" s="11" t="s">
        <v>65</v>
      </c>
      <c r="C4266">
        <v>4010</v>
      </c>
      <c r="D4266" s="9">
        <v>15000</v>
      </c>
      <c r="E4266" t="s">
        <v>57</v>
      </c>
    </row>
    <row r="4267" spans="1:5">
      <c r="A4267" t="s">
        <v>34</v>
      </c>
      <c r="B4267" s="11" t="s">
        <v>66</v>
      </c>
      <c r="C4267">
        <v>4010</v>
      </c>
      <c r="D4267" s="9">
        <v>0</v>
      </c>
      <c r="E4267" t="s">
        <v>57</v>
      </c>
    </row>
    <row r="4268" spans="1:5">
      <c r="A4268" t="s">
        <v>34</v>
      </c>
      <c r="B4268" s="11" t="s">
        <v>67</v>
      </c>
      <c r="C4268">
        <v>4010</v>
      </c>
      <c r="D4268" s="9">
        <v>0</v>
      </c>
      <c r="E4268" t="s">
        <v>57</v>
      </c>
    </row>
    <row r="4269" spans="1:5">
      <c r="A4269" t="s">
        <v>34</v>
      </c>
      <c r="B4269" s="11" t="s">
        <v>76</v>
      </c>
      <c r="C4269">
        <v>4010</v>
      </c>
      <c r="D4269" s="9">
        <v>2400</v>
      </c>
      <c r="E4269" t="s">
        <v>57</v>
      </c>
    </row>
    <row r="4270" spans="1:5">
      <c r="A4270" t="s">
        <v>34</v>
      </c>
      <c r="B4270" s="11" t="s">
        <v>68</v>
      </c>
      <c r="C4270">
        <v>4010</v>
      </c>
      <c r="D4270" s="9">
        <v>2500</v>
      </c>
      <c r="E4270" t="s">
        <v>58</v>
      </c>
    </row>
    <row r="4271" spans="1:5">
      <c r="A4271" t="s">
        <v>34</v>
      </c>
      <c r="B4271" s="11" t="s">
        <v>69</v>
      </c>
      <c r="C4271">
        <v>4010</v>
      </c>
      <c r="D4271" s="9">
        <v>5000</v>
      </c>
      <c r="E4271" t="s">
        <v>58</v>
      </c>
    </row>
    <row r="4272" spans="1:5">
      <c r="A4272" t="s">
        <v>34</v>
      </c>
      <c r="B4272" s="11" t="s">
        <v>77</v>
      </c>
      <c r="C4272">
        <v>4010</v>
      </c>
      <c r="D4272" s="9">
        <v>3500</v>
      </c>
      <c r="E4272" t="s">
        <v>58</v>
      </c>
    </row>
    <row r="4273" spans="1:5">
      <c r="A4273" t="s">
        <v>34</v>
      </c>
      <c r="B4273" s="11" t="s">
        <v>70</v>
      </c>
      <c r="C4273">
        <v>4010</v>
      </c>
      <c r="D4273" s="9">
        <v>0</v>
      </c>
      <c r="E4273" t="s">
        <v>59</v>
      </c>
    </row>
    <row r="4274" spans="1:5">
      <c r="A4274" t="s">
        <v>34</v>
      </c>
      <c r="B4274" s="11" t="s">
        <v>71</v>
      </c>
      <c r="C4274">
        <v>4010</v>
      </c>
      <c r="D4274" s="9">
        <v>0</v>
      </c>
      <c r="E4274" t="s">
        <v>59</v>
      </c>
    </row>
    <row r="4275" spans="1:5">
      <c r="A4275" t="s">
        <v>34</v>
      </c>
      <c r="B4275" s="11" t="s">
        <v>72</v>
      </c>
      <c r="C4275">
        <v>4010</v>
      </c>
      <c r="D4275" s="9">
        <v>1500</v>
      </c>
      <c r="E4275" t="s">
        <v>59</v>
      </c>
    </row>
    <row r="4276" spans="1:5">
      <c r="A4276" t="s">
        <v>34</v>
      </c>
      <c r="B4276" s="11" t="s">
        <v>78</v>
      </c>
      <c r="C4276">
        <v>4010</v>
      </c>
      <c r="D4276" s="9">
        <v>15000</v>
      </c>
      <c r="E4276" t="s">
        <v>59</v>
      </c>
    </row>
    <row r="4277" spans="1:5">
      <c r="A4277" t="s">
        <v>34</v>
      </c>
      <c r="B4277" s="11" t="s">
        <v>73</v>
      </c>
      <c r="C4277">
        <v>4010</v>
      </c>
      <c r="D4277" s="9">
        <v>0</v>
      </c>
      <c r="E4277" t="s">
        <v>60</v>
      </c>
    </row>
    <row r="4278" spans="1:5">
      <c r="A4278" t="s">
        <v>34</v>
      </c>
      <c r="B4278" s="11" t="s">
        <v>74</v>
      </c>
      <c r="C4278">
        <v>4010</v>
      </c>
      <c r="D4278" s="9">
        <v>0</v>
      </c>
      <c r="E4278" t="s">
        <v>60</v>
      </c>
    </row>
    <row r="4279" spans="1:5">
      <c r="A4279" t="s">
        <v>35</v>
      </c>
      <c r="B4279" s="11" t="s">
        <v>61</v>
      </c>
      <c r="C4279">
        <v>4010</v>
      </c>
      <c r="D4279" s="9">
        <v>15000</v>
      </c>
      <c r="E4279" t="s">
        <v>56</v>
      </c>
    </row>
    <row r="4280" spans="1:5">
      <c r="A4280" t="s">
        <v>35</v>
      </c>
      <c r="B4280" s="11" t="s">
        <v>62</v>
      </c>
      <c r="C4280">
        <v>4010</v>
      </c>
      <c r="D4280" s="9">
        <v>2000</v>
      </c>
      <c r="E4280" t="s">
        <v>56</v>
      </c>
    </row>
    <row r="4281" spans="1:5">
      <c r="A4281" t="s">
        <v>35</v>
      </c>
      <c r="B4281" s="11" t="s">
        <v>63</v>
      </c>
      <c r="C4281">
        <v>4010</v>
      </c>
      <c r="D4281" s="9">
        <v>0</v>
      </c>
      <c r="E4281" t="s">
        <v>56</v>
      </c>
    </row>
    <row r="4282" spans="1:5">
      <c r="A4282" t="s">
        <v>35</v>
      </c>
      <c r="B4282" s="11" t="s">
        <v>75</v>
      </c>
      <c r="C4282">
        <v>4010</v>
      </c>
      <c r="D4282" s="9">
        <v>0</v>
      </c>
      <c r="E4282" t="s">
        <v>56</v>
      </c>
    </row>
    <row r="4283" spans="1:5">
      <c r="A4283" t="s">
        <v>35</v>
      </c>
      <c r="B4283" s="11" t="s">
        <v>64</v>
      </c>
      <c r="C4283">
        <v>4010</v>
      </c>
      <c r="D4283" s="9">
        <v>25000</v>
      </c>
      <c r="E4283" t="s">
        <v>57</v>
      </c>
    </row>
    <row r="4284" spans="1:5">
      <c r="A4284" t="s">
        <v>35</v>
      </c>
      <c r="B4284" s="11" t="s">
        <v>65</v>
      </c>
      <c r="C4284">
        <v>4010</v>
      </c>
      <c r="D4284" s="9">
        <v>15000</v>
      </c>
      <c r="E4284" t="s">
        <v>57</v>
      </c>
    </row>
    <row r="4285" spans="1:5">
      <c r="A4285" t="s">
        <v>35</v>
      </c>
      <c r="B4285" s="11" t="s">
        <v>66</v>
      </c>
      <c r="C4285">
        <v>4010</v>
      </c>
      <c r="D4285" s="9">
        <v>0</v>
      </c>
      <c r="E4285" t="s">
        <v>57</v>
      </c>
    </row>
    <row r="4286" spans="1:5">
      <c r="A4286" t="s">
        <v>35</v>
      </c>
      <c r="B4286" s="11" t="s">
        <v>67</v>
      </c>
      <c r="C4286">
        <v>4010</v>
      </c>
      <c r="D4286" s="9">
        <v>0</v>
      </c>
      <c r="E4286" t="s">
        <v>57</v>
      </c>
    </row>
    <row r="4287" spans="1:5">
      <c r="A4287" t="s">
        <v>35</v>
      </c>
      <c r="B4287" s="11" t="s">
        <v>76</v>
      </c>
      <c r="C4287">
        <v>4010</v>
      </c>
      <c r="D4287" s="9">
        <v>2400</v>
      </c>
      <c r="E4287" t="s">
        <v>57</v>
      </c>
    </row>
    <row r="4288" spans="1:5">
      <c r="A4288" t="s">
        <v>35</v>
      </c>
      <c r="B4288" s="11" t="s">
        <v>68</v>
      </c>
      <c r="C4288">
        <v>4010</v>
      </c>
      <c r="D4288" s="9">
        <v>2500</v>
      </c>
      <c r="E4288" t="s">
        <v>58</v>
      </c>
    </row>
    <row r="4289" spans="1:5">
      <c r="A4289" t="s">
        <v>35</v>
      </c>
      <c r="B4289" s="11" t="s">
        <v>69</v>
      </c>
      <c r="C4289">
        <v>4010</v>
      </c>
      <c r="D4289" s="9">
        <v>5000</v>
      </c>
      <c r="E4289" t="s">
        <v>58</v>
      </c>
    </row>
    <row r="4290" spans="1:5">
      <c r="A4290" t="s">
        <v>35</v>
      </c>
      <c r="B4290" s="11" t="s">
        <v>77</v>
      </c>
      <c r="C4290">
        <v>4010</v>
      </c>
      <c r="D4290" s="9">
        <v>3500</v>
      </c>
      <c r="E4290" t="s">
        <v>58</v>
      </c>
    </row>
    <row r="4291" spans="1:5">
      <c r="A4291" t="s">
        <v>35</v>
      </c>
      <c r="B4291" s="11" t="s">
        <v>70</v>
      </c>
      <c r="C4291">
        <v>4010</v>
      </c>
      <c r="D4291" s="9">
        <v>0</v>
      </c>
      <c r="E4291" t="s">
        <v>59</v>
      </c>
    </row>
    <row r="4292" spans="1:5">
      <c r="A4292" t="s">
        <v>35</v>
      </c>
      <c r="B4292" s="11" t="s">
        <v>71</v>
      </c>
      <c r="C4292">
        <v>4010</v>
      </c>
      <c r="D4292" s="9">
        <v>0</v>
      </c>
      <c r="E4292" t="s">
        <v>59</v>
      </c>
    </row>
    <row r="4293" spans="1:5">
      <c r="A4293" t="s">
        <v>35</v>
      </c>
      <c r="B4293" s="11" t="s">
        <v>72</v>
      </c>
      <c r="C4293">
        <v>4010</v>
      </c>
      <c r="D4293" s="9">
        <v>1500</v>
      </c>
      <c r="E4293" t="s">
        <v>59</v>
      </c>
    </row>
    <row r="4294" spans="1:5">
      <c r="A4294" t="s">
        <v>35</v>
      </c>
      <c r="B4294" s="11" t="s">
        <v>78</v>
      </c>
      <c r="C4294">
        <v>4010</v>
      </c>
      <c r="D4294" s="9">
        <v>15000</v>
      </c>
      <c r="E4294" t="s">
        <v>59</v>
      </c>
    </row>
    <row r="4295" spans="1:5">
      <c r="A4295" t="s">
        <v>35</v>
      </c>
      <c r="B4295" s="11" t="s">
        <v>73</v>
      </c>
      <c r="C4295">
        <v>4010</v>
      </c>
      <c r="D4295" s="9">
        <v>0</v>
      </c>
      <c r="E4295" t="s">
        <v>60</v>
      </c>
    </row>
    <row r="4296" spans="1:5">
      <c r="A4296" t="s">
        <v>35</v>
      </c>
      <c r="B4296" s="11" t="s">
        <v>74</v>
      </c>
      <c r="C4296">
        <v>4010</v>
      </c>
      <c r="D4296" s="9">
        <v>0</v>
      </c>
      <c r="E4296" t="s">
        <v>60</v>
      </c>
    </row>
    <row r="4297" spans="1:5">
      <c r="A4297" t="s">
        <v>36</v>
      </c>
      <c r="B4297" s="11" t="s">
        <v>61</v>
      </c>
      <c r="C4297">
        <v>4010</v>
      </c>
      <c r="D4297" s="9">
        <v>15000</v>
      </c>
      <c r="E4297" t="s">
        <v>56</v>
      </c>
    </row>
    <row r="4298" spans="1:5">
      <c r="A4298" t="s">
        <v>36</v>
      </c>
      <c r="B4298" s="11" t="s">
        <v>62</v>
      </c>
      <c r="C4298">
        <v>4010</v>
      </c>
      <c r="D4298" s="9">
        <v>2000</v>
      </c>
      <c r="E4298" t="s">
        <v>56</v>
      </c>
    </row>
    <row r="4299" spans="1:5">
      <c r="A4299" t="s">
        <v>36</v>
      </c>
      <c r="B4299" s="11" t="s">
        <v>63</v>
      </c>
      <c r="C4299">
        <v>4010</v>
      </c>
      <c r="D4299" s="9">
        <v>0</v>
      </c>
      <c r="E4299" t="s">
        <v>56</v>
      </c>
    </row>
    <row r="4300" spans="1:5">
      <c r="A4300" t="s">
        <v>36</v>
      </c>
      <c r="B4300" s="11" t="s">
        <v>75</v>
      </c>
      <c r="C4300">
        <v>4010</v>
      </c>
      <c r="D4300" s="9">
        <v>0</v>
      </c>
      <c r="E4300" t="s">
        <v>56</v>
      </c>
    </row>
    <row r="4301" spans="1:5">
      <c r="A4301" t="s">
        <v>36</v>
      </c>
      <c r="B4301" s="11" t="s">
        <v>64</v>
      </c>
      <c r="C4301">
        <v>4010</v>
      </c>
      <c r="D4301" s="9">
        <v>25000</v>
      </c>
      <c r="E4301" t="s">
        <v>57</v>
      </c>
    </row>
    <row r="4302" spans="1:5">
      <c r="A4302" t="s">
        <v>36</v>
      </c>
      <c r="B4302" s="11" t="s">
        <v>65</v>
      </c>
      <c r="C4302">
        <v>4010</v>
      </c>
      <c r="D4302" s="9">
        <v>15000</v>
      </c>
      <c r="E4302" t="s">
        <v>57</v>
      </c>
    </row>
    <row r="4303" spans="1:5">
      <c r="A4303" t="s">
        <v>36</v>
      </c>
      <c r="B4303" s="11" t="s">
        <v>66</v>
      </c>
      <c r="C4303">
        <v>4010</v>
      </c>
      <c r="D4303" s="9">
        <v>0</v>
      </c>
      <c r="E4303" t="s">
        <v>57</v>
      </c>
    </row>
    <row r="4304" spans="1:5">
      <c r="A4304" t="s">
        <v>36</v>
      </c>
      <c r="B4304" s="11" t="s">
        <v>67</v>
      </c>
      <c r="C4304">
        <v>4010</v>
      </c>
      <c r="D4304" s="9">
        <v>0</v>
      </c>
      <c r="E4304" t="s">
        <v>57</v>
      </c>
    </row>
    <row r="4305" spans="1:5">
      <c r="A4305" t="s">
        <v>36</v>
      </c>
      <c r="B4305" s="11" t="s">
        <v>76</v>
      </c>
      <c r="C4305">
        <v>4010</v>
      </c>
      <c r="D4305" s="9">
        <v>2400</v>
      </c>
      <c r="E4305" t="s">
        <v>57</v>
      </c>
    </row>
    <row r="4306" spans="1:5">
      <c r="A4306" t="s">
        <v>36</v>
      </c>
      <c r="B4306" s="11" t="s">
        <v>68</v>
      </c>
      <c r="C4306">
        <v>4010</v>
      </c>
      <c r="D4306" s="9">
        <v>2500</v>
      </c>
      <c r="E4306" t="s">
        <v>58</v>
      </c>
    </row>
    <row r="4307" spans="1:5">
      <c r="A4307" t="s">
        <v>36</v>
      </c>
      <c r="B4307" s="11" t="s">
        <v>69</v>
      </c>
      <c r="C4307">
        <v>4010</v>
      </c>
      <c r="D4307" s="9">
        <v>5000</v>
      </c>
      <c r="E4307" t="s">
        <v>58</v>
      </c>
    </row>
    <row r="4308" spans="1:5">
      <c r="A4308" t="s">
        <v>36</v>
      </c>
      <c r="B4308" s="11" t="s">
        <v>77</v>
      </c>
      <c r="C4308">
        <v>4010</v>
      </c>
      <c r="D4308" s="9">
        <v>3500</v>
      </c>
      <c r="E4308" t="s">
        <v>58</v>
      </c>
    </row>
    <row r="4309" spans="1:5">
      <c r="A4309" t="s">
        <v>36</v>
      </c>
      <c r="B4309" s="11" t="s">
        <v>70</v>
      </c>
      <c r="C4309">
        <v>4010</v>
      </c>
      <c r="D4309" s="9">
        <v>0</v>
      </c>
      <c r="E4309" t="s">
        <v>59</v>
      </c>
    </row>
    <row r="4310" spans="1:5">
      <c r="A4310" t="s">
        <v>36</v>
      </c>
      <c r="B4310" s="11" t="s">
        <v>71</v>
      </c>
      <c r="C4310">
        <v>4010</v>
      </c>
      <c r="D4310" s="9">
        <v>0</v>
      </c>
      <c r="E4310" t="s">
        <v>59</v>
      </c>
    </row>
    <row r="4311" spans="1:5">
      <c r="A4311" t="s">
        <v>36</v>
      </c>
      <c r="B4311" s="11" t="s">
        <v>72</v>
      </c>
      <c r="C4311">
        <v>4010</v>
      </c>
      <c r="D4311" s="9">
        <v>1500</v>
      </c>
      <c r="E4311" t="s">
        <v>59</v>
      </c>
    </row>
    <row r="4312" spans="1:5">
      <c r="A4312" t="s">
        <v>36</v>
      </c>
      <c r="B4312" s="11" t="s">
        <v>78</v>
      </c>
      <c r="C4312">
        <v>4010</v>
      </c>
      <c r="D4312" s="9">
        <v>15000</v>
      </c>
      <c r="E4312" t="s">
        <v>59</v>
      </c>
    </row>
    <row r="4313" spans="1:5">
      <c r="A4313" t="s">
        <v>36</v>
      </c>
      <c r="B4313" s="11" t="s">
        <v>73</v>
      </c>
      <c r="C4313">
        <v>4010</v>
      </c>
      <c r="D4313" s="9">
        <v>0</v>
      </c>
      <c r="E4313" t="s">
        <v>60</v>
      </c>
    </row>
    <row r="4314" spans="1:5">
      <c r="A4314" t="s">
        <v>36</v>
      </c>
      <c r="B4314" s="11" t="s">
        <v>74</v>
      </c>
      <c r="C4314">
        <v>4010</v>
      </c>
      <c r="D4314" s="9">
        <v>0</v>
      </c>
      <c r="E4314" t="s">
        <v>60</v>
      </c>
    </row>
    <row r="4315" spans="1:5">
      <c r="A4315" t="s">
        <v>37</v>
      </c>
      <c r="B4315" s="11" t="s">
        <v>61</v>
      </c>
      <c r="C4315">
        <v>4010</v>
      </c>
      <c r="D4315" s="9">
        <v>15000</v>
      </c>
      <c r="E4315" t="s">
        <v>56</v>
      </c>
    </row>
    <row r="4316" spans="1:5">
      <c r="A4316" t="s">
        <v>37</v>
      </c>
      <c r="B4316" s="11" t="s">
        <v>62</v>
      </c>
      <c r="C4316">
        <v>4010</v>
      </c>
      <c r="D4316" s="9">
        <v>2000</v>
      </c>
      <c r="E4316" t="s">
        <v>56</v>
      </c>
    </row>
    <row r="4317" spans="1:5">
      <c r="A4317" t="s">
        <v>37</v>
      </c>
      <c r="B4317" s="11" t="s">
        <v>63</v>
      </c>
      <c r="C4317">
        <v>4010</v>
      </c>
      <c r="D4317" s="9">
        <v>0</v>
      </c>
      <c r="E4317" t="s">
        <v>56</v>
      </c>
    </row>
    <row r="4318" spans="1:5">
      <c r="A4318" t="s">
        <v>37</v>
      </c>
      <c r="B4318" s="11" t="s">
        <v>75</v>
      </c>
      <c r="C4318">
        <v>4010</v>
      </c>
      <c r="D4318" s="9">
        <v>0</v>
      </c>
      <c r="E4318" t="s">
        <v>56</v>
      </c>
    </row>
    <row r="4319" spans="1:5">
      <c r="A4319" t="s">
        <v>37</v>
      </c>
      <c r="B4319" s="11" t="s">
        <v>64</v>
      </c>
      <c r="C4319">
        <v>4010</v>
      </c>
      <c r="D4319" s="9">
        <v>25000</v>
      </c>
      <c r="E4319" t="s">
        <v>57</v>
      </c>
    </row>
    <row r="4320" spans="1:5">
      <c r="A4320" t="s">
        <v>37</v>
      </c>
      <c r="B4320" s="11" t="s">
        <v>65</v>
      </c>
      <c r="C4320">
        <v>4010</v>
      </c>
      <c r="D4320" s="9">
        <v>15000</v>
      </c>
      <c r="E4320" t="s">
        <v>57</v>
      </c>
    </row>
    <row r="4321" spans="1:5">
      <c r="A4321" t="s">
        <v>37</v>
      </c>
      <c r="B4321" s="11" t="s">
        <v>66</v>
      </c>
      <c r="C4321">
        <v>4010</v>
      </c>
      <c r="D4321" s="9">
        <v>0</v>
      </c>
      <c r="E4321" t="s">
        <v>57</v>
      </c>
    </row>
    <row r="4322" spans="1:5">
      <c r="A4322" t="s">
        <v>37</v>
      </c>
      <c r="B4322" s="11" t="s">
        <v>67</v>
      </c>
      <c r="C4322">
        <v>4010</v>
      </c>
      <c r="D4322" s="9">
        <v>0</v>
      </c>
      <c r="E4322" t="s">
        <v>57</v>
      </c>
    </row>
    <row r="4323" spans="1:5">
      <c r="A4323" t="s">
        <v>37</v>
      </c>
      <c r="B4323" s="11" t="s">
        <v>76</v>
      </c>
      <c r="C4323">
        <v>4010</v>
      </c>
      <c r="D4323" s="9">
        <v>2400</v>
      </c>
      <c r="E4323" t="s">
        <v>57</v>
      </c>
    </row>
    <row r="4324" spans="1:5">
      <c r="A4324" t="s">
        <v>37</v>
      </c>
      <c r="B4324" s="11" t="s">
        <v>68</v>
      </c>
      <c r="C4324">
        <v>4010</v>
      </c>
      <c r="D4324" s="9">
        <v>2500</v>
      </c>
      <c r="E4324" t="s">
        <v>58</v>
      </c>
    </row>
    <row r="4325" spans="1:5">
      <c r="A4325" t="s">
        <v>37</v>
      </c>
      <c r="B4325" s="11" t="s">
        <v>69</v>
      </c>
      <c r="C4325">
        <v>4010</v>
      </c>
      <c r="D4325" s="9">
        <v>5000</v>
      </c>
      <c r="E4325" t="s">
        <v>58</v>
      </c>
    </row>
    <row r="4326" spans="1:5">
      <c r="A4326" t="s">
        <v>37</v>
      </c>
      <c r="B4326" s="11" t="s">
        <v>77</v>
      </c>
      <c r="C4326">
        <v>4010</v>
      </c>
      <c r="D4326" s="9">
        <v>3500</v>
      </c>
      <c r="E4326" t="s">
        <v>58</v>
      </c>
    </row>
    <row r="4327" spans="1:5">
      <c r="A4327" t="s">
        <v>37</v>
      </c>
      <c r="B4327" s="11" t="s">
        <v>70</v>
      </c>
      <c r="C4327">
        <v>4010</v>
      </c>
      <c r="D4327" s="9">
        <v>0</v>
      </c>
      <c r="E4327" t="s">
        <v>59</v>
      </c>
    </row>
    <row r="4328" spans="1:5">
      <c r="A4328" t="s">
        <v>37</v>
      </c>
      <c r="B4328" s="11" t="s">
        <v>71</v>
      </c>
      <c r="C4328">
        <v>4010</v>
      </c>
      <c r="D4328" s="9">
        <v>0</v>
      </c>
      <c r="E4328" t="s">
        <v>59</v>
      </c>
    </row>
    <row r="4329" spans="1:5">
      <c r="A4329" t="s">
        <v>37</v>
      </c>
      <c r="B4329" s="11" t="s">
        <v>72</v>
      </c>
      <c r="C4329">
        <v>4010</v>
      </c>
      <c r="D4329" s="9">
        <v>1500</v>
      </c>
      <c r="E4329" t="s">
        <v>59</v>
      </c>
    </row>
    <row r="4330" spans="1:5">
      <c r="A4330" t="s">
        <v>37</v>
      </c>
      <c r="B4330" s="11" t="s">
        <v>78</v>
      </c>
      <c r="C4330">
        <v>4010</v>
      </c>
      <c r="D4330" s="9">
        <v>15000</v>
      </c>
      <c r="E4330" t="s">
        <v>59</v>
      </c>
    </row>
    <row r="4331" spans="1:5">
      <c r="A4331" t="s">
        <v>37</v>
      </c>
      <c r="B4331" s="11" t="s">
        <v>73</v>
      </c>
      <c r="C4331">
        <v>4010</v>
      </c>
      <c r="D4331" s="9">
        <v>0</v>
      </c>
      <c r="E4331" t="s">
        <v>60</v>
      </c>
    </row>
    <row r="4332" spans="1:5">
      <c r="A4332" t="s">
        <v>37</v>
      </c>
      <c r="B4332" s="11" t="s">
        <v>74</v>
      </c>
      <c r="C4332">
        <v>4010</v>
      </c>
      <c r="D4332" s="9">
        <v>0</v>
      </c>
      <c r="E4332" t="s">
        <v>60</v>
      </c>
    </row>
    <row r="4333" spans="1:5">
      <c r="A4333" t="s">
        <v>38</v>
      </c>
      <c r="B4333" s="11" t="s">
        <v>61</v>
      </c>
      <c r="C4333">
        <v>4010</v>
      </c>
      <c r="D4333" s="9">
        <v>15000</v>
      </c>
      <c r="E4333" t="s">
        <v>56</v>
      </c>
    </row>
    <row r="4334" spans="1:5">
      <c r="A4334" t="s">
        <v>38</v>
      </c>
      <c r="B4334" s="11" t="s">
        <v>62</v>
      </c>
      <c r="C4334">
        <v>4010</v>
      </c>
      <c r="D4334" s="9">
        <v>2000</v>
      </c>
      <c r="E4334" t="s">
        <v>56</v>
      </c>
    </row>
    <row r="4335" spans="1:5">
      <c r="A4335" t="s">
        <v>38</v>
      </c>
      <c r="B4335" s="11" t="s">
        <v>63</v>
      </c>
      <c r="C4335">
        <v>4010</v>
      </c>
      <c r="D4335" s="9">
        <v>0</v>
      </c>
      <c r="E4335" t="s">
        <v>56</v>
      </c>
    </row>
    <row r="4336" spans="1:5">
      <c r="A4336" t="s">
        <v>38</v>
      </c>
      <c r="B4336" s="11" t="s">
        <v>75</v>
      </c>
      <c r="C4336">
        <v>4010</v>
      </c>
      <c r="D4336" s="9">
        <v>0</v>
      </c>
      <c r="E4336" t="s">
        <v>56</v>
      </c>
    </row>
    <row r="4337" spans="1:5">
      <c r="A4337" t="s">
        <v>38</v>
      </c>
      <c r="B4337" s="11" t="s">
        <v>64</v>
      </c>
      <c r="C4337">
        <v>4010</v>
      </c>
      <c r="D4337" s="9">
        <v>25000</v>
      </c>
      <c r="E4337" t="s">
        <v>57</v>
      </c>
    </row>
    <row r="4338" spans="1:5">
      <c r="A4338" t="s">
        <v>38</v>
      </c>
      <c r="B4338" s="11" t="s">
        <v>65</v>
      </c>
      <c r="C4338">
        <v>4010</v>
      </c>
      <c r="D4338" s="9">
        <v>15000</v>
      </c>
      <c r="E4338" t="s">
        <v>57</v>
      </c>
    </row>
    <row r="4339" spans="1:5">
      <c r="A4339" t="s">
        <v>38</v>
      </c>
      <c r="B4339" s="11" t="s">
        <v>66</v>
      </c>
      <c r="C4339">
        <v>4010</v>
      </c>
      <c r="D4339" s="9">
        <v>0</v>
      </c>
      <c r="E4339" t="s">
        <v>57</v>
      </c>
    </row>
    <row r="4340" spans="1:5">
      <c r="A4340" t="s">
        <v>38</v>
      </c>
      <c r="B4340" s="11" t="s">
        <v>67</v>
      </c>
      <c r="C4340">
        <v>4010</v>
      </c>
      <c r="D4340" s="9">
        <v>0</v>
      </c>
      <c r="E4340" t="s">
        <v>57</v>
      </c>
    </row>
    <row r="4341" spans="1:5">
      <c r="A4341" t="s">
        <v>38</v>
      </c>
      <c r="B4341" s="11" t="s">
        <v>76</v>
      </c>
      <c r="C4341">
        <v>4010</v>
      </c>
      <c r="D4341" s="9">
        <v>2400</v>
      </c>
      <c r="E4341" t="s">
        <v>57</v>
      </c>
    </row>
    <row r="4342" spans="1:5">
      <c r="A4342" t="s">
        <v>38</v>
      </c>
      <c r="B4342" s="11" t="s">
        <v>68</v>
      </c>
      <c r="C4342">
        <v>4010</v>
      </c>
      <c r="D4342" s="9">
        <v>2500</v>
      </c>
      <c r="E4342" t="s">
        <v>58</v>
      </c>
    </row>
    <row r="4343" spans="1:5">
      <c r="A4343" t="s">
        <v>38</v>
      </c>
      <c r="B4343" s="11" t="s">
        <v>69</v>
      </c>
      <c r="C4343">
        <v>4010</v>
      </c>
      <c r="D4343" s="9">
        <v>5000</v>
      </c>
      <c r="E4343" t="s">
        <v>58</v>
      </c>
    </row>
    <row r="4344" spans="1:5">
      <c r="A4344" t="s">
        <v>38</v>
      </c>
      <c r="B4344" s="11" t="s">
        <v>77</v>
      </c>
      <c r="C4344">
        <v>4010</v>
      </c>
      <c r="D4344" s="9">
        <v>3500</v>
      </c>
      <c r="E4344" t="s">
        <v>58</v>
      </c>
    </row>
    <row r="4345" spans="1:5">
      <c r="A4345" t="s">
        <v>38</v>
      </c>
      <c r="B4345" s="11" t="s">
        <v>70</v>
      </c>
      <c r="C4345">
        <v>4010</v>
      </c>
      <c r="D4345" s="9">
        <v>0</v>
      </c>
      <c r="E4345" t="s">
        <v>59</v>
      </c>
    </row>
    <row r="4346" spans="1:5">
      <c r="A4346" t="s">
        <v>38</v>
      </c>
      <c r="B4346" s="11" t="s">
        <v>71</v>
      </c>
      <c r="C4346">
        <v>4010</v>
      </c>
      <c r="D4346" s="9">
        <v>0</v>
      </c>
      <c r="E4346" t="s">
        <v>59</v>
      </c>
    </row>
    <row r="4347" spans="1:5">
      <c r="A4347" t="s">
        <v>38</v>
      </c>
      <c r="B4347" s="11" t="s">
        <v>72</v>
      </c>
      <c r="C4347">
        <v>4010</v>
      </c>
      <c r="D4347" s="9">
        <v>1500</v>
      </c>
      <c r="E4347" t="s">
        <v>59</v>
      </c>
    </row>
    <row r="4348" spans="1:5">
      <c r="A4348" t="s">
        <v>38</v>
      </c>
      <c r="B4348" s="11" t="s">
        <v>78</v>
      </c>
      <c r="C4348">
        <v>4010</v>
      </c>
      <c r="D4348" s="9">
        <v>15000</v>
      </c>
      <c r="E4348" t="s">
        <v>59</v>
      </c>
    </row>
    <row r="4349" spans="1:5">
      <c r="A4349" t="s">
        <v>38</v>
      </c>
      <c r="B4349" s="11" t="s">
        <v>73</v>
      </c>
      <c r="C4349">
        <v>4010</v>
      </c>
      <c r="D4349" s="9">
        <v>0</v>
      </c>
      <c r="E4349" t="s">
        <v>60</v>
      </c>
    </row>
    <row r="4350" spans="1:5">
      <c r="A4350" t="s">
        <v>38</v>
      </c>
      <c r="B4350" s="11" t="s">
        <v>74</v>
      </c>
      <c r="C4350">
        <v>4010</v>
      </c>
      <c r="D4350" s="9">
        <v>0</v>
      </c>
      <c r="E4350" t="s">
        <v>60</v>
      </c>
    </row>
    <row r="4351" spans="1:5">
      <c r="A4351" t="s">
        <v>39</v>
      </c>
      <c r="B4351" s="11" t="s">
        <v>61</v>
      </c>
      <c r="C4351">
        <v>4010</v>
      </c>
      <c r="D4351" s="9">
        <v>15000</v>
      </c>
      <c r="E4351" t="s">
        <v>56</v>
      </c>
    </row>
    <row r="4352" spans="1:5">
      <c r="A4352" t="s">
        <v>39</v>
      </c>
      <c r="B4352" s="11" t="s">
        <v>62</v>
      </c>
      <c r="C4352">
        <v>4010</v>
      </c>
      <c r="D4352" s="9">
        <v>2000</v>
      </c>
      <c r="E4352" t="s">
        <v>56</v>
      </c>
    </row>
    <row r="4353" spans="1:5">
      <c r="A4353" t="s">
        <v>39</v>
      </c>
      <c r="B4353" s="11" t="s">
        <v>63</v>
      </c>
      <c r="C4353">
        <v>4010</v>
      </c>
      <c r="D4353" s="9">
        <v>0</v>
      </c>
      <c r="E4353" t="s">
        <v>56</v>
      </c>
    </row>
    <row r="4354" spans="1:5">
      <c r="A4354" t="s">
        <v>39</v>
      </c>
      <c r="B4354" s="11" t="s">
        <v>75</v>
      </c>
      <c r="C4354">
        <v>4010</v>
      </c>
      <c r="D4354" s="9">
        <v>0</v>
      </c>
      <c r="E4354" t="s">
        <v>56</v>
      </c>
    </row>
    <row r="4355" spans="1:5">
      <c r="A4355" t="s">
        <v>39</v>
      </c>
      <c r="B4355" s="11" t="s">
        <v>64</v>
      </c>
      <c r="C4355">
        <v>4010</v>
      </c>
      <c r="D4355" s="9">
        <v>25000</v>
      </c>
      <c r="E4355" t="s">
        <v>57</v>
      </c>
    </row>
    <row r="4356" spans="1:5">
      <c r="A4356" t="s">
        <v>39</v>
      </c>
      <c r="B4356" s="11" t="s">
        <v>65</v>
      </c>
      <c r="C4356">
        <v>4010</v>
      </c>
      <c r="D4356" s="9">
        <v>15000</v>
      </c>
      <c r="E4356" t="s">
        <v>57</v>
      </c>
    </row>
    <row r="4357" spans="1:5">
      <c r="A4357" t="s">
        <v>39</v>
      </c>
      <c r="B4357" s="11" t="s">
        <v>66</v>
      </c>
      <c r="C4357">
        <v>4010</v>
      </c>
      <c r="D4357" s="9">
        <v>0</v>
      </c>
      <c r="E4357" t="s">
        <v>57</v>
      </c>
    </row>
    <row r="4358" spans="1:5">
      <c r="A4358" t="s">
        <v>39</v>
      </c>
      <c r="B4358" s="11" t="s">
        <v>67</v>
      </c>
      <c r="C4358">
        <v>4010</v>
      </c>
      <c r="D4358" s="9">
        <v>0</v>
      </c>
      <c r="E4358" t="s">
        <v>57</v>
      </c>
    </row>
    <row r="4359" spans="1:5">
      <c r="A4359" t="s">
        <v>39</v>
      </c>
      <c r="B4359" s="11" t="s">
        <v>76</v>
      </c>
      <c r="C4359">
        <v>4010</v>
      </c>
      <c r="D4359" s="9">
        <v>2400</v>
      </c>
      <c r="E4359" t="s">
        <v>57</v>
      </c>
    </row>
    <row r="4360" spans="1:5">
      <c r="A4360" t="s">
        <v>39</v>
      </c>
      <c r="B4360" s="11" t="s">
        <v>68</v>
      </c>
      <c r="C4360">
        <v>4010</v>
      </c>
      <c r="D4360" s="9">
        <v>2500</v>
      </c>
      <c r="E4360" t="s">
        <v>58</v>
      </c>
    </row>
    <row r="4361" spans="1:5">
      <c r="A4361" t="s">
        <v>39</v>
      </c>
      <c r="B4361" s="11" t="s">
        <v>69</v>
      </c>
      <c r="C4361">
        <v>4010</v>
      </c>
      <c r="D4361" s="9">
        <v>5000</v>
      </c>
      <c r="E4361" t="s">
        <v>58</v>
      </c>
    </row>
    <row r="4362" spans="1:5">
      <c r="A4362" t="s">
        <v>39</v>
      </c>
      <c r="B4362" s="11" t="s">
        <v>77</v>
      </c>
      <c r="C4362">
        <v>4010</v>
      </c>
      <c r="D4362" s="9">
        <v>3500</v>
      </c>
      <c r="E4362" t="s">
        <v>58</v>
      </c>
    </row>
    <row r="4363" spans="1:5">
      <c r="A4363" t="s">
        <v>39</v>
      </c>
      <c r="B4363" s="11" t="s">
        <v>70</v>
      </c>
      <c r="C4363">
        <v>4010</v>
      </c>
      <c r="D4363" s="9">
        <v>0</v>
      </c>
      <c r="E4363" t="s">
        <v>59</v>
      </c>
    </row>
    <row r="4364" spans="1:5">
      <c r="A4364" t="s">
        <v>39</v>
      </c>
      <c r="B4364" s="11" t="s">
        <v>71</v>
      </c>
      <c r="C4364">
        <v>4010</v>
      </c>
      <c r="D4364" s="9">
        <v>0</v>
      </c>
      <c r="E4364" t="s">
        <v>59</v>
      </c>
    </row>
    <row r="4365" spans="1:5">
      <c r="A4365" t="s">
        <v>39</v>
      </c>
      <c r="B4365" s="11" t="s">
        <v>72</v>
      </c>
      <c r="C4365">
        <v>4010</v>
      </c>
      <c r="D4365" s="9">
        <v>1500</v>
      </c>
      <c r="E4365" t="s">
        <v>59</v>
      </c>
    </row>
    <row r="4366" spans="1:5">
      <c r="A4366" t="s">
        <v>39</v>
      </c>
      <c r="B4366" s="11" t="s">
        <v>78</v>
      </c>
      <c r="C4366">
        <v>4010</v>
      </c>
      <c r="D4366" s="9">
        <v>15000</v>
      </c>
      <c r="E4366" t="s">
        <v>59</v>
      </c>
    </row>
    <row r="4367" spans="1:5">
      <c r="A4367" t="s">
        <v>39</v>
      </c>
      <c r="B4367" s="11" t="s">
        <v>73</v>
      </c>
      <c r="C4367">
        <v>4010</v>
      </c>
      <c r="D4367" s="9">
        <v>0</v>
      </c>
      <c r="E4367" t="s">
        <v>60</v>
      </c>
    </row>
    <row r="4368" spans="1:5">
      <c r="A4368" t="s">
        <v>39</v>
      </c>
      <c r="B4368" s="11" t="s">
        <v>74</v>
      </c>
      <c r="C4368">
        <v>4010</v>
      </c>
      <c r="D4368" s="9">
        <v>0</v>
      </c>
      <c r="E4368" t="s">
        <v>60</v>
      </c>
    </row>
    <row r="4369" spans="1:5">
      <c r="A4369" t="s">
        <v>28</v>
      </c>
      <c r="B4369" s="11" t="s">
        <v>61</v>
      </c>
      <c r="C4369">
        <v>4019</v>
      </c>
      <c r="D4369" s="9">
        <v>84.2</v>
      </c>
      <c r="E4369" t="s">
        <v>56</v>
      </c>
    </row>
    <row r="4370" spans="1:5">
      <c r="A4370" t="s">
        <v>28</v>
      </c>
      <c r="B4370" s="11" t="s">
        <v>62</v>
      </c>
      <c r="C4370">
        <v>4019</v>
      </c>
      <c r="D4370" s="9">
        <v>93.3</v>
      </c>
      <c r="E4370" t="s">
        <v>56</v>
      </c>
    </row>
    <row r="4371" spans="1:5">
      <c r="A4371" t="s">
        <v>28</v>
      </c>
      <c r="B4371" s="11" t="s">
        <v>63</v>
      </c>
      <c r="C4371">
        <v>4019</v>
      </c>
      <c r="D4371" s="9">
        <v>105.13</v>
      </c>
      <c r="E4371" t="s">
        <v>56</v>
      </c>
    </row>
    <row r="4372" spans="1:5">
      <c r="A4372" t="s">
        <v>28</v>
      </c>
      <c r="B4372" s="11" t="s">
        <v>64</v>
      </c>
      <c r="C4372">
        <v>4019</v>
      </c>
      <c r="D4372" s="9">
        <v>70.92</v>
      </c>
      <c r="E4372" t="s">
        <v>57</v>
      </c>
    </row>
    <row r="4373" spans="1:5">
      <c r="A4373" t="s">
        <v>28</v>
      </c>
      <c r="B4373" s="11" t="s">
        <v>65</v>
      </c>
      <c r="C4373">
        <v>4019</v>
      </c>
      <c r="D4373" s="9">
        <v>55.62</v>
      </c>
      <c r="E4373" t="s">
        <v>57</v>
      </c>
    </row>
    <row r="4374" spans="1:5">
      <c r="A4374" t="s">
        <v>28</v>
      </c>
      <c r="B4374" s="11" t="s">
        <v>66</v>
      </c>
      <c r="C4374">
        <v>4019</v>
      </c>
      <c r="D4374" s="9">
        <v>157.63999999999999</v>
      </c>
      <c r="E4374" t="s">
        <v>57</v>
      </c>
    </row>
    <row r="4375" spans="1:5">
      <c r="A4375" t="s">
        <v>28</v>
      </c>
      <c r="B4375" s="11" t="s">
        <v>67</v>
      </c>
      <c r="C4375">
        <v>4019</v>
      </c>
      <c r="D4375" s="9">
        <v>81.38</v>
      </c>
      <c r="E4375" t="s">
        <v>57</v>
      </c>
    </row>
    <row r="4376" spans="1:5">
      <c r="A4376" t="s">
        <v>28</v>
      </c>
      <c r="B4376" s="11" t="s">
        <v>76</v>
      </c>
      <c r="C4376">
        <v>4019</v>
      </c>
      <c r="D4376" s="9">
        <v>42.56</v>
      </c>
      <c r="E4376" t="s">
        <v>57</v>
      </c>
    </row>
    <row r="4377" spans="1:5">
      <c r="A4377" t="s">
        <v>28</v>
      </c>
      <c r="B4377" s="11" t="s">
        <v>68</v>
      </c>
      <c r="C4377">
        <v>4019</v>
      </c>
      <c r="D4377" s="9">
        <v>99.18</v>
      </c>
      <c r="E4377" t="s">
        <v>58</v>
      </c>
    </row>
    <row r="4378" spans="1:5">
      <c r="A4378" t="s">
        <v>28</v>
      </c>
      <c r="B4378" s="11" t="s">
        <v>69</v>
      </c>
      <c r="C4378">
        <v>4019</v>
      </c>
      <c r="D4378" s="9">
        <v>66.62</v>
      </c>
      <c r="E4378" t="s">
        <v>58</v>
      </c>
    </row>
    <row r="4379" spans="1:5">
      <c r="A4379" t="s">
        <v>28</v>
      </c>
      <c r="B4379" s="11" t="s">
        <v>77</v>
      </c>
      <c r="C4379">
        <v>4019</v>
      </c>
      <c r="D4379" s="9">
        <v>147.44999999999999</v>
      </c>
      <c r="E4379" t="s">
        <v>58</v>
      </c>
    </row>
    <row r="4380" spans="1:5">
      <c r="A4380" t="s">
        <v>28</v>
      </c>
      <c r="B4380" s="11" t="s">
        <v>70</v>
      </c>
      <c r="C4380">
        <v>4019</v>
      </c>
      <c r="D4380" s="9">
        <v>143.86000000000001</v>
      </c>
      <c r="E4380" t="s">
        <v>59</v>
      </c>
    </row>
    <row r="4381" spans="1:5">
      <c r="A4381" t="s">
        <v>28</v>
      </c>
      <c r="B4381" s="11" t="s">
        <v>71</v>
      </c>
      <c r="C4381">
        <v>4019</v>
      </c>
      <c r="D4381" s="9">
        <v>117.21</v>
      </c>
      <c r="E4381" t="s">
        <v>59</v>
      </c>
    </row>
    <row r="4382" spans="1:5">
      <c r="A4382" t="s">
        <v>28</v>
      </c>
      <c r="B4382" s="11" t="s">
        <v>72</v>
      </c>
      <c r="C4382">
        <v>4019</v>
      </c>
      <c r="D4382" s="9">
        <v>144.55000000000001</v>
      </c>
      <c r="E4382" t="s">
        <v>59</v>
      </c>
    </row>
    <row r="4383" spans="1:5">
      <c r="A4383" t="s">
        <v>28</v>
      </c>
      <c r="B4383" s="11" t="s">
        <v>78</v>
      </c>
      <c r="C4383">
        <v>4019</v>
      </c>
      <c r="D4383" s="9">
        <v>89.38</v>
      </c>
      <c r="E4383" t="s">
        <v>59</v>
      </c>
    </row>
    <row r="4384" spans="1:5">
      <c r="A4384" t="s">
        <v>28</v>
      </c>
      <c r="B4384" s="11" t="s">
        <v>73</v>
      </c>
      <c r="C4384">
        <v>4019</v>
      </c>
      <c r="D4384" s="9">
        <v>96.21</v>
      </c>
      <c r="E4384" t="s">
        <v>60</v>
      </c>
    </row>
    <row r="4385" spans="1:5">
      <c r="A4385" t="s">
        <v>28</v>
      </c>
      <c r="B4385" s="11" t="s">
        <v>74</v>
      </c>
      <c r="C4385">
        <v>4019</v>
      </c>
      <c r="D4385" s="9">
        <v>141.81</v>
      </c>
      <c r="E4385" t="s">
        <v>60</v>
      </c>
    </row>
    <row r="4386" spans="1:5">
      <c r="A4386" t="s">
        <v>29</v>
      </c>
      <c r="B4386" s="11" t="s">
        <v>61</v>
      </c>
      <c r="C4386">
        <v>4019</v>
      </c>
      <c r="D4386" s="9">
        <v>112.32</v>
      </c>
      <c r="E4386" t="s">
        <v>56</v>
      </c>
    </row>
    <row r="4387" spans="1:5">
      <c r="A4387" t="s">
        <v>29</v>
      </c>
      <c r="B4387" s="11" t="s">
        <v>62</v>
      </c>
      <c r="C4387">
        <v>4019</v>
      </c>
      <c r="D4387" s="9">
        <v>69.2</v>
      </c>
      <c r="E4387" t="s">
        <v>56</v>
      </c>
    </row>
    <row r="4388" spans="1:5">
      <c r="A4388" t="s">
        <v>29</v>
      </c>
      <c r="B4388" s="11" t="s">
        <v>63</v>
      </c>
      <c r="C4388">
        <v>4019</v>
      </c>
      <c r="D4388" s="9">
        <v>92.64</v>
      </c>
      <c r="E4388" t="s">
        <v>56</v>
      </c>
    </row>
    <row r="4389" spans="1:5">
      <c r="A4389" t="s">
        <v>29</v>
      </c>
      <c r="B4389" s="11" t="s">
        <v>75</v>
      </c>
      <c r="C4389">
        <v>4019</v>
      </c>
      <c r="D4389" s="9">
        <v>81.19</v>
      </c>
      <c r="E4389" t="s">
        <v>56</v>
      </c>
    </row>
    <row r="4390" spans="1:5">
      <c r="A4390" t="s">
        <v>29</v>
      </c>
      <c r="B4390" s="11" t="s">
        <v>64</v>
      </c>
      <c r="C4390">
        <v>4019</v>
      </c>
      <c r="D4390" s="9">
        <v>116.96</v>
      </c>
      <c r="E4390" t="s">
        <v>57</v>
      </c>
    </row>
    <row r="4391" spans="1:5">
      <c r="A4391" t="s">
        <v>29</v>
      </c>
      <c r="B4391" s="11" t="s">
        <v>65</v>
      </c>
      <c r="C4391">
        <v>4019</v>
      </c>
      <c r="D4391" s="9">
        <v>85.48</v>
      </c>
      <c r="E4391" t="s">
        <v>57</v>
      </c>
    </row>
    <row r="4392" spans="1:5">
      <c r="A4392" t="s">
        <v>29</v>
      </c>
      <c r="B4392" s="11" t="s">
        <v>66</v>
      </c>
      <c r="C4392">
        <v>4019</v>
      </c>
      <c r="D4392" s="9">
        <v>156.84</v>
      </c>
      <c r="E4392" t="s">
        <v>57</v>
      </c>
    </row>
    <row r="4393" spans="1:5">
      <c r="A4393" t="s">
        <v>29</v>
      </c>
      <c r="B4393" s="11" t="s">
        <v>67</v>
      </c>
      <c r="C4393">
        <v>4019</v>
      </c>
      <c r="D4393" s="9">
        <v>79.849999999999994</v>
      </c>
      <c r="E4393" t="s">
        <v>57</v>
      </c>
    </row>
    <row r="4394" spans="1:5">
      <c r="A4394" t="s">
        <v>29</v>
      </c>
      <c r="B4394" s="11" t="s">
        <v>76</v>
      </c>
      <c r="C4394">
        <v>4019</v>
      </c>
      <c r="D4394" s="9">
        <v>39.94</v>
      </c>
      <c r="E4394" t="s">
        <v>57</v>
      </c>
    </row>
    <row r="4395" spans="1:5">
      <c r="A4395" t="s">
        <v>29</v>
      </c>
      <c r="B4395" s="11" t="s">
        <v>68</v>
      </c>
      <c r="C4395">
        <v>4019</v>
      </c>
      <c r="D4395" s="9">
        <v>123.52</v>
      </c>
      <c r="E4395" t="s">
        <v>58</v>
      </c>
    </row>
    <row r="4396" spans="1:5">
      <c r="A4396" t="s">
        <v>29</v>
      </c>
      <c r="B4396" s="11" t="s">
        <v>69</v>
      </c>
      <c r="C4396">
        <v>4019</v>
      </c>
      <c r="D4396" s="9">
        <v>91.23</v>
      </c>
      <c r="E4396" t="s">
        <v>58</v>
      </c>
    </row>
    <row r="4397" spans="1:5">
      <c r="A4397" t="s">
        <v>29</v>
      </c>
      <c r="B4397" s="11" t="s">
        <v>77</v>
      </c>
      <c r="C4397">
        <v>4019</v>
      </c>
      <c r="D4397" s="9">
        <v>120.62</v>
      </c>
      <c r="E4397" t="s">
        <v>58</v>
      </c>
    </row>
    <row r="4398" spans="1:5">
      <c r="A4398" t="s">
        <v>29</v>
      </c>
      <c r="B4398" s="11" t="s">
        <v>70</v>
      </c>
      <c r="C4398">
        <v>4019</v>
      </c>
      <c r="D4398" s="9">
        <v>118.42</v>
      </c>
      <c r="E4398" t="s">
        <v>59</v>
      </c>
    </row>
    <row r="4399" spans="1:5">
      <c r="A4399" t="s">
        <v>29</v>
      </c>
      <c r="B4399" s="11" t="s">
        <v>71</v>
      </c>
      <c r="C4399">
        <v>4019</v>
      </c>
      <c r="D4399" s="9">
        <v>91.92</v>
      </c>
      <c r="E4399" t="s">
        <v>59</v>
      </c>
    </row>
    <row r="4400" spans="1:5">
      <c r="A4400" t="s">
        <v>29</v>
      </c>
      <c r="B4400" s="11" t="s">
        <v>72</v>
      </c>
      <c r="C4400">
        <v>4019</v>
      </c>
      <c r="D4400" s="9">
        <v>136.35</v>
      </c>
      <c r="E4400" t="s">
        <v>59</v>
      </c>
    </row>
    <row r="4401" spans="1:5">
      <c r="A4401" t="s">
        <v>29</v>
      </c>
      <c r="B4401" s="11" t="s">
        <v>78</v>
      </c>
      <c r="C4401">
        <v>4019</v>
      </c>
      <c r="D4401" s="9">
        <v>76.02</v>
      </c>
      <c r="E4401" t="s">
        <v>59</v>
      </c>
    </row>
    <row r="4402" spans="1:5">
      <c r="A4402" t="s">
        <v>29</v>
      </c>
      <c r="B4402" s="11" t="s">
        <v>73</v>
      </c>
      <c r="C4402">
        <v>4019</v>
      </c>
      <c r="D4402" s="9">
        <v>102.74</v>
      </c>
      <c r="E4402" t="s">
        <v>60</v>
      </c>
    </row>
    <row r="4403" spans="1:5">
      <c r="A4403" t="s">
        <v>29</v>
      </c>
      <c r="B4403" s="11" t="s">
        <v>74</v>
      </c>
      <c r="C4403">
        <v>4019</v>
      </c>
      <c r="D4403" s="9">
        <v>120.11</v>
      </c>
      <c r="E4403" t="s">
        <v>60</v>
      </c>
    </row>
    <row r="4404" spans="1:5">
      <c r="A4404" t="s">
        <v>30</v>
      </c>
      <c r="B4404" s="11" t="s">
        <v>61</v>
      </c>
      <c r="C4404">
        <v>4019</v>
      </c>
      <c r="D4404" s="9">
        <v>67.260000000000005</v>
      </c>
      <c r="E4404" t="s">
        <v>56</v>
      </c>
    </row>
    <row r="4405" spans="1:5">
      <c r="A4405" t="s">
        <v>30</v>
      </c>
      <c r="B4405" s="11" t="s">
        <v>62</v>
      </c>
      <c r="C4405">
        <v>4019</v>
      </c>
      <c r="D4405" s="9">
        <v>54.95</v>
      </c>
      <c r="E4405" t="s">
        <v>56</v>
      </c>
    </row>
    <row r="4406" spans="1:5">
      <c r="A4406" t="s">
        <v>30</v>
      </c>
      <c r="B4406" s="11" t="s">
        <v>63</v>
      </c>
      <c r="C4406">
        <v>4019</v>
      </c>
      <c r="D4406" s="9">
        <v>71.540000000000006</v>
      </c>
      <c r="E4406" t="s">
        <v>56</v>
      </c>
    </row>
    <row r="4407" spans="1:5">
      <c r="A4407" t="s">
        <v>30</v>
      </c>
      <c r="B4407" s="11" t="s">
        <v>75</v>
      </c>
      <c r="C4407">
        <v>4019</v>
      </c>
      <c r="D4407" s="9">
        <v>59.42</v>
      </c>
      <c r="E4407" t="s">
        <v>56</v>
      </c>
    </row>
    <row r="4408" spans="1:5">
      <c r="A4408" t="s">
        <v>30</v>
      </c>
      <c r="B4408" s="11" t="s">
        <v>64</v>
      </c>
      <c r="C4408">
        <v>4019</v>
      </c>
      <c r="D4408" s="9">
        <v>94.77</v>
      </c>
      <c r="E4408" t="s">
        <v>57</v>
      </c>
    </row>
    <row r="4409" spans="1:5">
      <c r="A4409" t="s">
        <v>30</v>
      </c>
      <c r="B4409" s="11" t="s">
        <v>65</v>
      </c>
      <c r="C4409">
        <v>4019</v>
      </c>
      <c r="D4409" s="9">
        <v>62.83</v>
      </c>
      <c r="E4409" t="s">
        <v>57</v>
      </c>
    </row>
    <row r="4410" spans="1:5">
      <c r="A4410" t="s">
        <v>30</v>
      </c>
      <c r="B4410" s="11" t="s">
        <v>66</v>
      </c>
      <c r="C4410">
        <v>4019</v>
      </c>
      <c r="D4410" s="9">
        <v>120.27</v>
      </c>
      <c r="E4410" t="s">
        <v>57</v>
      </c>
    </row>
    <row r="4411" spans="1:5">
      <c r="A4411" t="s">
        <v>30</v>
      </c>
      <c r="B4411" s="11" t="s">
        <v>67</v>
      </c>
      <c r="C4411">
        <v>4019</v>
      </c>
      <c r="D4411" s="9">
        <v>76.150000000000006</v>
      </c>
      <c r="E4411" t="s">
        <v>57</v>
      </c>
    </row>
    <row r="4412" spans="1:5">
      <c r="A4412" t="s">
        <v>30</v>
      </c>
      <c r="B4412" s="11" t="s">
        <v>76</v>
      </c>
      <c r="C4412">
        <v>4019</v>
      </c>
      <c r="D4412" s="9">
        <v>36.64</v>
      </c>
      <c r="E4412" t="s">
        <v>57</v>
      </c>
    </row>
    <row r="4413" spans="1:5">
      <c r="A4413" t="s">
        <v>30</v>
      </c>
      <c r="B4413" s="11" t="s">
        <v>68</v>
      </c>
      <c r="C4413">
        <v>4019</v>
      </c>
      <c r="D4413" s="9">
        <v>91.06</v>
      </c>
      <c r="E4413" t="s">
        <v>58</v>
      </c>
    </row>
    <row r="4414" spans="1:5">
      <c r="A4414" t="s">
        <v>30</v>
      </c>
      <c r="B4414" s="11" t="s">
        <v>69</v>
      </c>
      <c r="C4414">
        <v>4019</v>
      </c>
      <c r="D4414" s="9">
        <v>90.2</v>
      </c>
      <c r="E4414" t="s">
        <v>58</v>
      </c>
    </row>
    <row r="4415" spans="1:5">
      <c r="A4415" t="s">
        <v>30</v>
      </c>
      <c r="B4415" s="11" t="s">
        <v>77</v>
      </c>
      <c r="C4415">
        <v>4019</v>
      </c>
      <c r="D4415" s="9">
        <v>71.84</v>
      </c>
      <c r="E4415" t="s">
        <v>58</v>
      </c>
    </row>
    <row r="4416" spans="1:5">
      <c r="A4416" t="s">
        <v>30</v>
      </c>
      <c r="B4416" s="11" t="s">
        <v>70</v>
      </c>
      <c r="C4416">
        <v>4019</v>
      </c>
      <c r="D4416" s="9">
        <v>100.92</v>
      </c>
      <c r="E4416" t="s">
        <v>59</v>
      </c>
    </row>
    <row r="4417" spans="1:5">
      <c r="A4417" t="s">
        <v>30</v>
      </c>
      <c r="B4417" s="11" t="s">
        <v>71</v>
      </c>
      <c r="C4417">
        <v>4019</v>
      </c>
      <c r="D4417" s="9">
        <v>100</v>
      </c>
      <c r="E4417" t="s">
        <v>59</v>
      </c>
    </row>
    <row r="4418" spans="1:5">
      <c r="A4418" t="s">
        <v>30</v>
      </c>
      <c r="B4418" s="11" t="s">
        <v>72</v>
      </c>
      <c r="C4418">
        <v>4019</v>
      </c>
      <c r="D4418" s="9">
        <v>114.43</v>
      </c>
      <c r="E4418" t="s">
        <v>59</v>
      </c>
    </row>
    <row r="4419" spans="1:5">
      <c r="A4419" t="s">
        <v>30</v>
      </c>
      <c r="B4419" s="11" t="s">
        <v>78</v>
      </c>
      <c r="C4419">
        <v>4019</v>
      </c>
      <c r="D4419" s="9">
        <v>86.7</v>
      </c>
      <c r="E4419" t="s">
        <v>59</v>
      </c>
    </row>
    <row r="4420" spans="1:5">
      <c r="A4420" t="s">
        <v>30</v>
      </c>
      <c r="B4420" s="11" t="s">
        <v>73</v>
      </c>
      <c r="C4420">
        <v>4019</v>
      </c>
      <c r="D4420" s="9">
        <v>99.04</v>
      </c>
      <c r="E4420" t="s">
        <v>60</v>
      </c>
    </row>
    <row r="4421" spans="1:5">
      <c r="A4421" t="s">
        <v>30</v>
      </c>
      <c r="B4421" s="11" t="s">
        <v>74</v>
      </c>
      <c r="C4421">
        <v>4019</v>
      </c>
      <c r="D4421" s="9">
        <v>91.5</v>
      </c>
      <c r="E4421" t="s">
        <v>60</v>
      </c>
    </row>
    <row r="4422" spans="1:5">
      <c r="A4422" t="s">
        <v>31</v>
      </c>
      <c r="B4422" s="11" t="s">
        <v>61</v>
      </c>
      <c r="C4422">
        <v>4019</v>
      </c>
      <c r="D4422" s="9">
        <v>81.58</v>
      </c>
      <c r="E4422" t="s">
        <v>56</v>
      </c>
    </row>
    <row r="4423" spans="1:5">
      <c r="A4423" t="s">
        <v>31</v>
      </c>
      <c r="B4423" s="11" t="s">
        <v>62</v>
      </c>
      <c r="C4423">
        <v>4019</v>
      </c>
      <c r="D4423" s="9">
        <v>54.26</v>
      </c>
      <c r="E4423" t="s">
        <v>56</v>
      </c>
    </row>
    <row r="4424" spans="1:5">
      <c r="A4424" t="s">
        <v>31</v>
      </c>
      <c r="B4424" s="11" t="s">
        <v>63</v>
      </c>
      <c r="C4424">
        <v>4019</v>
      </c>
      <c r="D4424" s="9">
        <v>92.31</v>
      </c>
      <c r="E4424" t="s">
        <v>56</v>
      </c>
    </row>
    <row r="4425" spans="1:5">
      <c r="A4425" t="s">
        <v>31</v>
      </c>
      <c r="B4425" s="11" t="s">
        <v>75</v>
      </c>
      <c r="C4425">
        <v>4019</v>
      </c>
      <c r="D4425" s="9">
        <v>114.37</v>
      </c>
      <c r="E4425" t="s">
        <v>56</v>
      </c>
    </row>
    <row r="4426" spans="1:5">
      <c r="A4426" t="s">
        <v>31</v>
      </c>
      <c r="B4426" s="11" t="s">
        <v>64</v>
      </c>
      <c r="C4426">
        <v>4019</v>
      </c>
      <c r="D4426" s="9">
        <v>93.3</v>
      </c>
      <c r="E4426" t="s">
        <v>57</v>
      </c>
    </row>
    <row r="4427" spans="1:5">
      <c r="A4427" t="s">
        <v>31</v>
      </c>
      <c r="B4427" s="11" t="s">
        <v>65</v>
      </c>
      <c r="C4427">
        <v>4019</v>
      </c>
      <c r="D4427" s="9">
        <v>81.45</v>
      </c>
      <c r="E4427" t="s">
        <v>57</v>
      </c>
    </row>
    <row r="4428" spans="1:5">
      <c r="A4428" t="s">
        <v>31</v>
      </c>
      <c r="B4428" s="11" t="s">
        <v>66</v>
      </c>
      <c r="C4428">
        <v>4019</v>
      </c>
      <c r="D4428" s="9">
        <v>89.36</v>
      </c>
      <c r="E4428" t="s">
        <v>57</v>
      </c>
    </row>
    <row r="4429" spans="1:5">
      <c r="A4429" t="s">
        <v>31</v>
      </c>
      <c r="B4429" s="11" t="s">
        <v>67</v>
      </c>
      <c r="C4429">
        <v>4019</v>
      </c>
      <c r="D4429" s="9">
        <v>62.76</v>
      </c>
      <c r="E4429" t="s">
        <v>57</v>
      </c>
    </row>
    <row r="4430" spans="1:5">
      <c r="A4430" t="s">
        <v>31</v>
      </c>
      <c r="B4430" s="11" t="s">
        <v>76</v>
      </c>
      <c r="C4430">
        <v>4019</v>
      </c>
      <c r="D4430" s="9">
        <v>51.79</v>
      </c>
      <c r="E4430" t="s">
        <v>57</v>
      </c>
    </row>
    <row r="4431" spans="1:5">
      <c r="A4431" t="s">
        <v>31</v>
      </c>
      <c r="B4431" s="11" t="s">
        <v>68</v>
      </c>
      <c r="C4431">
        <v>4019</v>
      </c>
      <c r="D4431" s="9">
        <v>117.25</v>
      </c>
      <c r="E4431" t="s">
        <v>58</v>
      </c>
    </row>
    <row r="4432" spans="1:5">
      <c r="A4432" t="s">
        <v>31</v>
      </c>
      <c r="B4432" s="11" t="s">
        <v>69</v>
      </c>
      <c r="C4432">
        <v>4019</v>
      </c>
      <c r="D4432" s="9">
        <v>71.650000000000006</v>
      </c>
      <c r="E4432" t="s">
        <v>58</v>
      </c>
    </row>
    <row r="4433" spans="1:5">
      <c r="A4433" t="s">
        <v>31</v>
      </c>
      <c r="B4433" s="11" t="s">
        <v>77</v>
      </c>
      <c r="C4433">
        <v>4019</v>
      </c>
      <c r="D4433" s="9">
        <v>90.48</v>
      </c>
      <c r="E4433" t="s">
        <v>58</v>
      </c>
    </row>
    <row r="4434" spans="1:5">
      <c r="A4434" t="s">
        <v>31</v>
      </c>
      <c r="B4434" s="11" t="s">
        <v>70</v>
      </c>
      <c r="C4434">
        <v>4019</v>
      </c>
      <c r="D4434" s="9">
        <v>95.21</v>
      </c>
      <c r="E4434" t="s">
        <v>59</v>
      </c>
    </row>
    <row r="4435" spans="1:5">
      <c r="A4435" t="s">
        <v>31</v>
      </c>
      <c r="B4435" s="11" t="s">
        <v>71</v>
      </c>
      <c r="C4435">
        <v>4019</v>
      </c>
      <c r="D4435" s="9">
        <v>98.25</v>
      </c>
      <c r="E4435" t="s">
        <v>59</v>
      </c>
    </row>
    <row r="4436" spans="1:5">
      <c r="A4436" t="s">
        <v>31</v>
      </c>
      <c r="B4436" s="11" t="s">
        <v>72</v>
      </c>
      <c r="C4436">
        <v>4019</v>
      </c>
      <c r="D4436" s="9">
        <v>122.63</v>
      </c>
      <c r="E4436" t="s">
        <v>59</v>
      </c>
    </row>
    <row r="4437" spans="1:5">
      <c r="A4437" t="s">
        <v>31</v>
      </c>
      <c r="B4437" s="11" t="s">
        <v>78</v>
      </c>
      <c r="C4437">
        <v>4019</v>
      </c>
      <c r="D4437" s="9">
        <v>67.72</v>
      </c>
      <c r="E4437" t="s">
        <v>59</v>
      </c>
    </row>
    <row r="4438" spans="1:5">
      <c r="A4438" t="s">
        <v>31</v>
      </c>
      <c r="B4438" s="11" t="s">
        <v>73</v>
      </c>
      <c r="C4438">
        <v>4019</v>
      </c>
      <c r="D4438" s="9">
        <v>98.93</v>
      </c>
      <c r="E4438" t="s">
        <v>60</v>
      </c>
    </row>
    <row r="4439" spans="1:5">
      <c r="A4439" t="s">
        <v>31</v>
      </c>
      <c r="B4439" s="11" t="s">
        <v>74</v>
      </c>
      <c r="C4439">
        <v>4019</v>
      </c>
      <c r="D4439" s="9">
        <v>136.91999999999999</v>
      </c>
      <c r="E4439" t="s">
        <v>60</v>
      </c>
    </row>
    <row r="4440" spans="1:5">
      <c r="A4440" t="s">
        <v>32</v>
      </c>
      <c r="B4440" s="11" t="s">
        <v>61</v>
      </c>
      <c r="C4440">
        <v>4019</v>
      </c>
      <c r="D4440" s="9">
        <v>90.81</v>
      </c>
      <c r="E4440" t="s">
        <v>56</v>
      </c>
    </row>
    <row r="4441" spans="1:5">
      <c r="A4441" t="s">
        <v>32</v>
      </c>
      <c r="B4441" s="11" t="s">
        <v>62</v>
      </c>
      <c r="C4441">
        <v>4019</v>
      </c>
      <c r="D4441" s="9">
        <v>52.05</v>
      </c>
      <c r="E4441" t="s">
        <v>56</v>
      </c>
    </row>
    <row r="4442" spans="1:5">
      <c r="A4442" t="s">
        <v>32</v>
      </c>
      <c r="B4442" s="11" t="s">
        <v>63</v>
      </c>
      <c r="C4442">
        <v>4019</v>
      </c>
      <c r="D4442" s="9">
        <v>88.38</v>
      </c>
      <c r="E4442" t="s">
        <v>56</v>
      </c>
    </row>
    <row r="4443" spans="1:5">
      <c r="A4443" t="s">
        <v>32</v>
      </c>
      <c r="B4443" s="11" t="s">
        <v>75</v>
      </c>
      <c r="C4443">
        <v>4019</v>
      </c>
      <c r="D4443" s="9">
        <v>110.38</v>
      </c>
      <c r="E4443" t="s">
        <v>56</v>
      </c>
    </row>
    <row r="4444" spans="1:5">
      <c r="A4444" t="s">
        <v>32</v>
      </c>
      <c r="B4444" s="11" t="s">
        <v>64</v>
      </c>
      <c r="C4444">
        <v>4019</v>
      </c>
      <c r="D4444" s="9">
        <v>97.19</v>
      </c>
      <c r="E4444" t="s">
        <v>57</v>
      </c>
    </row>
    <row r="4445" spans="1:5">
      <c r="A4445" t="s">
        <v>32</v>
      </c>
      <c r="B4445" s="11" t="s">
        <v>65</v>
      </c>
      <c r="C4445">
        <v>4019</v>
      </c>
      <c r="D4445" s="9">
        <v>58.19</v>
      </c>
      <c r="E4445" t="s">
        <v>57</v>
      </c>
    </row>
    <row r="4446" spans="1:5">
      <c r="A4446" t="s">
        <v>32</v>
      </c>
      <c r="B4446" s="11" t="s">
        <v>66</v>
      </c>
      <c r="C4446">
        <v>4019</v>
      </c>
      <c r="D4446" s="9">
        <v>131.18</v>
      </c>
      <c r="E4446" t="s">
        <v>57</v>
      </c>
    </row>
    <row r="4447" spans="1:5">
      <c r="A4447" t="s">
        <v>32</v>
      </c>
      <c r="B4447" s="11" t="s">
        <v>67</v>
      </c>
      <c r="C4447">
        <v>4019</v>
      </c>
      <c r="D4447" s="9">
        <v>48.33</v>
      </c>
      <c r="E4447" t="s">
        <v>57</v>
      </c>
    </row>
    <row r="4448" spans="1:5">
      <c r="A4448" t="s">
        <v>32</v>
      </c>
      <c r="B4448" s="11" t="s">
        <v>76</v>
      </c>
      <c r="C4448">
        <v>4019</v>
      </c>
      <c r="D4448" s="9">
        <v>56.33</v>
      </c>
      <c r="E4448" t="s">
        <v>57</v>
      </c>
    </row>
    <row r="4449" spans="1:5">
      <c r="A4449" t="s">
        <v>32</v>
      </c>
      <c r="B4449" s="11" t="s">
        <v>68</v>
      </c>
      <c r="C4449">
        <v>4019</v>
      </c>
      <c r="D4449" s="9">
        <v>93.21</v>
      </c>
      <c r="E4449" t="s">
        <v>58</v>
      </c>
    </row>
    <row r="4450" spans="1:5">
      <c r="A4450" t="s">
        <v>32</v>
      </c>
      <c r="B4450" s="11" t="s">
        <v>69</v>
      </c>
      <c r="C4450">
        <v>4019</v>
      </c>
      <c r="D4450" s="9">
        <v>90.71</v>
      </c>
      <c r="E4450" t="s">
        <v>58</v>
      </c>
    </row>
    <row r="4451" spans="1:5">
      <c r="A4451" t="s">
        <v>32</v>
      </c>
      <c r="B4451" s="11" t="s">
        <v>77</v>
      </c>
      <c r="C4451">
        <v>4019</v>
      </c>
      <c r="D4451" s="9">
        <v>76.22</v>
      </c>
      <c r="E4451" t="s">
        <v>58</v>
      </c>
    </row>
    <row r="4452" spans="1:5">
      <c r="A4452" t="s">
        <v>32</v>
      </c>
      <c r="B4452" s="11" t="s">
        <v>70</v>
      </c>
      <c r="C4452">
        <v>4019</v>
      </c>
      <c r="D4452" s="9">
        <v>90.39</v>
      </c>
      <c r="E4452" t="s">
        <v>59</v>
      </c>
    </row>
    <row r="4453" spans="1:5">
      <c r="A4453" t="s">
        <v>32</v>
      </c>
      <c r="B4453" s="11" t="s">
        <v>71</v>
      </c>
      <c r="C4453">
        <v>4019</v>
      </c>
      <c r="D4453" s="9">
        <v>92.97</v>
      </c>
      <c r="E4453" t="s">
        <v>59</v>
      </c>
    </row>
    <row r="4454" spans="1:5">
      <c r="A4454" t="s">
        <v>32</v>
      </c>
      <c r="B4454" s="11" t="s">
        <v>72</v>
      </c>
      <c r="C4454">
        <v>4019</v>
      </c>
      <c r="D4454" s="9">
        <v>163.07</v>
      </c>
      <c r="E4454" t="s">
        <v>59</v>
      </c>
    </row>
    <row r="4455" spans="1:5">
      <c r="A4455" t="s">
        <v>32</v>
      </c>
      <c r="B4455" s="11" t="s">
        <v>78</v>
      </c>
      <c r="C4455">
        <v>4019</v>
      </c>
      <c r="D4455" s="9">
        <v>81.86</v>
      </c>
      <c r="E4455" t="s">
        <v>59</v>
      </c>
    </row>
    <row r="4456" spans="1:5">
      <c r="A4456" t="s">
        <v>32</v>
      </c>
      <c r="B4456" s="11" t="s">
        <v>73</v>
      </c>
      <c r="C4456">
        <v>4019</v>
      </c>
      <c r="D4456" s="9">
        <v>115.63</v>
      </c>
      <c r="E4456" t="s">
        <v>60</v>
      </c>
    </row>
    <row r="4457" spans="1:5">
      <c r="A4457" t="s">
        <v>32</v>
      </c>
      <c r="B4457" s="11" t="s">
        <v>74</v>
      </c>
      <c r="C4457">
        <v>4019</v>
      </c>
      <c r="D4457" s="9">
        <v>81.900000000000006</v>
      </c>
      <c r="E4457" t="s">
        <v>60</v>
      </c>
    </row>
    <row r="4458" spans="1:5">
      <c r="A4458" t="s">
        <v>33</v>
      </c>
      <c r="B4458" s="11" t="s">
        <v>61</v>
      </c>
      <c r="C4458">
        <v>4019</v>
      </c>
      <c r="D4458" s="9">
        <v>130.88999999999999</v>
      </c>
      <c r="E4458" t="s">
        <v>56</v>
      </c>
    </row>
    <row r="4459" spans="1:5">
      <c r="A4459" t="s">
        <v>33</v>
      </c>
      <c r="B4459" s="11" t="s">
        <v>62</v>
      </c>
      <c r="C4459">
        <v>4019</v>
      </c>
      <c r="D4459" s="9">
        <v>91.63</v>
      </c>
      <c r="E4459" t="s">
        <v>56</v>
      </c>
    </row>
    <row r="4460" spans="1:5">
      <c r="A4460" t="s">
        <v>33</v>
      </c>
      <c r="B4460" s="11" t="s">
        <v>63</v>
      </c>
      <c r="C4460">
        <v>4019</v>
      </c>
      <c r="D4460" s="9">
        <v>117.71</v>
      </c>
      <c r="E4460" t="s">
        <v>56</v>
      </c>
    </row>
    <row r="4461" spans="1:5">
      <c r="A4461" t="s">
        <v>33</v>
      </c>
      <c r="B4461" s="11" t="s">
        <v>75</v>
      </c>
      <c r="C4461">
        <v>4019</v>
      </c>
      <c r="D4461" s="9">
        <v>118.29</v>
      </c>
      <c r="E4461" t="s">
        <v>56</v>
      </c>
    </row>
    <row r="4462" spans="1:5">
      <c r="A4462" t="s">
        <v>33</v>
      </c>
      <c r="B4462" s="11" t="s">
        <v>64</v>
      </c>
      <c r="C4462">
        <v>4019</v>
      </c>
      <c r="D4462" s="9">
        <v>71.58</v>
      </c>
      <c r="E4462" t="s">
        <v>57</v>
      </c>
    </row>
    <row r="4463" spans="1:5">
      <c r="A4463" t="s">
        <v>33</v>
      </c>
      <c r="B4463" s="11" t="s">
        <v>65</v>
      </c>
      <c r="C4463">
        <v>4019</v>
      </c>
      <c r="D4463" s="9">
        <v>112.22</v>
      </c>
      <c r="E4463" t="s">
        <v>57</v>
      </c>
    </row>
    <row r="4464" spans="1:5">
      <c r="A4464" t="s">
        <v>33</v>
      </c>
      <c r="B4464" s="11" t="s">
        <v>66</v>
      </c>
      <c r="C4464">
        <v>4019</v>
      </c>
      <c r="D4464" s="9">
        <v>208.86</v>
      </c>
      <c r="E4464" t="s">
        <v>57</v>
      </c>
    </row>
    <row r="4465" spans="1:5">
      <c r="A4465" t="s">
        <v>33</v>
      </c>
      <c r="B4465" s="11" t="s">
        <v>67</v>
      </c>
      <c r="C4465">
        <v>4019</v>
      </c>
      <c r="D4465" s="9">
        <v>103.6</v>
      </c>
      <c r="E4465" t="s">
        <v>57</v>
      </c>
    </row>
    <row r="4466" spans="1:5">
      <c r="A4466" t="s">
        <v>33</v>
      </c>
      <c r="B4466" s="11" t="s">
        <v>76</v>
      </c>
      <c r="C4466">
        <v>4019</v>
      </c>
      <c r="D4466" s="9">
        <v>59.27</v>
      </c>
      <c r="E4466" t="s">
        <v>57</v>
      </c>
    </row>
    <row r="4467" spans="1:5">
      <c r="A4467" t="s">
        <v>33</v>
      </c>
      <c r="B4467" s="11" t="s">
        <v>68</v>
      </c>
      <c r="C4467">
        <v>4019</v>
      </c>
      <c r="D4467" s="9">
        <v>107.14</v>
      </c>
      <c r="E4467" t="s">
        <v>58</v>
      </c>
    </row>
    <row r="4468" spans="1:5">
      <c r="A4468" t="s">
        <v>33</v>
      </c>
      <c r="B4468" s="11" t="s">
        <v>69</v>
      </c>
      <c r="C4468">
        <v>4019</v>
      </c>
      <c r="D4468" s="9">
        <v>92.97</v>
      </c>
      <c r="E4468" t="s">
        <v>58</v>
      </c>
    </row>
    <row r="4469" spans="1:5">
      <c r="A4469" t="s">
        <v>33</v>
      </c>
      <c r="B4469" s="11" t="s">
        <v>77</v>
      </c>
      <c r="C4469">
        <v>4019</v>
      </c>
      <c r="D4469" s="9">
        <v>140.61000000000001</v>
      </c>
      <c r="E4469" t="s">
        <v>58</v>
      </c>
    </row>
    <row r="4470" spans="1:5">
      <c r="A4470" t="s">
        <v>33</v>
      </c>
      <c r="B4470" s="11" t="s">
        <v>70</v>
      </c>
      <c r="C4470">
        <v>4019</v>
      </c>
      <c r="D4470" s="9">
        <v>80.760000000000005</v>
      </c>
      <c r="E4470" t="s">
        <v>59</v>
      </c>
    </row>
    <row r="4471" spans="1:5">
      <c r="A4471" t="s">
        <v>33</v>
      </c>
      <c r="B4471" s="11" t="s">
        <v>71</v>
      </c>
      <c r="C4471">
        <v>4019</v>
      </c>
      <c r="D4471" s="9">
        <v>116.14</v>
      </c>
      <c r="E4471" t="s">
        <v>59</v>
      </c>
    </row>
    <row r="4472" spans="1:5">
      <c r="A4472" t="s">
        <v>33</v>
      </c>
      <c r="B4472" s="11" t="s">
        <v>72</v>
      </c>
      <c r="C4472">
        <v>4019</v>
      </c>
      <c r="D4472" s="9">
        <v>105.25</v>
      </c>
      <c r="E4472" t="s">
        <v>59</v>
      </c>
    </row>
    <row r="4473" spans="1:5">
      <c r="A4473" t="s">
        <v>33</v>
      </c>
      <c r="B4473" s="11" t="s">
        <v>78</v>
      </c>
      <c r="C4473">
        <v>4019</v>
      </c>
      <c r="D4473" s="9">
        <v>85.09</v>
      </c>
      <c r="E4473" t="s">
        <v>59</v>
      </c>
    </row>
    <row r="4474" spans="1:5">
      <c r="A4474" t="s">
        <v>33</v>
      </c>
      <c r="B4474" s="11" t="s">
        <v>73</v>
      </c>
      <c r="C4474">
        <v>4019</v>
      </c>
      <c r="D4474" s="9">
        <v>150.06</v>
      </c>
      <c r="E4474" t="s">
        <v>60</v>
      </c>
    </row>
    <row r="4475" spans="1:5">
      <c r="A4475" t="s">
        <v>33</v>
      </c>
      <c r="B4475" s="11" t="s">
        <v>74</v>
      </c>
      <c r="C4475">
        <v>4019</v>
      </c>
      <c r="D4475" s="9">
        <v>86.52</v>
      </c>
      <c r="E4475" t="s">
        <v>60</v>
      </c>
    </row>
    <row r="4476" spans="1:5">
      <c r="A4476" t="s">
        <v>34</v>
      </c>
      <c r="B4476" s="11" t="s">
        <v>61</v>
      </c>
      <c r="C4476">
        <v>4019</v>
      </c>
      <c r="D4476" s="9">
        <v>78.83</v>
      </c>
      <c r="E4476" t="s">
        <v>56</v>
      </c>
    </row>
    <row r="4477" spans="1:5">
      <c r="A4477" t="s">
        <v>34</v>
      </c>
      <c r="B4477" s="11" t="s">
        <v>62</v>
      </c>
      <c r="C4477">
        <v>4019</v>
      </c>
      <c r="D4477" s="9">
        <v>101.53</v>
      </c>
      <c r="E4477" t="s">
        <v>56</v>
      </c>
    </row>
    <row r="4478" spans="1:5">
      <c r="A4478" t="s">
        <v>34</v>
      </c>
      <c r="B4478" s="11" t="s">
        <v>63</v>
      </c>
      <c r="C4478">
        <v>4019</v>
      </c>
      <c r="D4478" s="9">
        <v>136.44</v>
      </c>
      <c r="E4478" t="s">
        <v>56</v>
      </c>
    </row>
    <row r="4479" spans="1:5">
      <c r="A4479" t="s">
        <v>34</v>
      </c>
      <c r="B4479" s="11" t="s">
        <v>64</v>
      </c>
      <c r="C4479">
        <v>4019</v>
      </c>
      <c r="D4479" s="9">
        <v>94.02</v>
      </c>
      <c r="E4479" t="s">
        <v>57</v>
      </c>
    </row>
    <row r="4480" spans="1:5">
      <c r="A4480" t="s">
        <v>34</v>
      </c>
      <c r="B4480" s="11" t="s">
        <v>65</v>
      </c>
      <c r="C4480">
        <v>4019</v>
      </c>
      <c r="D4480" s="9">
        <v>89.9</v>
      </c>
      <c r="E4480" t="s">
        <v>57</v>
      </c>
    </row>
    <row r="4481" spans="1:5">
      <c r="A4481" t="s">
        <v>34</v>
      </c>
      <c r="B4481" s="11" t="s">
        <v>66</v>
      </c>
      <c r="C4481">
        <v>4019</v>
      </c>
      <c r="D4481" s="9">
        <v>242.41</v>
      </c>
      <c r="E4481" t="s">
        <v>57</v>
      </c>
    </row>
    <row r="4482" spans="1:5">
      <c r="A4482" t="s">
        <v>34</v>
      </c>
      <c r="B4482" s="11" t="s">
        <v>67</v>
      </c>
      <c r="C4482">
        <v>4019</v>
      </c>
      <c r="D4482" s="9">
        <v>43.01</v>
      </c>
      <c r="E4482" t="s">
        <v>57</v>
      </c>
    </row>
    <row r="4483" spans="1:5">
      <c r="A4483" t="s">
        <v>34</v>
      </c>
      <c r="B4483" s="11" t="s">
        <v>76</v>
      </c>
      <c r="C4483">
        <v>4019</v>
      </c>
      <c r="D4483" s="9">
        <v>57.04</v>
      </c>
      <c r="E4483" t="s">
        <v>57</v>
      </c>
    </row>
    <row r="4484" spans="1:5">
      <c r="A4484" t="s">
        <v>34</v>
      </c>
      <c r="B4484" s="11" t="s">
        <v>68</v>
      </c>
      <c r="C4484">
        <v>4019</v>
      </c>
      <c r="D4484" s="9">
        <v>95.49</v>
      </c>
      <c r="E4484" t="s">
        <v>58</v>
      </c>
    </row>
    <row r="4485" spans="1:5">
      <c r="A4485" t="s">
        <v>34</v>
      </c>
      <c r="B4485" s="11" t="s">
        <v>69</v>
      </c>
      <c r="C4485">
        <v>4019</v>
      </c>
      <c r="D4485" s="9">
        <v>86.6</v>
      </c>
      <c r="E4485" t="s">
        <v>58</v>
      </c>
    </row>
    <row r="4486" spans="1:5">
      <c r="A4486" t="s">
        <v>34</v>
      </c>
      <c r="B4486" s="11" t="s">
        <v>77</v>
      </c>
      <c r="C4486">
        <v>4019</v>
      </c>
      <c r="D4486" s="9">
        <v>87.21</v>
      </c>
      <c r="E4486" t="s">
        <v>58</v>
      </c>
    </row>
    <row r="4487" spans="1:5">
      <c r="A4487" t="s">
        <v>34</v>
      </c>
      <c r="B4487" s="11" t="s">
        <v>70</v>
      </c>
      <c r="C4487">
        <v>4019</v>
      </c>
      <c r="D4487" s="9">
        <v>120.38</v>
      </c>
      <c r="E4487" t="s">
        <v>59</v>
      </c>
    </row>
    <row r="4488" spans="1:5">
      <c r="A4488" t="s">
        <v>34</v>
      </c>
      <c r="B4488" s="11" t="s">
        <v>71</v>
      </c>
      <c r="C4488">
        <v>4019</v>
      </c>
      <c r="D4488" s="9">
        <v>116.97</v>
      </c>
      <c r="E4488" t="s">
        <v>59</v>
      </c>
    </row>
    <row r="4489" spans="1:5">
      <c r="A4489" t="s">
        <v>34</v>
      </c>
      <c r="B4489" s="11" t="s">
        <v>72</v>
      </c>
      <c r="C4489">
        <v>4019</v>
      </c>
      <c r="D4489" s="9">
        <v>183.39</v>
      </c>
      <c r="E4489" t="s">
        <v>59</v>
      </c>
    </row>
    <row r="4490" spans="1:5">
      <c r="A4490" t="s">
        <v>34</v>
      </c>
      <c r="B4490" s="11" t="s">
        <v>78</v>
      </c>
      <c r="C4490">
        <v>4019</v>
      </c>
      <c r="D4490" s="9">
        <v>106.47</v>
      </c>
      <c r="E4490" t="s">
        <v>59</v>
      </c>
    </row>
    <row r="4491" spans="1:5">
      <c r="A4491" t="s">
        <v>34</v>
      </c>
      <c r="B4491" s="11" t="s">
        <v>73</v>
      </c>
      <c r="C4491">
        <v>4019</v>
      </c>
      <c r="D4491" s="9">
        <v>99.81</v>
      </c>
      <c r="E4491" t="s">
        <v>60</v>
      </c>
    </row>
    <row r="4492" spans="1:5">
      <c r="A4492" t="s">
        <v>34</v>
      </c>
      <c r="B4492" s="11" t="s">
        <v>74</v>
      </c>
      <c r="C4492">
        <v>4019</v>
      </c>
      <c r="D4492" s="9">
        <v>117.65</v>
      </c>
      <c r="E4492" t="s">
        <v>60</v>
      </c>
    </row>
    <row r="4493" spans="1:5">
      <c r="A4493" t="s">
        <v>35</v>
      </c>
      <c r="B4493" s="11" t="s">
        <v>61</v>
      </c>
      <c r="C4493">
        <v>4019</v>
      </c>
      <c r="D4493" s="9">
        <v>107.17</v>
      </c>
      <c r="E4493" t="s">
        <v>56</v>
      </c>
    </row>
    <row r="4494" spans="1:5">
      <c r="A4494" t="s">
        <v>35</v>
      </c>
      <c r="B4494" s="11" t="s">
        <v>62</v>
      </c>
      <c r="C4494">
        <v>4019</v>
      </c>
      <c r="D4494" s="9">
        <v>68.81</v>
      </c>
      <c r="E4494" t="s">
        <v>56</v>
      </c>
    </row>
    <row r="4495" spans="1:5">
      <c r="A4495" t="s">
        <v>35</v>
      </c>
      <c r="B4495" s="11" t="s">
        <v>63</v>
      </c>
      <c r="C4495">
        <v>4019</v>
      </c>
      <c r="D4495" s="9">
        <v>116.67</v>
      </c>
      <c r="E4495" t="s">
        <v>56</v>
      </c>
    </row>
    <row r="4496" spans="1:5">
      <c r="A4496" t="s">
        <v>35</v>
      </c>
      <c r="B4496" s="11" t="s">
        <v>75</v>
      </c>
      <c r="C4496">
        <v>4019</v>
      </c>
      <c r="D4496" s="9">
        <v>117.64</v>
      </c>
      <c r="E4496" t="s">
        <v>56</v>
      </c>
    </row>
    <row r="4497" spans="1:5">
      <c r="A4497" t="s">
        <v>35</v>
      </c>
      <c r="B4497" s="11" t="s">
        <v>64</v>
      </c>
      <c r="C4497">
        <v>4019</v>
      </c>
      <c r="D4497" s="9">
        <v>113.05</v>
      </c>
      <c r="E4497" t="s">
        <v>57</v>
      </c>
    </row>
    <row r="4498" spans="1:5">
      <c r="A4498" t="s">
        <v>35</v>
      </c>
      <c r="B4498" s="11" t="s">
        <v>65</v>
      </c>
      <c r="C4498">
        <v>4019</v>
      </c>
      <c r="D4498" s="9">
        <v>102.1</v>
      </c>
      <c r="E4498" t="s">
        <v>57</v>
      </c>
    </row>
    <row r="4499" spans="1:5">
      <c r="A4499" t="s">
        <v>35</v>
      </c>
      <c r="B4499" s="11" t="s">
        <v>66</v>
      </c>
      <c r="C4499">
        <v>4019</v>
      </c>
      <c r="D4499" s="9">
        <v>210.69</v>
      </c>
      <c r="E4499" t="s">
        <v>57</v>
      </c>
    </row>
    <row r="4500" spans="1:5">
      <c r="A4500" t="s">
        <v>35</v>
      </c>
      <c r="B4500" s="11" t="s">
        <v>67</v>
      </c>
      <c r="C4500">
        <v>4019</v>
      </c>
      <c r="D4500" s="9">
        <v>85.78</v>
      </c>
      <c r="E4500" t="s">
        <v>57</v>
      </c>
    </row>
    <row r="4501" spans="1:5">
      <c r="A4501" t="s">
        <v>35</v>
      </c>
      <c r="B4501" s="11" t="s">
        <v>76</v>
      </c>
      <c r="C4501">
        <v>4019</v>
      </c>
      <c r="D4501" s="9">
        <v>59.97</v>
      </c>
      <c r="E4501" t="s">
        <v>57</v>
      </c>
    </row>
    <row r="4502" spans="1:5">
      <c r="A4502" t="s">
        <v>35</v>
      </c>
      <c r="B4502" s="11" t="s">
        <v>68</v>
      </c>
      <c r="C4502">
        <v>4019</v>
      </c>
      <c r="D4502" s="9">
        <v>97.49</v>
      </c>
      <c r="E4502" t="s">
        <v>58</v>
      </c>
    </row>
    <row r="4503" spans="1:5">
      <c r="A4503" t="s">
        <v>35</v>
      </c>
      <c r="B4503" s="11" t="s">
        <v>69</v>
      </c>
      <c r="C4503">
        <v>4019</v>
      </c>
      <c r="D4503" s="9">
        <v>71.989999999999995</v>
      </c>
      <c r="E4503" t="s">
        <v>58</v>
      </c>
    </row>
    <row r="4504" spans="1:5">
      <c r="A4504" t="s">
        <v>35</v>
      </c>
      <c r="B4504" s="11" t="s">
        <v>77</v>
      </c>
      <c r="C4504">
        <v>4019</v>
      </c>
      <c r="D4504" s="9">
        <v>102.05</v>
      </c>
      <c r="E4504" t="s">
        <v>58</v>
      </c>
    </row>
    <row r="4505" spans="1:5">
      <c r="A4505" t="s">
        <v>35</v>
      </c>
      <c r="B4505" s="11" t="s">
        <v>70</v>
      </c>
      <c r="C4505">
        <v>4019</v>
      </c>
      <c r="D4505" s="9">
        <v>87.08</v>
      </c>
      <c r="E4505" t="s">
        <v>59</v>
      </c>
    </row>
    <row r="4506" spans="1:5">
      <c r="A4506" t="s">
        <v>35</v>
      </c>
      <c r="B4506" s="11" t="s">
        <v>71</v>
      </c>
      <c r="C4506">
        <v>4019</v>
      </c>
      <c r="D4506" s="9">
        <v>109.13</v>
      </c>
      <c r="E4506" t="s">
        <v>59</v>
      </c>
    </row>
    <row r="4507" spans="1:5">
      <c r="A4507" t="s">
        <v>35</v>
      </c>
      <c r="B4507" s="11" t="s">
        <v>72</v>
      </c>
      <c r="C4507">
        <v>4019</v>
      </c>
      <c r="D4507" s="9">
        <v>169.77</v>
      </c>
      <c r="E4507" t="s">
        <v>59</v>
      </c>
    </row>
    <row r="4508" spans="1:5">
      <c r="A4508" t="s">
        <v>35</v>
      </c>
      <c r="B4508" s="11" t="s">
        <v>78</v>
      </c>
      <c r="C4508">
        <v>4019</v>
      </c>
      <c r="D4508" s="9">
        <v>124.41</v>
      </c>
      <c r="E4508" t="s">
        <v>59</v>
      </c>
    </row>
    <row r="4509" spans="1:5">
      <c r="A4509" t="s">
        <v>35</v>
      </c>
      <c r="B4509" s="11" t="s">
        <v>73</v>
      </c>
      <c r="C4509">
        <v>4019</v>
      </c>
      <c r="D4509" s="9">
        <v>149.44999999999999</v>
      </c>
      <c r="E4509" t="s">
        <v>60</v>
      </c>
    </row>
    <row r="4510" spans="1:5">
      <c r="A4510" t="s">
        <v>35</v>
      </c>
      <c r="B4510" s="11" t="s">
        <v>74</v>
      </c>
      <c r="C4510">
        <v>4019</v>
      </c>
      <c r="D4510" s="9">
        <v>114.25</v>
      </c>
      <c r="E4510" t="s">
        <v>60</v>
      </c>
    </row>
    <row r="4511" spans="1:5">
      <c r="A4511" t="s">
        <v>36</v>
      </c>
      <c r="B4511" s="11" t="s">
        <v>61</v>
      </c>
      <c r="C4511">
        <v>4019</v>
      </c>
      <c r="D4511" s="9">
        <v>79.61</v>
      </c>
      <c r="E4511" t="s">
        <v>56</v>
      </c>
    </row>
    <row r="4512" spans="1:5">
      <c r="A4512" t="s">
        <v>36</v>
      </c>
      <c r="B4512" s="11" t="s">
        <v>62</v>
      </c>
      <c r="C4512">
        <v>4019</v>
      </c>
      <c r="D4512" s="9">
        <v>60.42</v>
      </c>
      <c r="E4512" t="s">
        <v>56</v>
      </c>
    </row>
    <row r="4513" spans="1:5">
      <c r="A4513" t="s">
        <v>36</v>
      </c>
      <c r="B4513" s="11" t="s">
        <v>63</v>
      </c>
      <c r="C4513">
        <v>4019</v>
      </c>
      <c r="D4513" s="9">
        <v>84.59</v>
      </c>
      <c r="E4513" t="s">
        <v>56</v>
      </c>
    </row>
    <row r="4514" spans="1:5">
      <c r="A4514" t="s">
        <v>36</v>
      </c>
      <c r="B4514" s="11" t="s">
        <v>75</v>
      </c>
      <c r="C4514">
        <v>4019</v>
      </c>
      <c r="D4514" s="9">
        <v>126.98</v>
      </c>
      <c r="E4514" t="s">
        <v>56</v>
      </c>
    </row>
    <row r="4515" spans="1:5">
      <c r="A4515" t="s">
        <v>36</v>
      </c>
      <c r="B4515" s="11" t="s">
        <v>64</v>
      </c>
      <c r="C4515">
        <v>4019</v>
      </c>
      <c r="D4515" s="9">
        <v>80.58</v>
      </c>
      <c r="E4515" t="s">
        <v>57</v>
      </c>
    </row>
    <row r="4516" spans="1:5">
      <c r="A4516" t="s">
        <v>36</v>
      </c>
      <c r="B4516" s="11" t="s">
        <v>65</v>
      </c>
      <c r="C4516">
        <v>4019</v>
      </c>
      <c r="D4516" s="9">
        <v>60.06</v>
      </c>
      <c r="E4516" t="s">
        <v>57</v>
      </c>
    </row>
    <row r="4517" spans="1:5">
      <c r="A4517" t="s">
        <v>36</v>
      </c>
      <c r="B4517" s="11" t="s">
        <v>66</v>
      </c>
      <c r="C4517">
        <v>4019</v>
      </c>
      <c r="D4517" s="9">
        <v>183.67</v>
      </c>
      <c r="E4517" t="s">
        <v>57</v>
      </c>
    </row>
    <row r="4518" spans="1:5">
      <c r="A4518" t="s">
        <v>36</v>
      </c>
      <c r="B4518" s="11" t="s">
        <v>67</v>
      </c>
      <c r="C4518">
        <v>4019</v>
      </c>
      <c r="D4518" s="9">
        <v>62.59</v>
      </c>
      <c r="E4518" t="s">
        <v>57</v>
      </c>
    </row>
    <row r="4519" spans="1:5">
      <c r="A4519" t="s">
        <v>36</v>
      </c>
      <c r="B4519" s="11" t="s">
        <v>76</v>
      </c>
      <c r="C4519">
        <v>4019</v>
      </c>
      <c r="D4519" s="9">
        <v>56.51</v>
      </c>
      <c r="E4519" t="s">
        <v>57</v>
      </c>
    </row>
    <row r="4520" spans="1:5">
      <c r="A4520" t="s">
        <v>36</v>
      </c>
      <c r="B4520" s="11" t="s">
        <v>68</v>
      </c>
      <c r="C4520">
        <v>4019</v>
      </c>
      <c r="D4520" s="9">
        <v>81.599999999999994</v>
      </c>
      <c r="E4520" t="s">
        <v>58</v>
      </c>
    </row>
    <row r="4521" spans="1:5">
      <c r="A4521" t="s">
        <v>36</v>
      </c>
      <c r="B4521" s="11" t="s">
        <v>69</v>
      </c>
      <c r="C4521">
        <v>4019</v>
      </c>
      <c r="D4521" s="9">
        <v>70.08</v>
      </c>
      <c r="E4521" t="s">
        <v>58</v>
      </c>
    </row>
    <row r="4522" spans="1:5">
      <c r="A4522" t="s">
        <v>36</v>
      </c>
      <c r="B4522" s="11" t="s">
        <v>77</v>
      </c>
      <c r="C4522">
        <v>4019</v>
      </c>
      <c r="D4522" s="9">
        <v>124.41</v>
      </c>
      <c r="E4522" t="s">
        <v>58</v>
      </c>
    </row>
    <row r="4523" spans="1:5">
      <c r="A4523" t="s">
        <v>36</v>
      </c>
      <c r="B4523" s="11" t="s">
        <v>70</v>
      </c>
      <c r="C4523">
        <v>4019</v>
      </c>
      <c r="D4523" s="9">
        <v>62.71</v>
      </c>
      <c r="E4523" t="s">
        <v>59</v>
      </c>
    </row>
    <row r="4524" spans="1:5">
      <c r="A4524" t="s">
        <v>36</v>
      </c>
      <c r="B4524" s="11" t="s">
        <v>71</v>
      </c>
      <c r="C4524">
        <v>4019</v>
      </c>
      <c r="D4524" s="9">
        <v>102.21</v>
      </c>
      <c r="E4524" t="s">
        <v>59</v>
      </c>
    </row>
    <row r="4525" spans="1:5">
      <c r="A4525" t="s">
        <v>36</v>
      </c>
      <c r="B4525" s="11" t="s">
        <v>72</v>
      </c>
      <c r="C4525">
        <v>4019</v>
      </c>
      <c r="D4525" s="9">
        <v>114.3</v>
      </c>
      <c r="E4525" t="s">
        <v>59</v>
      </c>
    </row>
    <row r="4526" spans="1:5">
      <c r="A4526" t="s">
        <v>36</v>
      </c>
      <c r="B4526" s="11" t="s">
        <v>78</v>
      </c>
      <c r="C4526">
        <v>4019</v>
      </c>
      <c r="D4526" s="9">
        <v>85.39</v>
      </c>
      <c r="E4526" t="s">
        <v>59</v>
      </c>
    </row>
    <row r="4527" spans="1:5">
      <c r="A4527" t="s">
        <v>36</v>
      </c>
      <c r="B4527" s="11" t="s">
        <v>73</v>
      </c>
      <c r="C4527">
        <v>4019</v>
      </c>
      <c r="D4527" s="9">
        <v>96.25</v>
      </c>
      <c r="E4527" t="s">
        <v>60</v>
      </c>
    </row>
    <row r="4528" spans="1:5">
      <c r="A4528" t="s">
        <v>36</v>
      </c>
      <c r="B4528" s="11" t="s">
        <v>74</v>
      </c>
      <c r="C4528">
        <v>4019</v>
      </c>
      <c r="D4528" s="9">
        <v>103.87</v>
      </c>
      <c r="E4528" t="s">
        <v>60</v>
      </c>
    </row>
    <row r="4529" spans="1:5">
      <c r="A4529" t="s">
        <v>37</v>
      </c>
      <c r="B4529" s="11" t="s">
        <v>61</v>
      </c>
      <c r="C4529">
        <v>4019</v>
      </c>
      <c r="D4529" s="9">
        <v>105.47</v>
      </c>
      <c r="E4529" t="s">
        <v>56</v>
      </c>
    </row>
    <row r="4530" spans="1:5">
      <c r="A4530" t="s">
        <v>37</v>
      </c>
      <c r="B4530" s="11" t="s">
        <v>62</v>
      </c>
      <c r="C4530">
        <v>4019</v>
      </c>
      <c r="D4530" s="9">
        <v>67.150000000000006</v>
      </c>
      <c r="E4530" t="s">
        <v>56</v>
      </c>
    </row>
    <row r="4531" spans="1:5">
      <c r="A4531" t="s">
        <v>37</v>
      </c>
      <c r="B4531" s="11" t="s">
        <v>63</v>
      </c>
      <c r="C4531">
        <v>4019</v>
      </c>
      <c r="D4531" s="9">
        <v>96.09</v>
      </c>
      <c r="E4531" t="s">
        <v>56</v>
      </c>
    </row>
    <row r="4532" spans="1:5">
      <c r="A4532" t="s">
        <v>37</v>
      </c>
      <c r="B4532" s="11" t="s">
        <v>75</v>
      </c>
      <c r="C4532">
        <v>4019</v>
      </c>
      <c r="D4532" s="9">
        <v>108.34</v>
      </c>
      <c r="E4532" t="s">
        <v>56</v>
      </c>
    </row>
    <row r="4533" spans="1:5">
      <c r="A4533" t="s">
        <v>37</v>
      </c>
      <c r="B4533" s="11" t="s">
        <v>64</v>
      </c>
      <c r="C4533">
        <v>4019</v>
      </c>
      <c r="D4533" s="9">
        <v>92.77</v>
      </c>
      <c r="E4533" t="s">
        <v>57</v>
      </c>
    </row>
    <row r="4534" spans="1:5">
      <c r="A4534" t="s">
        <v>37</v>
      </c>
      <c r="B4534" s="11" t="s">
        <v>65</v>
      </c>
      <c r="C4534">
        <v>4019</v>
      </c>
      <c r="D4534" s="9">
        <v>46.58</v>
      </c>
      <c r="E4534" t="s">
        <v>57</v>
      </c>
    </row>
    <row r="4535" spans="1:5">
      <c r="A4535" t="s">
        <v>37</v>
      </c>
      <c r="B4535" s="11" t="s">
        <v>66</v>
      </c>
      <c r="C4535">
        <v>4019</v>
      </c>
      <c r="D4535" s="9">
        <v>139.05000000000001</v>
      </c>
      <c r="E4535" t="s">
        <v>57</v>
      </c>
    </row>
    <row r="4536" spans="1:5">
      <c r="A4536" t="s">
        <v>37</v>
      </c>
      <c r="B4536" s="11" t="s">
        <v>67</v>
      </c>
      <c r="C4536">
        <v>4019</v>
      </c>
      <c r="D4536" s="9">
        <v>71.38</v>
      </c>
      <c r="E4536" t="s">
        <v>57</v>
      </c>
    </row>
    <row r="4537" spans="1:5">
      <c r="A4537" t="s">
        <v>37</v>
      </c>
      <c r="B4537" s="11" t="s">
        <v>76</v>
      </c>
      <c r="C4537">
        <v>4019</v>
      </c>
      <c r="D4537" s="9">
        <v>49.94</v>
      </c>
      <c r="E4537" t="s">
        <v>57</v>
      </c>
    </row>
    <row r="4538" spans="1:5">
      <c r="A4538" t="s">
        <v>37</v>
      </c>
      <c r="B4538" s="11" t="s">
        <v>68</v>
      </c>
      <c r="C4538">
        <v>4019</v>
      </c>
      <c r="D4538" s="9">
        <v>67.510000000000005</v>
      </c>
      <c r="E4538" t="s">
        <v>58</v>
      </c>
    </row>
    <row r="4539" spans="1:5">
      <c r="A4539" t="s">
        <v>37</v>
      </c>
      <c r="B4539" s="11" t="s">
        <v>69</v>
      </c>
      <c r="C4539">
        <v>4019</v>
      </c>
      <c r="D4539" s="9">
        <v>73.19</v>
      </c>
      <c r="E4539" t="s">
        <v>58</v>
      </c>
    </row>
    <row r="4540" spans="1:5">
      <c r="A4540" t="s">
        <v>37</v>
      </c>
      <c r="B4540" s="11" t="s">
        <v>77</v>
      </c>
      <c r="C4540">
        <v>4019</v>
      </c>
      <c r="D4540" s="9">
        <v>59.66</v>
      </c>
      <c r="E4540" t="s">
        <v>58</v>
      </c>
    </row>
    <row r="4541" spans="1:5">
      <c r="A4541" t="s">
        <v>37</v>
      </c>
      <c r="B4541" s="11" t="s">
        <v>70</v>
      </c>
      <c r="C4541">
        <v>4019</v>
      </c>
      <c r="D4541" s="9">
        <v>96.97</v>
      </c>
      <c r="E4541" t="s">
        <v>59</v>
      </c>
    </row>
    <row r="4542" spans="1:5">
      <c r="A4542" t="s">
        <v>37</v>
      </c>
      <c r="B4542" s="11" t="s">
        <v>71</v>
      </c>
      <c r="C4542">
        <v>4019</v>
      </c>
      <c r="D4542" s="9">
        <v>183.52</v>
      </c>
      <c r="E4542" t="s">
        <v>59</v>
      </c>
    </row>
    <row r="4543" spans="1:5">
      <c r="A4543" t="s">
        <v>37</v>
      </c>
      <c r="B4543" s="11" t="s">
        <v>72</v>
      </c>
      <c r="C4543">
        <v>4019</v>
      </c>
      <c r="D4543" s="9">
        <v>110.94</v>
      </c>
      <c r="E4543" t="s">
        <v>59</v>
      </c>
    </row>
    <row r="4544" spans="1:5">
      <c r="A4544" t="s">
        <v>37</v>
      </c>
      <c r="B4544" s="11" t="s">
        <v>78</v>
      </c>
      <c r="C4544">
        <v>4019</v>
      </c>
      <c r="D4544" s="9">
        <v>83.89</v>
      </c>
      <c r="E4544" t="s">
        <v>59</v>
      </c>
    </row>
    <row r="4545" spans="1:5">
      <c r="A4545" t="s">
        <v>37</v>
      </c>
      <c r="B4545" s="11" t="s">
        <v>73</v>
      </c>
      <c r="C4545">
        <v>4019</v>
      </c>
      <c r="D4545" s="9">
        <v>134.44999999999999</v>
      </c>
      <c r="E4545" t="s">
        <v>60</v>
      </c>
    </row>
    <row r="4546" spans="1:5">
      <c r="A4546" t="s">
        <v>37</v>
      </c>
      <c r="B4546" s="11" t="s">
        <v>74</v>
      </c>
      <c r="C4546">
        <v>4019</v>
      </c>
      <c r="D4546" s="9">
        <v>81.41</v>
      </c>
      <c r="E4546" t="s">
        <v>60</v>
      </c>
    </row>
    <row r="4547" spans="1:5">
      <c r="A4547" t="s">
        <v>38</v>
      </c>
      <c r="B4547" s="11" t="s">
        <v>61</v>
      </c>
      <c r="C4547">
        <v>4019</v>
      </c>
      <c r="D4547" s="9">
        <v>92.21</v>
      </c>
      <c r="E4547" t="s">
        <v>56</v>
      </c>
    </row>
    <row r="4548" spans="1:5">
      <c r="A4548" t="s">
        <v>38</v>
      </c>
      <c r="B4548" s="11" t="s">
        <v>62</v>
      </c>
      <c r="C4548">
        <v>4019</v>
      </c>
      <c r="D4548" s="9">
        <v>57.01</v>
      </c>
      <c r="E4548" t="s">
        <v>56</v>
      </c>
    </row>
    <row r="4549" spans="1:5">
      <c r="A4549" t="s">
        <v>38</v>
      </c>
      <c r="B4549" s="11" t="s">
        <v>63</v>
      </c>
      <c r="C4549">
        <v>4019</v>
      </c>
      <c r="D4549" s="9">
        <v>83.69</v>
      </c>
      <c r="E4549" t="s">
        <v>56</v>
      </c>
    </row>
    <row r="4550" spans="1:5">
      <c r="A4550" t="s">
        <v>38</v>
      </c>
      <c r="B4550" s="11" t="s">
        <v>75</v>
      </c>
      <c r="C4550">
        <v>4019</v>
      </c>
      <c r="D4550" s="9">
        <v>121.87</v>
      </c>
      <c r="E4550" t="s">
        <v>56</v>
      </c>
    </row>
    <row r="4551" spans="1:5">
      <c r="A4551" t="s">
        <v>38</v>
      </c>
      <c r="B4551" s="11" t="s">
        <v>64</v>
      </c>
      <c r="C4551">
        <v>4019</v>
      </c>
      <c r="D4551" s="9">
        <v>125.72</v>
      </c>
      <c r="E4551" t="s">
        <v>57</v>
      </c>
    </row>
    <row r="4552" spans="1:5">
      <c r="A4552" t="s">
        <v>38</v>
      </c>
      <c r="B4552" s="11" t="s">
        <v>65</v>
      </c>
      <c r="C4552">
        <v>4019</v>
      </c>
      <c r="D4552" s="9">
        <v>92.02</v>
      </c>
      <c r="E4552" t="s">
        <v>57</v>
      </c>
    </row>
    <row r="4553" spans="1:5">
      <c r="A4553" t="s">
        <v>38</v>
      </c>
      <c r="B4553" s="11" t="s">
        <v>66</v>
      </c>
      <c r="C4553">
        <v>4019</v>
      </c>
      <c r="D4553" s="9">
        <v>130.36000000000001</v>
      </c>
      <c r="E4553" t="s">
        <v>57</v>
      </c>
    </row>
    <row r="4554" spans="1:5">
      <c r="A4554" t="s">
        <v>38</v>
      </c>
      <c r="B4554" s="11" t="s">
        <v>67</v>
      </c>
      <c r="C4554">
        <v>4019</v>
      </c>
      <c r="D4554" s="9">
        <v>81.67</v>
      </c>
      <c r="E4554" t="s">
        <v>57</v>
      </c>
    </row>
    <row r="4555" spans="1:5">
      <c r="A4555" t="s">
        <v>38</v>
      </c>
      <c r="B4555" s="11" t="s">
        <v>76</v>
      </c>
      <c r="C4555">
        <v>4019</v>
      </c>
      <c r="D4555" s="9">
        <v>57.25</v>
      </c>
      <c r="E4555" t="s">
        <v>57</v>
      </c>
    </row>
    <row r="4556" spans="1:5">
      <c r="A4556" t="s">
        <v>38</v>
      </c>
      <c r="B4556" s="11" t="s">
        <v>68</v>
      </c>
      <c r="C4556">
        <v>4019</v>
      </c>
      <c r="D4556" s="9">
        <v>47.85</v>
      </c>
      <c r="E4556" t="s">
        <v>58</v>
      </c>
    </row>
    <row r="4557" spans="1:5">
      <c r="A4557" t="s">
        <v>38</v>
      </c>
      <c r="B4557" s="11" t="s">
        <v>69</v>
      </c>
      <c r="C4557">
        <v>4019</v>
      </c>
      <c r="D4557" s="9">
        <v>69.489999999999995</v>
      </c>
      <c r="E4557" t="s">
        <v>58</v>
      </c>
    </row>
    <row r="4558" spans="1:5">
      <c r="A4558" t="s">
        <v>38</v>
      </c>
      <c r="B4558" s="11" t="s">
        <v>77</v>
      </c>
      <c r="C4558">
        <v>4019</v>
      </c>
      <c r="D4558" s="9">
        <v>91.33</v>
      </c>
      <c r="E4558" t="s">
        <v>58</v>
      </c>
    </row>
    <row r="4559" spans="1:5">
      <c r="A4559" t="s">
        <v>38</v>
      </c>
      <c r="B4559" s="11" t="s">
        <v>70</v>
      </c>
      <c r="C4559">
        <v>4019</v>
      </c>
      <c r="D4559" s="9">
        <v>91.33</v>
      </c>
      <c r="E4559" t="s">
        <v>59</v>
      </c>
    </row>
    <row r="4560" spans="1:5">
      <c r="A4560" t="s">
        <v>38</v>
      </c>
      <c r="B4560" s="11" t="s">
        <v>71</v>
      </c>
      <c r="C4560">
        <v>4019</v>
      </c>
      <c r="D4560" s="9">
        <v>105.21</v>
      </c>
      <c r="E4560" t="s">
        <v>59</v>
      </c>
    </row>
    <row r="4561" spans="1:5">
      <c r="A4561" t="s">
        <v>38</v>
      </c>
      <c r="B4561" s="11" t="s">
        <v>72</v>
      </c>
      <c r="C4561">
        <v>4019</v>
      </c>
      <c r="D4561" s="9">
        <v>118.48</v>
      </c>
      <c r="E4561" t="s">
        <v>59</v>
      </c>
    </row>
    <row r="4562" spans="1:5">
      <c r="A4562" t="s">
        <v>38</v>
      </c>
      <c r="B4562" s="11" t="s">
        <v>78</v>
      </c>
      <c r="C4562">
        <v>4019</v>
      </c>
      <c r="D4562" s="9">
        <v>68.87</v>
      </c>
      <c r="E4562" t="s">
        <v>59</v>
      </c>
    </row>
    <row r="4563" spans="1:5">
      <c r="A4563" t="s">
        <v>38</v>
      </c>
      <c r="B4563" s="11" t="s">
        <v>73</v>
      </c>
      <c r="C4563">
        <v>4019</v>
      </c>
      <c r="D4563" s="9">
        <v>158.59</v>
      </c>
      <c r="E4563" t="s">
        <v>60</v>
      </c>
    </row>
    <row r="4564" spans="1:5">
      <c r="A4564" t="s">
        <v>38</v>
      </c>
      <c r="B4564" s="11" t="s">
        <v>74</v>
      </c>
      <c r="C4564">
        <v>4019</v>
      </c>
      <c r="D4564" s="9">
        <v>88.51</v>
      </c>
      <c r="E4564" t="s">
        <v>60</v>
      </c>
    </row>
    <row r="4565" spans="1:5">
      <c r="A4565" t="s">
        <v>39</v>
      </c>
      <c r="B4565" s="11" t="s">
        <v>61</v>
      </c>
      <c r="C4565">
        <v>4019</v>
      </c>
      <c r="D4565" s="9">
        <v>67.72</v>
      </c>
      <c r="E4565" t="s">
        <v>56</v>
      </c>
    </row>
    <row r="4566" spans="1:5">
      <c r="A4566" t="s">
        <v>39</v>
      </c>
      <c r="B4566" s="11" t="s">
        <v>62</v>
      </c>
      <c r="C4566">
        <v>4019</v>
      </c>
      <c r="D4566" s="9">
        <v>42.76</v>
      </c>
      <c r="E4566" t="s">
        <v>56</v>
      </c>
    </row>
    <row r="4567" spans="1:5">
      <c r="A4567" t="s">
        <v>39</v>
      </c>
      <c r="B4567" s="11" t="s">
        <v>63</v>
      </c>
      <c r="C4567">
        <v>4019</v>
      </c>
      <c r="D4567" s="9">
        <v>84.96</v>
      </c>
      <c r="E4567" t="s">
        <v>56</v>
      </c>
    </row>
    <row r="4568" spans="1:5">
      <c r="A4568" t="s">
        <v>39</v>
      </c>
      <c r="B4568" s="11" t="s">
        <v>75</v>
      </c>
      <c r="C4568">
        <v>4019</v>
      </c>
      <c r="D4568" s="9">
        <v>84.25</v>
      </c>
      <c r="E4568" t="s">
        <v>56</v>
      </c>
    </row>
    <row r="4569" spans="1:5">
      <c r="A4569" t="s">
        <v>39</v>
      </c>
      <c r="B4569" s="11" t="s">
        <v>64</v>
      </c>
      <c r="C4569">
        <v>4019</v>
      </c>
      <c r="D4569" s="9">
        <v>92.54</v>
      </c>
      <c r="E4569" t="s">
        <v>57</v>
      </c>
    </row>
    <row r="4570" spans="1:5">
      <c r="A4570" t="s">
        <v>39</v>
      </c>
      <c r="B4570" s="11" t="s">
        <v>65</v>
      </c>
      <c r="C4570">
        <v>4019</v>
      </c>
      <c r="D4570" s="9">
        <v>77.010000000000005</v>
      </c>
      <c r="E4570" t="s">
        <v>57</v>
      </c>
    </row>
    <row r="4571" spans="1:5">
      <c r="A4571" t="s">
        <v>39</v>
      </c>
      <c r="B4571" s="11" t="s">
        <v>66</v>
      </c>
      <c r="C4571">
        <v>4019</v>
      </c>
      <c r="D4571" s="9">
        <v>153.24</v>
      </c>
      <c r="E4571" t="s">
        <v>57</v>
      </c>
    </row>
    <row r="4572" spans="1:5">
      <c r="A4572" t="s">
        <v>39</v>
      </c>
      <c r="B4572" s="11" t="s">
        <v>67</v>
      </c>
      <c r="C4572">
        <v>4019</v>
      </c>
      <c r="D4572" s="9">
        <v>45.85</v>
      </c>
      <c r="E4572" t="s">
        <v>57</v>
      </c>
    </row>
    <row r="4573" spans="1:5">
      <c r="A4573" t="s">
        <v>39</v>
      </c>
      <c r="B4573" s="11" t="s">
        <v>76</v>
      </c>
      <c r="C4573">
        <v>4019</v>
      </c>
      <c r="D4573" s="9">
        <v>56.7</v>
      </c>
      <c r="E4573" t="s">
        <v>57</v>
      </c>
    </row>
    <row r="4574" spans="1:5">
      <c r="A4574" t="s">
        <v>39</v>
      </c>
      <c r="B4574" s="11" t="s">
        <v>68</v>
      </c>
      <c r="C4574">
        <v>4019</v>
      </c>
      <c r="D4574" s="9">
        <v>117.3</v>
      </c>
      <c r="E4574" t="s">
        <v>58</v>
      </c>
    </row>
    <row r="4575" spans="1:5">
      <c r="A4575" t="s">
        <v>39</v>
      </c>
      <c r="B4575" s="11" t="s">
        <v>69</v>
      </c>
      <c r="C4575">
        <v>4019</v>
      </c>
      <c r="D4575" s="9">
        <v>60.61</v>
      </c>
      <c r="E4575" t="s">
        <v>58</v>
      </c>
    </row>
    <row r="4576" spans="1:5">
      <c r="A4576" t="s">
        <v>39</v>
      </c>
      <c r="B4576" s="11" t="s">
        <v>77</v>
      </c>
      <c r="C4576">
        <v>4019</v>
      </c>
      <c r="D4576" s="9">
        <v>145.16</v>
      </c>
      <c r="E4576" t="s">
        <v>58</v>
      </c>
    </row>
    <row r="4577" spans="1:5">
      <c r="A4577" t="s">
        <v>39</v>
      </c>
      <c r="B4577" s="11" t="s">
        <v>70</v>
      </c>
      <c r="C4577">
        <v>4019</v>
      </c>
      <c r="D4577" s="9">
        <v>88.08</v>
      </c>
      <c r="E4577" t="s">
        <v>59</v>
      </c>
    </row>
    <row r="4578" spans="1:5">
      <c r="A4578" t="s">
        <v>39</v>
      </c>
      <c r="B4578" s="11" t="s">
        <v>71</v>
      </c>
      <c r="C4578">
        <v>4019</v>
      </c>
      <c r="D4578" s="9">
        <v>92.87</v>
      </c>
      <c r="E4578" t="s">
        <v>59</v>
      </c>
    </row>
    <row r="4579" spans="1:5">
      <c r="A4579" t="s">
        <v>39</v>
      </c>
      <c r="B4579" s="11" t="s">
        <v>72</v>
      </c>
      <c r="C4579">
        <v>4019</v>
      </c>
      <c r="D4579" s="9">
        <v>145.16</v>
      </c>
      <c r="E4579" t="s">
        <v>59</v>
      </c>
    </row>
    <row r="4580" spans="1:5">
      <c r="A4580" t="s">
        <v>39</v>
      </c>
      <c r="B4580" s="11" t="s">
        <v>78</v>
      </c>
      <c r="C4580">
        <v>4019</v>
      </c>
      <c r="D4580" s="9">
        <v>80</v>
      </c>
      <c r="E4580" t="s">
        <v>59</v>
      </c>
    </row>
    <row r="4581" spans="1:5">
      <c r="A4581" t="s">
        <v>39</v>
      </c>
      <c r="B4581" s="11" t="s">
        <v>73</v>
      </c>
      <c r="C4581">
        <v>4019</v>
      </c>
      <c r="D4581" s="9">
        <v>97.25</v>
      </c>
      <c r="E4581" t="s">
        <v>60</v>
      </c>
    </row>
    <row r="4582" spans="1:5">
      <c r="A4582" t="s">
        <v>39</v>
      </c>
      <c r="B4582" s="11" t="s">
        <v>74</v>
      </c>
      <c r="C4582">
        <v>4019</v>
      </c>
      <c r="D4582" s="9">
        <v>79.739999999999995</v>
      </c>
      <c r="E4582" t="s">
        <v>60</v>
      </c>
    </row>
    <row r="4583" spans="1:5">
      <c r="A4583" t="s">
        <v>28</v>
      </c>
      <c r="B4583" s="11" t="s">
        <v>61</v>
      </c>
      <c r="C4583">
        <v>4025</v>
      </c>
      <c r="D4583" s="9">
        <v>42.1</v>
      </c>
      <c r="E4583" t="s">
        <v>56</v>
      </c>
    </row>
    <row r="4584" spans="1:5">
      <c r="A4584" t="s">
        <v>28</v>
      </c>
      <c r="B4584" s="11" t="s">
        <v>62</v>
      </c>
      <c r="C4584">
        <v>4025</v>
      </c>
      <c r="D4584" s="9">
        <v>46.65</v>
      </c>
      <c r="E4584" t="s">
        <v>56</v>
      </c>
    </row>
    <row r="4585" spans="1:5">
      <c r="A4585" t="s">
        <v>28</v>
      </c>
      <c r="B4585" s="11" t="s">
        <v>63</v>
      </c>
      <c r="C4585">
        <v>4025</v>
      </c>
      <c r="D4585" s="9">
        <v>52.57</v>
      </c>
      <c r="E4585" t="s">
        <v>56</v>
      </c>
    </row>
    <row r="4586" spans="1:5">
      <c r="A4586" t="s">
        <v>28</v>
      </c>
      <c r="B4586" s="11" t="s">
        <v>64</v>
      </c>
      <c r="C4586">
        <v>4025</v>
      </c>
      <c r="D4586" s="9">
        <v>35.46</v>
      </c>
      <c r="E4586" t="s">
        <v>57</v>
      </c>
    </row>
    <row r="4587" spans="1:5">
      <c r="A4587" t="s">
        <v>28</v>
      </c>
      <c r="B4587" s="11" t="s">
        <v>65</v>
      </c>
      <c r="C4587">
        <v>4025</v>
      </c>
      <c r="D4587" s="9">
        <v>27.81</v>
      </c>
      <c r="E4587" t="s">
        <v>57</v>
      </c>
    </row>
    <row r="4588" spans="1:5">
      <c r="A4588" t="s">
        <v>28</v>
      </c>
      <c r="B4588" s="11" t="s">
        <v>66</v>
      </c>
      <c r="C4588">
        <v>4025</v>
      </c>
      <c r="D4588" s="9">
        <v>78.819999999999993</v>
      </c>
      <c r="E4588" t="s">
        <v>57</v>
      </c>
    </row>
    <row r="4589" spans="1:5">
      <c r="A4589" t="s">
        <v>28</v>
      </c>
      <c r="B4589" s="11" t="s">
        <v>67</v>
      </c>
      <c r="C4589">
        <v>4025</v>
      </c>
      <c r="D4589" s="9">
        <v>40.69</v>
      </c>
      <c r="E4589" t="s">
        <v>57</v>
      </c>
    </row>
    <row r="4590" spans="1:5">
      <c r="A4590" t="s">
        <v>28</v>
      </c>
      <c r="B4590" s="11" t="s">
        <v>76</v>
      </c>
      <c r="C4590">
        <v>4025</v>
      </c>
      <c r="D4590" s="9">
        <v>21.28</v>
      </c>
      <c r="E4590" t="s">
        <v>57</v>
      </c>
    </row>
    <row r="4591" spans="1:5">
      <c r="A4591" t="s">
        <v>28</v>
      </c>
      <c r="B4591" s="11" t="s">
        <v>68</v>
      </c>
      <c r="C4591">
        <v>4025</v>
      </c>
      <c r="D4591" s="9">
        <v>49.59</v>
      </c>
      <c r="E4591" t="s">
        <v>58</v>
      </c>
    </row>
    <row r="4592" spans="1:5">
      <c r="A4592" t="s">
        <v>28</v>
      </c>
      <c r="B4592" s="11" t="s">
        <v>69</v>
      </c>
      <c r="C4592">
        <v>4025</v>
      </c>
      <c r="D4592" s="9">
        <v>33.31</v>
      </c>
      <c r="E4592" t="s">
        <v>58</v>
      </c>
    </row>
    <row r="4593" spans="1:5">
      <c r="A4593" t="s">
        <v>28</v>
      </c>
      <c r="B4593" s="11" t="s">
        <v>77</v>
      </c>
      <c r="C4593">
        <v>4025</v>
      </c>
      <c r="D4593" s="9">
        <v>73.73</v>
      </c>
      <c r="E4593" t="s">
        <v>58</v>
      </c>
    </row>
    <row r="4594" spans="1:5">
      <c r="A4594" t="s">
        <v>28</v>
      </c>
      <c r="B4594" s="11" t="s">
        <v>70</v>
      </c>
      <c r="C4594">
        <v>4025</v>
      </c>
      <c r="D4594" s="9">
        <v>71.930000000000007</v>
      </c>
      <c r="E4594" t="s">
        <v>59</v>
      </c>
    </row>
    <row r="4595" spans="1:5">
      <c r="A4595" t="s">
        <v>28</v>
      </c>
      <c r="B4595" s="11" t="s">
        <v>71</v>
      </c>
      <c r="C4595">
        <v>4025</v>
      </c>
      <c r="D4595" s="9">
        <v>58.61</v>
      </c>
      <c r="E4595" t="s">
        <v>59</v>
      </c>
    </row>
    <row r="4596" spans="1:5">
      <c r="A4596" t="s">
        <v>28</v>
      </c>
      <c r="B4596" s="11" t="s">
        <v>72</v>
      </c>
      <c r="C4596">
        <v>4025</v>
      </c>
      <c r="D4596" s="9">
        <v>72.28</v>
      </c>
      <c r="E4596" t="s">
        <v>59</v>
      </c>
    </row>
    <row r="4597" spans="1:5">
      <c r="A4597" t="s">
        <v>28</v>
      </c>
      <c r="B4597" s="11" t="s">
        <v>78</v>
      </c>
      <c r="C4597">
        <v>4025</v>
      </c>
      <c r="D4597" s="9">
        <v>44.69</v>
      </c>
      <c r="E4597" t="s">
        <v>59</v>
      </c>
    </row>
    <row r="4598" spans="1:5">
      <c r="A4598" t="s">
        <v>28</v>
      </c>
      <c r="B4598" s="11" t="s">
        <v>73</v>
      </c>
      <c r="C4598">
        <v>4025</v>
      </c>
      <c r="D4598" s="9">
        <v>48.11</v>
      </c>
      <c r="E4598" t="s">
        <v>60</v>
      </c>
    </row>
    <row r="4599" spans="1:5">
      <c r="A4599" t="s">
        <v>28</v>
      </c>
      <c r="B4599" s="11" t="s">
        <v>74</v>
      </c>
      <c r="C4599">
        <v>4025</v>
      </c>
      <c r="D4599" s="9">
        <v>70.91</v>
      </c>
      <c r="E4599" t="s">
        <v>60</v>
      </c>
    </row>
    <row r="4600" spans="1:5">
      <c r="A4600" t="s">
        <v>29</v>
      </c>
      <c r="B4600" s="11" t="s">
        <v>61</v>
      </c>
      <c r="C4600">
        <v>4025</v>
      </c>
      <c r="D4600" s="9">
        <v>56.16</v>
      </c>
      <c r="E4600" t="s">
        <v>56</v>
      </c>
    </row>
    <row r="4601" spans="1:5">
      <c r="A4601" t="s">
        <v>29</v>
      </c>
      <c r="B4601" s="11" t="s">
        <v>62</v>
      </c>
      <c r="C4601">
        <v>4025</v>
      </c>
      <c r="D4601" s="9">
        <v>34.6</v>
      </c>
      <c r="E4601" t="s">
        <v>56</v>
      </c>
    </row>
    <row r="4602" spans="1:5">
      <c r="A4602" t="s">
        <v>29</v>
      </c>
      <c r="B4602" s="11" t="s">
        <v>63</v>
      </c>
      <c r="C4602">
        <v>4025</v>
      </c>
      <c r="D4602" s="9">
        <v>46.32</v>
      </c>
      <c r="E4602" t="s">
        <v>56</v>
      </c>
    </row>
    <row r="4603" spans="1:5">
      <c r="A4603" t="s">
        <v>29</v>
      </c>
      <c r="B4603" s="11" t="s">
        <v>75</v>
      </c>
      <c r="C4603">
        <v>4025</v>
      </c>
      <c r="D4603" s="9">
        <v>40.6</v>
      </c>
      <c r="E4603" t="s">
        <v>56</v>
      </c>
    </row>
    <row r="4604" spans="1:5">
      <c r="A4604" t="s">
        <v>29</v>
      </c>
      <c r="B4604" s="11" t="s">
        <v>64</v>
      </c>
      <c r="C4604">
        <v>4025</v>
      </c>
      <c r="D4604" s="9">
        <v>58.48</v>
      </c>
      <c r="E4604" t="s">
        <v>57</v>
      </c>
    </row>
    <row r="4605" spans="1:5">
      <c r="A4605" t="s">
        <v>29</v>
      </c>
      <c r="B4605" s="11" t="s">
        <v>65</v>
      </c>
      <c r="C4605">
        <v>4025</v>
      </c>
      <c r="D4605" s="9">
        <v>42.74</v>
      </c>
      <c r="E4605" t="s">
        <v>57</v>
      </c>
    </row>
    <row r="4606" spans="1:5">
      <c r="A4606" t="s">
        <v>29</v>
      </c>
      <c r="B4606" s="11" t="s">
        <v>66</v>
      </c>
      <c r="C4606">
        <v>4025</v>
      </c>
      <c r="D4606" s="9">
        <v>78.42</v>
      </c>
      <c r="E4606" t="s">
        <v>57</v>
      </c>
    </row>
    <row r="4607" spans="1:5">
      <c r="A4607" t="s">
        <v>29</v>
      </c>
      <c r="B4607" s="11" t="s">
        <v>67</v>
      </c>
      <c r="C4607">
        <v>4025</v>
      </c>
      <c r="D4607" s="9">
        <v>39.93</v>
      </c>
      <c r="E4607" t="s">
        <v>57</v>
      </c>
    </row>
    <row r="4608" spans="1:5">
      <c r="A4608" t="s">
        <v>29</v>
      </c>
      <c r="B4608" s="11" t="s">
        <v>76</v>
      </c>
      <c r="C4608">
        <v>4025</v>
      </c>
      <c r="D4608" s="9">
        <v>19.97</v>
      </c>
      <c r="E4608" t="s">
        <v>57</v>
      </c>
    </row>
    <row r="4609" spans="1:5">
      <c r="A4609" t="s">
        <v>29</v>
      </c>
      <c r="B4609" s="11" t="s">
        <v>68</v>
      </c>
      <c r="C4609">
        <v>4025</v>
      </c>
      <c r="D4609" s="9">
        <v>61.76</v>
      </c>
      <c r="E4609" t="s">
        <v>58</v>
      </c>
    </row>
    <row r="4610" spans="1:5">
      <c r="A4610" t="s">
        <v>29</v>
      </c>
      <c r="B4610" s="11" t="s">
        <v>69</v>
      </c>
      <c r="C4610">
        <v>4025</v>
      </c>
      <c r="D4610" s="9">
        <v>45.62</v>
      </c>
      <c r="E4610" t="s">
        <v>58</v>
      </c>
    </row>
    <row r="4611" spans="1:5">
      <c r="A4611" t="s">
        <v>29</v>
      </c>
      <c r="B4611" s="11" t="s">
        <v>77</v>
      </c>
      <c r="C4611">
        <v>4025</v>
      </c>
      <c r="D4611" s="9">
        <v>60.31</v>
      </c>
      <c r="E4611" t="s">
        <v>58</v>
      </c>
    </row>
    <row r="4612" spans="1:5">
      <c r="A4612" t="s">
        <v>29</v>
      </c>
      <c r="B4612" s="11" t="s">
        <v>70</v>
      </c>
      <c r="C4612">
        <v>4025</v>
      </c>
      <c r="D4612" s="9">
        <v>59.21</v>
      </c>
      <c r="E4612" t="s">
        <v>59</v>
      </c>
    </row>
    <row r="4613" spans="1:5">
      <c r="A4613" t="s">
        <v>29</v>
      </c>
      <c r="B4613" s="11" t="s">
        <v>71</v>
      </c>
      <c r="C4613">
        <v>4025</v>
      </c>
      <c r="D4613" s="9">
        <v>45.96</v>
      </c>
      <c r="E4613" t="s">
        <v>59</v>
      </c>
    </row>
    <row r="4614" spans="1:5">
      <c r="A4614" t="s">
        <v>29</v>
      </c>
      <c r="B4614" s="11" t="s">
        <v>72</v>
      </c>
      <c r="C4614">
        <v>4025</v>
      </c>
      <c r="D4614" s="9">
        <v>68.180000000000007</v>
      </c>
      <c r="E4614" t="s">
        <v>59</v>
      </c>
    </row>
    <row r="4615" spans="1:5">
      <c r="A4615" t="s">
        <v>29</v>
      </c>
      <c r="B4615" s="11" t="s">
        <v>78</v>
      </c>
      <c r="C4615">
        <v>4025</v>
      </c>
      <c r="D4615" s="9">
        <v>38.01</v>
      </c>
      <c r="E4615" t="s">
        <v>59</v>
      </c>
    </row>
    <row r="4616" spans="1:5">
      <c r="A4616" t="s">
        <v>29</v>
      </c>
      <c r="B4616" s="11" t="s">
        <v>73</v>
      </c>
      <c r="C4616">
        <v>4025</v>
      </c>
      <c r="D4616" s="9">
        <v>51.37</v>
      </c>
      <c r="E4616" t="s">
        <v>60</v>
      </c>
    </row>
    <row r="4617" spans="1:5">
      <c r="A4617" t="s">
        <v>29</v>
      </c>
      <c r="B4617" s="11" t="s">
        <v>74</v>
      </c>
      <c r="C4617">
        <v>4025</v>
      </c>
      <c r="D4617" s="9">
        <v>60.06</v>
      </c>
      <c r="E4617" t="s">
        <v>60</v>
      </c>
    </row>
    <row r="4618" spans="1:5">
      <c r="A4618" t="s">
        <v>30</v>
      </c>
      <c r="B4618" s="11" t="s">
        <v>61</v>
      </c>
      <c r="C4618">
        <v>4025</v>
      </c>
      <c r="D4618" s="9">
        <v>33.630000000000003</v>
      </c>
      <c r="E4618" t="s">
        <v>56</v>
      </c>
    </row>
    <row r="4619" spans="1:5">
      <c r="A4619" t="s">
        <v>30</v>
      </c>
      <c r="B4619" s="11" t="s">
        <v>62</v>
      </c>
      <c r="C4619">
        <v>4025</v>
      </c>
      <c r="D4619" s="9">
        <v>27.48</v>
      </c>
      <c r="E4619" t="s">
        <v>56</v>
      </c>
    </row>
    <row r="4620" spans="1:5">
      <c r="A4620" t="s">
        <v>30</v>
      </c>
      <c r="B4620" s="11" t="s">
        <v>63</v>
      </c>
      <c r="C4620">
        <v>4025</v>
      </c>
      <c r="D4620" s="9">
        <v>35.770000000000003</v>
      </c>
      <c r="E4620" t="s">
        <v>56</v>
      </c>
    </row>
    <row r="4621" spans="1:5">
      <c r="A4621" t="s">
        <v>30</v>
      </c>
      <c r="B4621" s="11" t="s">
        <v>75</v>
      </c>
      <c r="C4621">
        <v>4025</v>
      </c>
      <c r="D4621" s="9">
        <v>29.71</v>
      </c>
      <c r="E4621" t="s">
        <v>56</v>
      </c>
    </row>
    <row r="4622" spans="1:5">
      <c r="A4622" t="s">
        <v>30</v>
      </c>
      <c r="B4622" s="11" t="s">
        <v>64</v>
      </c>
      <c r="C4622">
        <v>4025</v>
      </c>
      <c r="D4622" s="9">
        <v>47.39</v>
      </c>
      <c r="E4622" t="s">
        <v>57</v>
      </c>
    </row>
    <row r="4623" spans="1:5">
      <c r="A4623" t="s">
        <v>30</v>
      </c>
      <c r="B4623" s="11" t="s">
        <v>65</v>
      </c>
      <c r="C4623">
        <v>4025</v>
      </c>
      <c r="D4623" s="9">
        <v>31.42</v>
      </c>
      <c r="E4623" t="s">
        <v>57</v>
      </c>
    </row>
    <row r="4624" spans="1:5">
      <c r="A4624" t="s">
        <v>30</v>
      </c>
      <c r="B4624" s="11" t="s">
        <v>66</v>
      </c>
      <c r="C4624">
        <v>4025</v>
      </c>
      <c r="D4624" s="9">
        <v>60.14</v>
      </c>
      <c r="E4624" t="s">
        <v>57</v>
      </c>
    </row>
    <row r="4625" spans="1:5">
      <c r="A4625" t="s">
        <v>30</v>
      </c>
      <c r="B4625" s="11" t="s">
        <v>67</v>
      </c>
      <c r="C4625">
        <v>4025</v>
      </c>
      <c r="D4625" s="9">
        <v>38.08</v>
      </c>
      <c r="E4625" t="s">
        <v>57</v>
      </c>
    </row>
    <row r="4626" spans="1:5">
      <c r="A4626" t="s">
        <v>30</v>
      </c>
      <c r="B4626" s="11" t="s">
        <v>76</v>
      </c>
      <c r="C4626">
        <v>4025</v>
      </c>
      <c r="D4626" s="9">
        <v>18.32</v>
      </c>
      <c r="E4626" t="s">
        <v>57</v>
      </c>
    </row>
    <row r="4627" spans="1:5">
      <c r="A4627" t="s">
        <v>30</v>
      </c>
      <c r="B4627" s="11" t="s">
        <v>68</v>
      </c>
      <c r="C4627">
        <v>4025</v>
      </c>
      <c r="D4627" s="9">
        <v>45.53</v>
      </c>
      <c r="E4627" t="s">
        <v>58</v>
      </c>
    </row>
    <row r="4628" spans="1:5">
      <c r="A4628" t="s">
        <v>30</v>
      </c>
      <c r="B4628" s="11" t="s">
        <v>69</v>
      </c>
      <c r="C4628">
        <v>4025</v>
      </c>
      <c r="D4628" s="9">
        <v>45.1</v>
      </c>
      <c r="E4628" t="s">
        <v>58</v>
      </c>
    </row>
    <row r="4629" spans="1:5">
      <c r="A4629" t="s">
        <v>30</v>
      </c>
      <c r="B4629" s="11" t="s">
        <v>77</v>
      </c>
      <c r="C4629">
        <v>4025</v>
      </c>
      <c r="D4629" s="9">
        <v>35.92</v>
      </c>
      <c r="E4629" t="s">
        <v>58</v>
      </c>
    </row>
    <row r="4630" spans="1:5">
      <c r="A4630" t="s">
        <v>30</v>
      </c>
      <c r="B4630" s="11" t="s">
        <v>70</v>
      </c>
      <c r="C4630">
        <v>4025</v>
      </c>
      <c r="D4630" s="9">
        <v>50.46</v>
      </c>
      <c r="E4630" t="s">
        <v>59</v>
      </c>
    </row>
    <row r="4631" spans="1:5">
      <c r="A4631" t="s">
        <v>30</v>
      </c>
      <c r="B4631" s="11" t="s">
        <v>71</v>
      </c>
      <c r="C4631">
        <v>4025</v>
      </c>
      <c r="D4631" s="9">
        <v>50</v>
      </c>
      <c r="E4631" t="s">
        <v>59</v>
      </c>
    </row>
    <row r="4632" spans="1:5">
      <c r="A4632" t="s">
        <v>30</v>
      </c>
      <c r="B4632" s="11" t="s">
        <v>72</v>
      </c>
      <c r="C4632">
        <v>4025</v>
      </c>
      <c r="D4632" s="9">
        <v>57.22</v>
      </c>
      <c r="E4632" t="s">
        <v>59</v>
      </c>
    </row>
    <row r="4633" spans="1:5">
      <c r="A4633" t="s">
        <v>30</v>
      </c>
      <c r="B4633" s="11" t="s">
        <v>78</v>
      </c>
      <c r="C4633">
        <v>4025</v>
      </c>
      <c r="D4633" s="9">
        <v>43.35</v>
      </c>
      <c r="E4633" t="s">
        <v>59</v>
      </c>
    </row>
    <row r="4634" spans="1:5">
      <c r="A4634" t="s">
        <v>30</v>
      </c>
      <c r="B4634" s="11" t="s">
        <v>73</v>
      </c>
      <c r="C4634">
        <v>4025</v>
      </c>
      <c r="D4634" s="9">
        <v>49.52</v>
      </c>
      <c r="E4634" t="s">
        <v>60</v>
      </c>
    </row>
    <row r="4635" spans="1:5">
      <c r="A4635" t="s">
        <v>30</v>
      </c>
      <c r="B4635" s="11" t="s">
        <v>74</v>
      </c>
      <c r="C4635">
        <v>4025</v>
      </c>
      <c r="D4635" s="9">
        <v>45.75</v>
      </c>
      <c r="E4635" t="s">
        <v>60</v>
      </c>
    </row>
    <row r="4636" spans="1:5">
      <c r="A4636" t="s">
        <v>31</v>
      </c>
      <c r="B4636" s="11" t="s">
        <v>61</v>
      </c>
      <c r="C4636">
        <v>4025</v>
      </c>
      <c r="D4636" s="9">
        <v>40.79</v>
      </c>
      <c r="E4636" t="s">
        <v>56</v>
      </c>
    </row>
    <row r="4637" spans="1:5">
      <c r="A4637" t="s">
        <v>31</v>
      </c>
      <c r="B4637" s="11" t="s">
        <v>62</v>
      </c>
      <c r="C4637">
        <v>4025</v>
      </c>
      <c r="D4637" s="9">
        <v>27.13</v>
      </c>
      <c r="E4637" t="s">
        <v>56</v>
      </c>
    </row>
    <row r="4638" spans="1:5">
      <c r="A4638" t="s">
        <v>31</v>
      </c>
      <c r="B4638" s="11" t="s">
        <v>63</v>
      </c>
      <c r="C4638">
        <v>4025</v>
      </c>
      <c r="D4638" s="9">
        <v>46.16</v>
      </c>
      <c r="E4638" t="s">
        <v>56</v>
      </c>
    </row>
    <row r="4639" spans="1:5">
      <c r="A4639" t="s">
        <v>31</v>
      </c>
      <c r="B4639" s="11" t="s">
        <v>75</v>
      </c>
      <c r="C4639">
        <v>4025</v>
      </c>
      <c r="D4639" s="9">
        <v>57.19</v>
      </c>
      <c r="E4639" t="s">
        <v>56</v>
      </c>
    </row>
    <row r="4640" spans="1:5">
      <c r="A4640" t="s">
        <v>31</v>
      </c>
      <c r="B4640" s="11" t="s">
        <v>64</v>
      </c>
      <c r="C4640">
        <v>4025</v>
      </c>
      <c r="D4640" s="9">
        <v>46.65</v>
      </c>
      <c r="E4640" t="s">
        <v>57</v>
      </c>
    </row>
    <row r="4641" spans="1:5">
      <c r="A4641" t="s">
        <v>31</v>
      </c>
      <c r="B4641" s="11" t="s">
        <v>65</v>
      </c>
      <c r="C4641">
        <v>4025</v>
      </c>
      <c r="D4641" s="9">
        <v>40.729999999999997</v>
      </c>
      <c r="E4641" t="s">
        <v>57</v>
      </c>
    </row>
    <row r="4642" spans="1:5">
      <c r="A4642" t="s">
        <v>31</v>
      </c>
      <c r="B4642" s="11" t="s">
        <v>66</v>
      </c>
      <c r="C4642">
        <v>4025</v>
      </c>
      <c r="D4642" s="9">
        <v>44.68</v>
      </c>
      <c r="E4642" t="s">
        <v>57</v>
      </c>
    </row>
    <row r="4643" spans="1:5">
      <c r="A4643" t="s">
        <v>31</v>
      </c>
      <c r="B4643" s="11" t="s">
        <v>67</v>
      </c>
      <c r="C4643">
        <v>4025</v>
      </c>
      <c r="D4643" s="9">
        <v>31.38</v>
      </c>
      <c r="E4643" t="s">
        <v>57</v>
      </c>
    </row>
    <row r="4644" spans="1:5">
      <c r="A4644" t="s">
        <v>31</v>
      </c>
      <c r="B4644" s="11" t="s">
        <v>76</v>
      </c>
      <c r="C4644">
        <v>4025</v>
      </c>
      <c r="D4644" s="9">
        <v>25.9</v>
      </c>
      <c r="E4644" t="s">
        <v>57</v>
      </c>
    </row>
    <row r="4645" spans="1:5">
      <c r="A4645" t="s">
        <v>31</v>
      </c>
      <c r="B4645" s="11" t="s">
        <v>68</v>
      </c>
      <c r="C4645">
        <v>4025</v>
      </c>
      <c r="D4645" s="9">
        <v>58.63</v>
      </c>
      <c r="E4645" t="s">
        <v>58</v>
      </c>
    </row>
    <row r="4646" spans="1:5">
      <c r="A4646" t="s">
        <v>31</v>
      </c>
      <c r="B4646" s="11" t="s">
        <v>69</v>
      </c>
      <c r="C4646">
        <v>4025</v>
      </c>
      <c r="D4646" s="9">
        <v>35.83</v>
      </c>
      <c r="E4646" t="s">
        <v>58</v>
      </c>
    </row>
    <row r="4647" spans="1:5">
      <c r="A4647" t="s">
        <v>31</v>
      </c>
      <c r="B4647" s="11" t="s">
        <v>77</v>
      </c>
      <c r="C4647">
        <v>4025</v>
      </c>
      <c r="D4647" s="9">
        <v>45.24</v>
      </c>
      <c r="E4647" t="s">
        <v>58</v>
      </c>
    </row>
    <row r="4648" spans="1:5">
      <c r="A4648" t="s">
        <v>31</v>
      </c>
      <c r="B4648" s="11" t="s">
        <v>70</v>
      </c>
      <c r="C4648">
        <v>4025</v>
      </c>
      <c r="D4648" s="9">
        <v>47.61</v>
      </c>
      <c r="E4648" t="s">
        <v>59</v>
      </c>
    </row>
    <row r="4649" spans="1:5">
      <c r="A4649" t="s">
        <v>31</v>
      </c>
      <c r="B4649" s="11" t="s">
        <v>71</v>
      </c>
      <c r="C4649">
        <v>4025</v>
      </c>
      <c r="D4649" s="9">
        <v>49.13</v>
      </c>
      <c r="E4649" t="s">
        <v>59</v>
      </c>
    </row>
    <row r="4650" spans="1:5">
      <c r="A4650" t="s">
        <v>31</v>
      </c>
      <c r="B4650" s="11" t="s">
        <v>72</v>
      </c>
      <c r="C4650">
        <v>4025</v>
      </c>
      <c r="D4650" s="9">
        <v>61.32</v>
      </c>
      <c r="E4650" t="s">
        <v>59</v>
      </c>
    </row>
    <row r="4651" spans="1:5">
      <c r="A4651" t="s">
        <v>31</v>
      </c>
      <c r="B4651" s="11" t="s">
        <v>78</v>
      </c>
      <c r="C4651">
        <v>4025</v>
      </c>
      <c r="D4651" s="9">
        <v>33.86</v>
      </c>
      <c r="E4651" t="s">
        <v>59</v>
      </c>
    </row>
    <row r="4652" spans="1:5">
      <c r="A4652" t="s">
        <v>31</v>
      </c>
      <c r="B4652" s="11" t="s">
        <v>73</v>
      </c>
      <c r="C4652">
        <v>4025</v>
      </c>
      <c r="D4652" s="9">
        <v>49.47</v>
      </c>
      <c r="E4652" t="s">
        <v>60</v>
      </c>
    </row>
    <row r="4653" spans="1:5">
      <c r="A4653" t="s">
        <v>31</v>
      </c>
      <c r="B4653" s="11" t="s">
        <v>74</v>
      </c>
      <c r="C4653">
        <v>4025</v>
      </c>
      <c r="D4653" s="9">
        <v>68.459999999999994</v>
      </c>
      <c r="E4653" t="s">
        <v>60</v>
      </c>
    </row>
    <row r="4654" spans="1:5">
      <c r="A4654" t="s">
        <v>32</v>
      </c>
      <c r="B4654" s="11" t="s">
        <v>61</v>
      </c>
      <c r="C4654">
        <v>4025</v>
      </c>
      <c r="D4654" s="9">
        <v>45.41</v>
      </c>
      <c r="E4654" t="s">
        <v>56</v>
      </c>
    </row>
    <row r="4655" spans="1:5">
      <c r="A4655" t="s">
        <v>32</v>
      </c>
      <c r="B4655" s="11" t="s">
        <v>62</v>
      </c>
      <c r="C4655">
        <v>4025</v>
      </c>
      <c r="D4655" s="9">
        <v>26.03</v>
      </c>
      <c r="E4655" t="s">
        <v>56</v>
      </c>
    </row>
    <row r="4656" spans="1:5">
      <c r="A4656" t="s">
        <v>32</v>
      </c>
      <c r="B4656" s="11" t="s">
        <v>63</v>
      </c>
      <c r="C4656">
        <v>4025</v>
      </c>
      <c r="D4656" s="9">
        <v>44.19</v>
      </c>
      <c r="E4656" t="s">
        <v>56</v>
      </c>
    </row>
    <row r="4657" spans="1:5">
      <c r="A4657" t="s">
        <v>32</v>
      </c>
      <c r="B4657" s="11" t="s">
        <v>75</v>
      </c>
      <c r="C4657">
        <v>4025</v>
      </c>
      <c r="D4657" s="9">
        <v>55.19</v>
      </c>
      <c r="E4657" t="s">
        <v>56</v>
      </c>
    </row>
    <row r="4658" spans="1:5">
      <c r="A4658" t="s">
        <v>32</v>
      </c>
      <c r="B4658" s="11" t="s">
        <v>64</v>
      </c>
      <c r="C4658">
        <v>4025</v>
      </c>
      <c r="D4658" s="9">
        <v>48.6</v>
      </c>
      <c r="E4658" t="s">
        <v>57</v>
      </c>
    </row>
    <row r="4659" spans="1:5">
      <c r="A4659" t="s">
        <v>32</v>
      </c>
      <c r="B4659" s="11" t="s">
        <v>65</v>
      </c>
      <c r="C4659">
        <v>4025</v>
      </c>
      <c r="D4659" s="9">
        <v>29.1</v>
      </c>
      <c r="E4659" t="s">
        <v>57</v>
      </c>
    </row>
    <row r="4660" spans="1:5">
      <c r="A4660" t="s">
        <v>32</v>
      </c>
      <c r="B4660" s="11" t="s">
        <v>66</v>
      </c>
      <c r="C4660">
        <v>4025</v>
      </c>
      <c r="D4660" s="9">
        <v>65.59</v>
      </c>
      <c r="E4660" t="s">
        <v>57</v>
      </c>
    </row>
    <row r="4661" spans="1:5">
      <c r="A4661" t="s">
        <v>32</v>
      </c>
      <c r="B4661" s="11" t="s">
        <v>67</v>
      </c>
      <c r="C4661">
        <v>4025</v>
      </c>
      <c r="D4661" s="9">
        <v>24.17</v>
      </c>
      <c r="E4661" t="s">
        <v>57</v>
      </c>
    </row>
    <row r="4662" spans="1:5">
      <c r="A4662" t="s">
        <v>32</v>
      </c>
      <c r="B4662" s="11" t="s">
        <v>76</v>
      </c>
      <c r="C4662">
        <v>4025</v>
      </c>
      <c r="D4662" s="9">
        <v>28.17</v>
      </c>
      <c r="E4662" t="s">
        <v>57</v>
      </c>
    </row>
    <row r="4663" spans="1:5">
      <c r="A4663" t="s">
        <v>32</v>
      </c>
      <c r="B4663" s="11" t="s">
        <v>68</v>
      </c>
      <c r="C4663">
        <v>4025</v>
      </c>
      <c r="D4663" s="9">
        <v>46.61</v>
      </c>
      <c r="E4663" t="s">
        <v>58</v>
      </c>
    </row>
    <row r="4664" spans="1:5">
      <c r="A4664" t="s">
        <v>32</v>
      </c>
      <c r="B4664" s="11" t="s">
        <v>69</v>
      </c>
      <c r="C4664">
        <v>4025</v>
      </c>
      <c r="D4664" s="9">
        <v>45.36</v>
      </c>
      <c r="E4664" t="s">
        <v>58</v>
      </c>
    </row>
    <row r="4665" spans="1:5">
      <c r="A4665" t="s">
        <v>32</v>
      </c>
      <c r="B4665" s="11" t="s">
        <v>77</v>
      </c>
      <c r="C4665">
        <v>4025</v>
      </c>
      <c r="D4665" s="9">
        <v>38.11</v>
      </c>
      <c r="E4665" t="s">
        <v>58</v>
      </c>
    </row>
    <row r="4666" spans="1:5">
      <c r="A4666" t="s">
        <v>32</v>
      </c>
      <c r="B4666" s="11" t="s">
        <v>70</v>
      </c>
      <c r="C4666">
        <v>4025</v>
      </c>
      <c r="D4666" s="9">
        <v>45.2</v>
      </c>
      <c r="E4666" t="s">
        <v>59</v>
      </c>
    </row>
    <row r="4667" spans="1:5">
      <c r="A4667" t="s">
        <v>32</v>
      </c>
      <c r="B4667" s="11" t="s">
        <v>71</v>
      </c>
      <c r="C4667">
        <v>4025</v>
      </c>
      <c r="D4667" s="9">
        <v>46.49</v>
      </c>
      <c r="E4667" t="s">
        <v>59</v>
      </c>
    </row>
    <row r="4668" spans="1:5">
      <c r="A4668" t="s">
        <v>32</v>
      </c>
      <c r="B4668" s="11" t="s">
        <v>72</v>
      </c>
      <c r="C4668">
        <v>4025</v>
      </c>
      <c r="D4668" s="9">
        <v>81.540000000000006</v>
      </c>
      <c r="E4668" t="s">
        <v>59</v>
      </c>
    </row>
    <row r="4669" spans="1:5">
      <c r="A4669" t="s">
        <v>32</v>
      </c>
      <c r="B4669" s="11" t="s">
        <v>78</v>
      </c>
      <c r="C4669">
        <v>4025</v>
      </c>
      <c r="D4669" s="9">
        <v>40.93</v>
      </c>
      <c r="E4669" t="s">
        <v>59</v>
      </c>
    </row>
    <row r="4670" spans="1:5">
      <c r="A4670" t="s">
        <v>32</v>
      </c>
      <c r="B4670" s="11" t="s">
        <v>73</v>
      </c>
      <c r="C4670">
        <v>4025</v>
      </c>
      <c r="D4670" s="9">
        <v>57.82</v>
      </c>
      <c r="E4670" t="s">
        <v>60</v>
      </c>
    </row>
    <row r="4671" spans="1:5">
      <c r="A4671" t="s">
        <v>32</v>
      </c>
      <c r="B4671" s="11" t="s">
        <v>74</v>
      </c>
      <c r="C4671">
        <v>4025</v>
      </c>
      <c r="D4671" s="9">
        <v>40.950000000000003</v>
      </c>
      <c r="E4671" t="s">
        <v>60</v>
      </c>
    </row>
    <row r="4672" spans="1:5">
      <c r="A4672" t="s">
        <v>33</v>
      </c>
      <c r="B4672" s="11" t="s">
        <v>61</v>
      </c>
      <c r="C4672">
        <v>4025</v>
      </c>
      <c r="D4672" s="9">
        <v>65.45</v>
      </c>
      <c r="E4672" t="s">
        <v>56</v>
      </c>
    </row>
    <row r="4673" spans="1:5">
      <c r="A4673" t="s">
        <v>33</v>
      </c>
      <c r="B4673" s="11" t="s">
        <v>62</v>
      </c>
      <c r="C4673">
        <v>4025</v>
      </c>
      <c r="D4673" s="9">
        <v>45.82</v>
      </c>
      <c r="E4673" t="s">
        <v>56</v>
      </c>
    </row>
    <row r="4674" spans="1:5">
      <c r="A4674" t="s">
        <v>33</v>
      </c>
      <c r="B4674" s="11" t="s">
        <v>63</v>
      </c>
      <c r="C4674">
        <v>4025</v>
      </c>
      <c r="D4674" s="9">
        <v>58.86</v>
      </c>
      <c r="E4674" t="s">
        <v>56</v>
      </c>
    </row>
    <row r="4675" spans="1:5">
      <c r="A4675" t="s">
        <v>33</v>
      </c>
      <c r="B4675" s="11" t="s">
        <v>75</v>
      </c>
      <c r="C4675">
        <v>4025</v>
      </c>
      <c r="D4675" s="9">
        <v>59.15</v>
      </c>
      <c r="E4675" t="s">
        <v>56</v>
      </c>
    </row>
    <row r="4676" spans="1:5">
      <c r="A4676" t="s">
        <v>33</v>
      </c>
      <c r="B4676" s="11" t="s">
        <v>64</v>
      </c>
      <c r="C4676">
        <v>4025</v>
      </c>
      <c r="D4676" s="9">
        <v>35.79</v>
      </c>
      <c r="E4676" t="s">
        <v>57</v>
      </c>
    </row>
    <row r="4677" spans="1:5">
      <c r="A4677" t="s">
        <v>33</v>
      </c>
      <c r="B4677" s="11" t="s">
        <v>65</v>
      </c>
      <c r="C4677">
        <v>4025</v>
      </c>
      <c r="D4677" s="9">
        <v>56.11</v>
      </c>
      <c r="E4677" t="s">
        <v>57</v>
      </c>
    </row>
    <row r="4678" spans="1:5">
      <c r="A4678" t="s">
        <v>33</v>
      </c>
      <c r="B4678" s="11" t="s">
        <v>66</v>
      </c>
      <c r="C4678">
        <v>4025</v>
      </c>
      <c r="D4678" s="9">
        <v>104.43</v>
      </c>
      <c r="E4678" t="s">
        <v>57</v>
      </c>
    </row>
    <row r="4679" spans="1:5">
      <c r="A4679" t="s">
        <v>33</v>
      </c>
      <c r="B4679" s="11" t="s">
        <v>67</v>
      </c>
      <c r="C4679">
        <v>4025</v>
      </c>
      <c r="D4679" s="9">
        <v>51.8</v>
      </c>
      <c r="E4679" t="s">
        <v>57</v>
      </c>
    </row>
    <row r="4680" spans="1:5">
      <c r="A4680" t="s">
        <v>33</v>
      </c>
      <c r="B4680" s="11" t="s">
        <v>76</v>
      </c>
      <c r="C4680">
        <v>4025</v>
      </c>
      <c r="D4680" s="9">
        <v>29.64</v>
      </c>
      <c r="E4680" t="s">
        <v>57</v>
      </c>
    </row>
    <row r="4681" spans="1:5">
      <c r="A4681" t="s">
        <v>33</v>
      </c>
      <c r="B4681" s="11" t="s">
        <v>68</v>
      </c>
      <c r="C4681">
        <v>4025</v>
      </c>
      <c r="D4681" s="9">
        <v>53.57</v>
      </c>
      <c r="E4681" t="s">
        <v>58</v>
      </c>
    </row>
    <row r="4682" spans="1:5">
      <c r="A4682" t="s">
        <v>33</v>
      </c>
      <c r="B4682" s="11" t="s">
        <v>69</v>
      </c>
      <c r="C4682">
        <v>4025</v>
      </c>
      <c r="D4682" s="9">
        <v>46.49</v>
      </c>
      <c r="E4682" t="s">
        <v>58</v>
      </c>
    </row>
    <row r="4683" spans="1:5">
      <c r="A4683" t="s">
        <v>33</v>
      </c>
      <c r="B4683" s="11" t="s">
        <v>77</v>
      </c>
      <c r="C4683">
        <v>4025</v>
      </c>
      <c r="D4683" s="9">
        <v>70.31</v>
      </c>
      <c r="E4683" t="s">
        <v>58</v>
      </c>
    </row>
    <row r="4684" spans="1:5">
      <c r="A4684" t="s">
        <v>33</v>
      </c>
      <c r="B4684" s="11" t="s">
        <v>70</v>
      </c>
      <c r="C4684">
        <v>4025</v>
      </c>
      <c r="D4684" s="9">
        <v>40.380000000000003</v>
      </c>
      <c r="E4684" t="s">
        <v>59</v>
      </c>
    </row>
    <row r="4685" spans="1:5">
      <c r="A4685" t="s">
        <v>33</v>
      </c>
      <c r="B4685" s="11" t="s">
        <v>71</v>
      </c>
      <c r="C4685">
        <v>4025</v>
      </c>
      <c r="D4685" s="9">
        <v>58.07</v>
      </c>
      <c r="E4685" t="s">
        <v>59</v>
      </c>
    </row>
    <row r="4686" spans="1:5">
      <c r="A4686" t="s">
        <v>33</v>
      </c>
      <c r="B4686" s="11" t="s">
        <v>72</v>
      </c>
      <c r="C4686">
        <v>4025</v>
      </c>
      <c r="D4686" s="9">
        <v>52.63</v>
      </c>
      <c r="E4686" t="s">
        <v>59</v>
      </c>
    </row>
    <row r="4687" spans="1:5">
      <c r="A4687" t="s">
        <v>33</v>
      </c>
      <c r="B4687" s="11" t="s">
        <v>78</v>
      </c>
      <c r="C4687">
        <v>4025</v>
      </c>
      <c r="D4687" s="9">
        <v>42.55</v>
      </c>
      <c r="E4687" t="s">
        <v>59</v>
      </c>
    </row>
    <row r="4688" spans="1:5">
      <c r="A4688" t="s">
        <v>33</v>
      </c>
      <c r="B4688" s="11" t="s">
        <v>73</v>
      </c>
      <c r="C4688">
        <v>4025</v>
      </c>
      <c r="D4688" s="9">
        <v>75.03</v>
      </c>
      <c r="E4688" t="s">
        <v>60</v>
      </c>
    </row>
    <row r="4689" spans="1:5">
      <c r="A4689" t="s">
        <v>33</v>
      </c>
      <c r="B4689" s="11" t="s">
        <v>74</v>
      </c>
      <c r="C4689">
        <v>4025</v>
      </c>
      <c r="D4689" s="9">
        <v>43.26</v>
      </c>
      <c r="E4689" t="s">
        <v>60</v>
      </c>
    </row>
    <row r="4690" spans="1:5">
      <c r="A4690" t="s">
        <v>34</v>
      </c>
      <c r="B4690" s="11" t="s">
        <v>61</v>
      </c>
      <c r="C4690">
        <v>4025</v>
      </c>
      <c r="D4690" s="9">
        <v>39.42</v>
      </c>
      <c r="E4690" t="s">
        <v>56</v>
      </c>
    </row>
    <row r="4691" spans="1:5">
      <c r="A4691" t="s">
        <v>34</v>
      </c>
      <c r="B4691" s="11" t="s">
        <v>62</v>
      </c>
      <c r="C4691">
        <v>4025</v>
      </c>
      <c r="D4691" s="9">
        <v>50.77</v>
      </c>
      <c r="E4691" t="s">
        <v>56</v>
      </c>
    </row>
    <row r="4692" spans="1:5">
      <c r="A4692" t="s">
        <v>34</v>
      </c>
      <c r="B4692" s="11" t="s">
        <v>63</v>
      </c>
      <c r="C4692">
        <v>4025</v>
      </c>
      <c r="D4692" s="9">
        <v>68.22</v>
      </c>
      <c r="E4692" t="s">
        <v>56</v>
      </c>
    </row>
    <row r="4693" spans="1:5">
      <c r="A4693" t="s">
        <v>34</v>
      </c>
      <c r="B4693" s="11" t="s">
        <v>64</v>
      </c>
      <c r="C4693">
        <v>4025</v>
      </c>
      <c r="D4693" s="9">
        <v>47.01</v>
      </c>
      <c r="E4693" t="s">
        <v>57</v>
      </c>
    </row>
    <row r="4694" spans="1:5">
      <c r="A4694" t="s">
        <v>34</v>
      </c>
      <c r="B4694" s="11" t="s">
        <v>65</v>
      </c>
      <c r="C4694">
        <v>4025</v>
      </c>
      <c r="D4694" s="9">
        <v>44.95</v>
      </c>
      <c r="E4694" t="s">
        <v>57</v>
      </c>
    </row>
    <row r="4695" spans="1:5">
      <c r="A4695" t="s">
        <v>34</v>
      </c>
      <c r="B4695" s="11" t="s">
        <v>66</v>
      </c>
      <c r="C4695">
        <v>4025</v>
      </c>
      <c r="D4695" s="9">
        <v>121.21</v>
      </c>
      <c r="E4695" t="s">
        <v>57</v>
      </c>
    </row>
    <row r="4696" spans="1:5">
      <c r="A4696" t="s">
        <v>34</v>
      </c>
      <c r="B4696" s="11" t="s">
        <v>67</v>
      </c>
      <c r="C4696">
        <v>4025</v>
      </c>
      <c r="D4696" s="9">
        <v>21.51</v>
      </c>
      <c r="E4696" t="s">
        <v>57</v>
      </c>
    </row>
    <row r="4697" spans="1:5">
      <c r="A4697" t="s">
        <v>34</v>
      </c>
      <c r="B4697" s="11" t="s">
        <v>76</v>
      </c>
      <c r="C4697">
        <v>4025</v>
      </c>
      <c r="D4697" s="9">
        <v>28.52</v>
      </c>
      <c r="E4697" t="s">
        <v>57</v>
      </c>
    </row>
    <row r="4698" spans="1:5">
      <c r="A4698" t="s">
        <v>34</v>
      </c>
      <c r="B4698" s="11" t="s">
        <v>68</v>
      </c>
      <c r="C4698">
        <v>4025</v>
      </c>
      <c r="D4698" s="9">
        <v>47.75</v>
      </c>
      <c r="E4698" t="s">
        <v>58</v>
      </c>
    </row>
    <row r="4699" spans="1:5">
      <c r="A4699" t="s">
        <v>34</v>
      </c>
      <c r="B4699" s="11" t="s">
        <v>69</v>
      </c>
      <c r="C4699">
        <v>4025</v>
      </c>
      <c r="D4699" s="9">
        <v>43.3</v>
      </c>
      <c r="E4699" t="s">
        <v>58</v>
      </c>
    </row>
    <row r="4700" spans="1:5">
      <c r="A4700" t="s">
        <v>34</v>
      </c>
      <c r="B4700" s="11" t="s">
        <v>77</v>
      </c>
      <c r="C4700">
        <v>4025</v>
      </c>
      <c r="D4700" s="9">
        <v>43.61</v>
      </c>
      <c r="E4700" t="s">
        <v>58</v>
      </c>
    </row>
    <row r="4701" spans="1:5">
      <c r="A4701" t="s">
        <v>34</v>
      </c>
      <c r="B4701" s="11" t="s">
        <v>70</v>
      </c>
      <c r="C4701">
        <v>4025</v>
      </c>
      <c r="D4701" s="9">
        <v>60.19</v>
      </c>
      <c r="E4701" t="s">
        <v>59</v>
      </c>
    </row>
    <row r="4702" spans="1:5">
      <c r="A4702" t="s">
        <v>34</v>
      </c>
      <c r="B4702" s="11" t="s">
        <v>71</v>
      </c>
      <c r="C4702">
        <v>4025</v>
      </c>
      <c r="D4702" s="9">
        <v>58.49</v>
      </c>
      <c r="E4702" t="s">
        <v>59</v>
      </c>
    </row>
    <row r="4703" spans="1:5">
      <c r="A4703" t="s">
        <v>34</v>
      </c>
      <c r="B4703" s="11" t="s">
        <v>72</v>
      </c>
      <c r="C4703">
        <v>4025</v>
      </c>
      <c r="D4703" s="9">
        <v>91.7</v>
      </c>
      <c r="E4703" t="s">
        <v>59</v>
      </c>
    </row>
    <row r="4704" spans="1:5">
      <c r="A4704" t="s">
        <v>34</v>
      </c>
      <c r="B4704" s="11" t="s">
        <v>78</v>
      </c>
      <c r="C4704">
        <v>4025</v>
      </c>
      <c r="D4704" s="9">
        <v>53.24</v>
      </c>
      <c r="E4704" t="s">
        <v>59</v>
      </c>
    </row>
    <row r="4705" spans="1:5">
      <c r="A4705" t="s">
        <v>34</v>
      </c>
      <c r="B4705" s="11" t="s">
        <v>73</v>
      </c>
      <c r="C4705">
        <v>4025</v>
      </c>
      <c r="D4705" s="9">
        <v>49.91</v>
      </c>
      <c r="E4705" t="s">
        <v>60</v>
      </c>
    </row>
    <row r="4706" spans="1:5">
      <c r="A4706" t="s">
        <v>34</v>
      </c>
      <c r="B4706" s="11" t="s">
        <v>74</v>
      </c>
      <c r="C4706">
        <v>4025</v>
      </c>
      <c r="D4706" s="9">
        <v>58.83</v>
      </c>
      <c r="E4706" t="s">
        <v>60</v>
      </c>
    </row>
    <row r="4707" spans="1:5">
      <c r="A4707" t="s">
        <v>35</v>
      </c>
      <c r="B4707" s="11" t="s">
        <v>61</v>
      </c>
      <c r="C4707">
        <v>4025</v>
      </c>
      <c r="D4707" s="9">
        <v>53.59</v>
      </c>
      <c r="E4707" t="s">
        <v>56</v>
      </c>
    </row>
    <row r="4708" spans="1:5">
      <c r="A4708" t="s">
        <v>35</v>
      </c>
      <c r="B4708" s="11" t="s">
        <v>62</v>
      </c>
      <c r="C4708">
        <v>4025</v>
      </c>
      <c r="D4708" s="9">
        <v>34.409999999999997</v>
      </c>
      <c r="E4708" t="s">
        <v>56</v>
      </c>
    </row>
    <row r="4709" spans="1:5">
      <c r="A4709" t="s">
        <v>35</v>
      </c>
      <c r="B4709" s="11" t="s">
        <v>63</v>
      </c>
      <c r="C4709">
        <v>4025</v>
      </c>
      <c r="D4709" s="9">
        <v>58.34</v>
      </c>
      <c r="E4709" t="s">
        <v>56</v>
      </c>
    </row>
    <row r="4710" spans="1:5">
      <c r="A4710" t="s">
        <v>35</v>
      </c>
      <c r="B4710" s="11" t="s">
        <v>75</v>
      </c>
      <c r="C4710">
        <v>4025</v>
      </c>
      <c r="D4710" s="9">
        <v>58.82</v>
      </c>
      <c r="E4710" t="s">
        <v>56</v>
      </c>
    </row>
    <row r="4711" spans="1:5">
      <c r="A4711" t="s">
        <v>35</v>
      </c>
      <c r="B4711" s="11" t="s">
        <v>64</v>
      </c>
      <c r="C4711">
        <v>4025</v>
      </c>
      <c r="D4711" s="9">
        <v>56.53</v>
      </c>
      <c r="E4711" t="s">
        <v>57</v>
      </c>
    </row>
    <row r="4712" spans="1:5">
      <c r="A4712" t="s">
        <v>35</v>
      </c>
      <c r="B4712" s="11" t="s">
        <v>65</v>
      </c>
      <c r="C4712">
        <v>4025</v>
      </c>
      <c r="D4712" s="9">
        <v>51.05</v>
      </c>
      <c r="E4712" t="s">
        <v>57</v>
      </c>
    </row>
    <row r="4713" spans="1:5">
      <c r="A4713" t="s">
        <v>35</v>
      </c>
      <c r="B4713" s="11" t="s">
        <v>66</v>
      </c>
      <c r="C4713">
        <v>4025</v>
      </c>
      <c r="D4713" s="9">
        <v>105.35</v>
      </c>
      <c r="E4713" t="s">
        <v>57</v>
      </c>
    </row>
    <row r="4714" spans="1:5">
      <c r="A4714" t="s">
        <v>35</v>
      </c>
      <c r="B4714" s="11" t="s">
        <v>67</v>
      </c>
      <c r="C4714">
        <v>4025</v>
      </c>
      <c r="D4714" s="9">
        <v>42.89</v>
      </c>
      <c r="E4714" t="s">
        <v>57</v>
      </c>
    </row>
    <row r="4715" spans="1:5">
      <c r="A4715" t="s">
        <v>35</v>
      </c>
      <c r="B4715" s="11" t="s">
        <v>76</v>
      </c>
      <c r="C4715">
        <v>4025</v>
      </c>
      <c r="D4715" s="9">
        <v>29.99</v>
      </c>
      <c r="E4715" t="s">
        <v>57</v>
      </c>
    </row>
    <row r="4716" spans="1:5">
      <c r="A4716" t="s">
        <v>35</v>
      </c>
      <c r="B4716" s="11" t="s">
        <v>68</v>
      </c>
      <c r="C4716">
        <v>4025</v>
      </c>
      <c r="D4716" s="9">
        <v>48.75</v>
      </c>
      <c r="E4716" t="s">
        <v>58</v>
      </c>
    </row>
    <row r="4717" spans="1:5">
      <c r="A4717" t="s">
        <v>35</v>
      </c>
      <c r="B4717" s="11" t="s">
        <v>69</v>
      </c>
      <c r="C4717">
        <v>4025</v>
      </c>
      <c r="D4717" s="9">
        <v>36</v>
      </c>
      <c r="E4717" t="s">
        <v>58</v>
      </c>
    </row>
    <row r="4718" spans="1:5">
      <c r="A4718" t="s">
        <v>35</v>
      </c>
      <c r="B4718" s="11" t="s">
        <v>77</v>
      </c>
      <c r="C4718">
        <v>4025</v>
      </c>
      <c r="D4718" s="9">
        <v>51.03</v>
      </c>
      <c r="E4718" t="s">
        <v>58</v>
      </c>
    </row>
    <row r="4719" spans="1:5">
      <c r="A4719" t="s">
        <v>35</v>
      </c>
      <c r="B4719" s="11" t="s">
        <v>70</v>
      </c>
      <c r="C4719">
        <v>4025</v>
      </c>
      <c r="D4719" s="9">
        <v>43.54</v>
      </c>
      <c r="E4719" t="s">
        <v>59</v>
      </c>
    </row>
    <row r="4720" spans="1:5">
      <c r="A4720" t="s">
        <v>35</v>
      </c>
      <c r="B4720" s="11" t="s">
        <v>71</v>
      </c>
      <c r="C4720">
        <v>4025</v>
      </c>
      <c r="D4720" s="9">
        <v>54.57</v>
      </c>
      <c r="E4720" t="s">
        <v>59</v>
      </c>
    </row>
    <row r="4721" spans="1:5">
      <c r="A4721" t="s">
        <v>35</v>
      </c>
      <c r="B4721" s="11" t="s">
        <v>72</v>
      </c>
      <c r="C4721">
        <v>4025</v>
      </c>
      <c r="D4721" s="9">
        <v>84.89</v>
      </c>
      <c r="E4721" t="s">
        <v>59</v>
      </c>
    </row>
    <row r="4722" spans="1:5">
      <c r="A4722" t="s">
        <v>35</v>
      </c>
      <c r="B4722" s="11" t="s">
        <v>78</v>
      </c>
      <c r="C4722">
        <v>4025</v>
      </c>
      <c r="D4722" s="9">
        <v>62.21</v>
      </c>
      <c r="E4722" t="s">
        <v>59</v>
      </c>
    </row>
    <row r="4723" spans="1:5">
      <c r="A4723" t="s">
        <v>35</v>
      </c>
      <c r="B4723" s="11" t="s">
        <v>73</v>
      </c>
      <c r="C4723">
        <v>4025</v>
      </c>
      <c r="D4723" s="9">
        <v>74.73</v>
      </c>
      <c r="E4723" t="s">
        <v>60</v>
      </c>
    </row>
    <row r="4724" spans="1:5">
      <c r="A4724" t="s">
        <v>35</v>
      </c>
      <c r="B4724" s="11" t="s">
        <v>74</v>
      </c>
      <c r="C4724">
        <v>4025</v>
      </c>
      <c r="D4724" s="9">
        <v>57.13</v>
      </c>
      <c r="E4724" t="s">
        <v>60</v>
      </c>
    </row>
    <row r="4725" spans="1:5">
      <c r="A4725" t="s">
        <v>36</v>
      </c>
      <c r="B4725" s="11" t="s">
        <v>61</v>
      </c>
      <c r="C4725">
        <v>4025</v>
      </c>
      <c r="D4725" s="9">
        <v>39.81</v>
      </c>
      <c r="E4725" t="s">
        <v>56</v>
      </c>
    </row>
    <row r="4726" spans="1:5">
      <c r="A4726" t="s">
        <v>36</v>
      </c>
      <c r="B4726" s="11" t="s">
        <v>62</v>
      </c>
      <c r="C4726">
        <v>4025</v>
      </c>
      <c r="D4726" s="9">
        <v>30.21</v>
      </c>
      <c r="E4726" t="s">
        <v>56</v>
      </c>
    </row>
    <row r="4727" spans="1:5">
      <c r="A4727" t="s">
        <v>36</v>
      </c>
      <c r="B4727" s="11" t="s">
        <v>63</v>
      </c>
      <c r="C4727">
        <v>4025</v>
      </c>
      <c r="D4727" s="9">
        <v>42.3</v>
      </c>
      <c r="E4727" t="s">
        <v>56</v>
      </c>
    </row>
    <row r="4728" spans="1:5">
      <c r="A4728" t="s">
        <v>36</v>
      </c>
      <c r="B4728" s="11" t="s">
        <v>75</v>
      </c>
      <c r="C4728">
        <v>4025</v>
      </c>
      <c r="D4728" s="9">
        <v>63.49</v>
      </c>
      <c r="E4728" t="s">
        <v>56</v>
      </c>
    </row>
    <row r="4729" spans="1:5">
      <c r="A4729" t="s">
        <v>36</v>
      </c>
      <c r="B4729" s="11" t="s">
        <v>64</v>
      </c>
      <c r="C4729">
        <v>4025</v>
      </c>
      <c r="D4729" s="9">
        <v>40.29</v>
      </c>
      <c r="E4729" t="s">
        <v>57</v>
      </c>
    </row>
    <row r="4730" spans="1:5">
      <c r="A4730" t="s">
        <v>36</v>
      </c>
      <c r="B4730" s="11" t="s">
        <v>65</v>
      </c>
      <c r="C4730">
        <v>4025</v>
      </c>
      <c r="D4730" s="9">
        <v>30.03</v>
      </c>
      <c r="E4730" t="s">
        <v>57</v>
      </c>
    </row>
    <row r="4731" spans="1:5">
      <c r="A4731" t="s">
        <v>36</v>
      </c>
      <c r="B4731" s="11" t="s">
        <v>66</v>
      </c>
      <c r="C4731">
        <v>4025</v>
      </c>
      <c r="D4731" s="9">
        <v>91.84</v>
      </c>
      <c r="E4731" t="s">
        <v>57</v>
      </c>
    </row>
    <row r="4732" spans="1:5">
      <c r="A4732" t="s">
        <v>36</v>
      </c>
      <c r="B4732" s="11" t="s">
        <v>67</v>
      </c>
      <c r="C4732">
        <v>4025</v>
      </c>
      <c r="D4732" s="9">
        <v>31.3</v>
      </c>
      <c r="E4732" t="s">
        <v>57</v>
      </c>
    </row>
    <row r="4733" spans="1:5">
      <c r="A4733" t="s">
        <v>36</v>
      </c>
      <c r="B4733" s="11" t="s">
        <v>76</v>
      </c>
      <c r="C4733">
        <v>4025</v>
      </c>
      <c r="D4733" s="9">
        <v>28.26</v>
      </c>
      <c r="E4733" t="s">
        <v>57</v>
      </c>
    </row>
    <row r="4734" spans="1:5">
      <c r="A4734" t="s">
        <v>36</v>
      </c>
      <c r="B4734" s="11" t="s">
        <v>68</v>
      </c>
      <c r="C4734">
        <v>4025</v>
      </c>
      <c r="D4734" s="9">
        <v>40.799999999999997</v>
      </c>
      <c r="E4734" t="s">
        <v>58</v>
      </c>
    </row>
    <row r="4735" spans="1:5">
      <c r="A4735" t="s">
        <v>36</v>
      </c>
      <c r="B4735" s="11" t="s">
        <v>69</v>
      </c>
      <c r="C4735">
        <v>4025</v>
      </c>
      <c r="D4735" s="9">
        <v>35.04</v>
      </c>
      <c r="E4735" t="s">
        <v>58</v>
      </c>
    </row>
    <row r="4736" spans="1:5">
      <c r="A4736" t="s">
        <v>36</v>
      </c>
      <c r="B4736" s="11" t="s">
        <v>77</v>
      </c>
      <c r="C4736">
        <v>4025</v>
      </c>
      <c r="D4736" s="9">
        <v>62.21</v>
      </c>
      <c r="E4736" t="s">
        <v>58</v>
      </c>
    </row>
    <row r="4737" spans="1:5">
      <c r="A4737" t="s">
        <v>36</v>
      </c>
      <c r="B4737" s="11" t="s">
        <v>70</v>
      </c>
      <c r="C4737">
        <v>4025</v>
      </c>
      <c r="D4737" s="9">
        <v>31.36</v>
      </c>
      <c r="E4737" t="s">
        <v>59</v>
      </c>
    </row>
    <row r="4738" spans="1:5">
      <c r="A4738" t="s">
        <v>36</v>
      </c>
      <c r="B4738" s="11" t="s">
        <v>71</v>
      </c>
      <c r="C4738">
        <v>4025</v>
      </c>
      <c r="D4738" s="9">
        <v>51.11</v>
      </c>
      <c r="E4738" t="s">
        <v>59</v>
      </c>
    </row>
    <row r="4739" spans="1:5">
      <c r="A4739" t="s">
        <v>36</v>
      </c>
      <c r="B4739" s="11" t="s">
        <v>72</v>
      </c>
      <c r="C4739">
        <v>4025</v>
      </c>
      <c r="D4739" s="9">
        <v>57.15</v>
      </c>
      <c r="E4739" t="s">
        <v>59</v>
      </c>
    </row>
    <row r="4740" spans="1:5">
      <c r="A4740" t="s">
        <v>36</v>
      </c>
      <c r="B4740" s="11" t="s">
        <v>78</v>
      </c>
      <c r="C4740">
        <v>4025</v>
      </c>
      <c r="D4740" s="9">
        <v>42.7</v>
      </c>
      <c r="E4740" t="s">
        <v>59</v>
      </c>
    </row>
    <row r="4741" spans="1:5">
      <c r="A4741" t="s">
        <v>36</v>
      </c>
      <c r="B4741" s="11" t="s">
        <v>73</v>
      </c>
      <c r="C4741">
        <v>4025</v>
      </c>
      <c r="D4741" s="9">
        <v>48.13</v>
      </c>
      <c r="E4741" t="s">
        <v>60</v>
      </c>
    </row>
    <row r="4742" spans="1:5">
      <c r="A4742" t="s">
        <v>36</v>
      </c>
      <c r="B4742" s="11" t="s">
        <v>74</v>
      </c>
      <c r="C4742">
        <v>4025</v>
      </c>
      <c r="D4742" s="9">
        <v>51.94</v>
      </c>
      <c r="E4742" t="s">
        <v>60</v>
      </c>
    </row>
    <row r="4743" spans="1:5">
      <c r="A4743" t="s">
        <v>37</v>
      </c>
      <c r="B4743" s="11" t="s">
        <v>61</v>
      </c>
      <c r="C4743">
        <v>4025</v>
      </c>
      <c r="D4743" s="9">
        <v>52.74</v>
      </c>
      <c r="E4743" t="s">
        <v>56</v>
      </c>
    </row>
    <row r="4744" spans="1:5">
      <c r="A4744" t="s">
        <v>37</v>
      </c>
      <c r="B4744" s="11" t="s">
        <v>62</v>
      </c>
      <c r="C4744">
        <v>4025</v>
      </c>
      <c r="D4744" s="9">
        <v>33.58</v>
      </c>
      <c r="E4744" t="s">
        <v>56</v>
      </c>
    </row>
    <row r="4745" spans="1:5">
      <c r="A4745" t="s">
        <v>37</v>
      </c>
      <c r="B4745" s="11" t="s">
        <v>63</v>
      </c>
      <c r="C4745">
        <v>4025</v>
      </c>
      <c r="D4745" s="9">
        <v>48.05</v>
      </c>
      <c r="E4745" t="s">
        <v>56</v>
      </c>
    </row>
    <row r="4746" spans="1:5">
      <c r="A4746" t="s">
        <v>37</v>
      </c>
      <c r="B4746" s="11" t="s">
        <v>75</v>
      </c>
      <c r="C4746">
        <v>4025</v>
      </c>
      <c r="D4746" s="9">
        <v>54.17</v>
      </c>
      <c r="E4746" t="s">
        <v>56</v>
      </c>
    </row>
    <row r="4747" spans="1:5">
      <c r="A4747" t="s">
        <v>37</v>
      </c>
      <c r="B4747" s="11" t="s">
        <v>64</v>
      </c>
      <c r="C4747">
        <v>4025</v>
      </c>
      <c r="D4747" s="9">
        <v>46.39</v>
      </c>
      <c r="E4747" t="s">
        <v>57</v>
      </c>
    </row>
    <row r="4748" spans="1:5">
      <c r="A4748" t="s">
        <v>37</v>
      </c>
      <c r="B4748" s="11" t="s">
        <v>65</v>
      </c>
      <c r="C4748">
        <v>4025</v>
      </c>
      <c r="D4748" s="9">
        <v>23.29</v>
      </c>
      <c r="E4748" t="s">
        <v>57</v>
      </c>
    </row>
    <row r="4749" spans="1:5">
      <c r="A4749" t="s">
        <v>37</v>
      </c>
      <c r="B4749" s="11" t="s">
        <v>66</v>
      </c>
      <c r="C4749">
        <v>4025</v>
      </c>
      <c r="D4749" s="9">
        <v>69.53</v>
      </c>
      <c r="E4749" t="s">
        <v>57</v>
      </c>
    </row>
    <row r="4750" spans="1:5">
      <c r="A4750" t="s">
        <v>37</v>
      </c>
      <c r="B4750" s="11" t="s">
        <v>67</v>
      </c>
      <c r="C4750">
        <v>4025</v>
      </c>
      <c r="D4750" s="9">
        <v>35.69</v>
      </c>
      <c r="E4750" t="s">
        <v>57</v>
      </c>
    </row>
    <row r="4751" spans="1:5">
      <c r="A4751" t="s">
        <v>37</v>
      </c>
      <c r="B4751" s="11" t="s">
        <v>76</v>
      </c>
      <c r="C4751">
        <v>4025</v>
      </c>
      <c r="D4751" s="9">
        <v>24.97</v>
      </c>
      <c r="E4751" t="s">
        <v>57</v>
      </c>
    </row>
    <row r="4752" spans="1:5">
      <c r="A4752" t="s">
        <v>37</v>
      </c>
      <c r="B4752" s="11" t="s">
        <v>68</v>
      </c>
      <c r="C4752">
        <v>4025</v>
      </c>
      <c r="D4752" s="9">
        <v>33.76</v>
      </c>
      <c r="E4752" t="s">
        <v>58</v>
      </c>
    </row>
    <row r="4753" spans="1:5">
      <c r="A4753" t="s">
        <v>37</v>
      </c>
      <c r="B4753" s="11" t="s">
        <v>69</v>
      </c>
      <c r="C4753">
        <v>4025</v>
      </c>
      <c r="D4753" s="9">
        <v>36.6</v>
      </c>
      <c r="E4753" t="s">
        <v>58</v>
      </c>
    </row>
    <row r="4754" spans="1:5">
      <c r="A4754" t="s">
        <v>37</v>
      </c>
      <c r="B4754" s="11" t="s">
        <v>77</v>
      </c>
      <c r="C4754">
        <v>4025</v>
      </c>
      <c r="D4754" s="9">
        <v>29.83</v>
      </c>
      <c r="E4754" t="s">
        <v>58</v>
      </c>
    </row>
    <row r="4755" spans="1:5">
      <c r="A4755" t="s">
        <v>37</v>
      </c>
      <c r="B4755" s="11" t="s">
        <v>70</v>
      </c>
      <c r="C4755">
        <v>4025</v>
      </c>
      <c r="D4755" s="9">
        <v>48.49</v>
      </c>
      <c r="E4755" t="s">
        <v>59</v>
      </c>
    </row>
    <row r="4756" spans="1:5">
      <c r="A4756" t="s">
        <v>37</v>
      </c>
      <c r="B4756" s="11" t="s">
        <v>71</v>
      </c>
      <c r="C4756">
        <v>4025</v>
      </c>
      <c r="D4756" s="9">
        <v>91.76</v>
      </c>
      <c r="E4756" t="s">
        <v>59</v>
      </c>
    </row>
    <row r="4757" spans="1:5">
      <c r="A4757" t="s">
        <v>37</v>
      </c>
      <c r="B4757" s="11" t="s">
        <v>72</v>
      </c>
      <c r="C4757">
        <v>4025</v>
      </c>
      <c r="D4757" s="9">
        <v>55.47</v>
      </c>
      <c r="E4757" t="s">
        <v>59</v>
      </c>
    </row>
    <row r="4758" spans="1:5">
      <c r="A4758" t="s">
        <v>37</v>
      </c>
      <c r="B4758" s="11" t="s">
        <v>78</v>
      </c>
      <c r="C4758">
        <v>4025</v>
      </c>
      <c r="D4758" s="9">
        <v>41.95</v>
      </c>
      <c r="E4758" t="s">
        <v>59</v>
      </c>
    </row>
    <row r="4759" spans="1:5">
      <c r="A4759" t="s">
        <v>37</v>
      </c>
      <c r="B4759" s="11" t="s">
        <v>73</v>
      </c>
      <c r="C4759">
        <v>4025</v>
      </c>
      <c r="D4759" s="9">
        <v>67.23</v>
      </c>
      <c r="E4759" t="s">
        <v>60</v>
      </c>
    </row>
    <row r="4760" spans="1:5">
      <c r="A4760" t="s">
        <v>37</v>
      </c>
      <c r="B4760" s="11" t="s">
        <v>74</v>
      </c>
      <c r="C4760">
        <v>4025</v>
      </c>
      <c r="D4760" s="9">
        <v>40.71</v>
      </c>
      <c r="E4760" t="s">
        <v>60</v>
      </c>
    </row>
    <row r="4761" spans="1:5">
      <c r="A4761" t="s">
        <v>38</v>
      </c>
      <c r="B4761" s="11" t="s">
        <v>61</v>
      </c>
      <c r="C4761">
        <v>4025</v>
      </c>
      <c r="D4761" s="9">
        <v>46.11</v>
      </c>
      <c r="E4761" t="s">
        <v>56</v>
      </c>
    </row>
    <row r="4762" spans="1:5">
      <c r="A4762" t="s">
        <v>38</v>
      </c>
      <c r="B4762" s="11" t="s">
        <v>62</v>
      </c>
      <c r="C4762">
        <v>4025</v>
      </c>
      <c r="D4762" s="9">
        <v>28.51</v>
      </c>
      <c r="E4762" t="s">
        <v>56</v>
      </c>
    </row>
    <row r="4763" spans="1:5">
      <c r="A4763" t="s">
        <v>38</v>
      </c>
      <c r="B4763" s="11" t="s">
        <v>63</v>
      </c>
      <c r="C4763">
        <v>4025</v>
      </c>
      <c r="D4763" s="9">
        <v>41.85</v>
      </c>
      <c r="E4763" t="s">
        <v>56</v>
      </c>
    </row>
    <row r="4764" spans="1:5">
      <c r="A4764" t="s">
        <v>38</v>
      </c>
      <c r="B4764" s="11" t="s">
        <v>75</v>
      </c>
      <c r="C4764">
        <v>4025</v>
      </c>
      <c r="D4764" s="9">
        <v>60.94</v>
      </c>
      <c r="E4764" t="s">
        <v>56</v>
      </c>
    </row>
    <row r="4765" spans="1:5">
      <c r="A4765" t="s">
        <v>38</v>
      </c>
      <c r="B4765" s="11" t="s">
        <v>64</v>
      </c>
      <c r="C4765">
        <v>4025</v>
      </c>
      <c r="D4765" s="9">
        <v>62.86</v>
      </c>
      <c r="E4765" t="s">
        <v>57</v>
      </c>
    </row>
    <row r="4766" spans="1:5">
      <c r="A4766" t="s">
        <v>38</v>
      </c>
      <c r="B4766" s="11" t="s">
        <v>65</v>
      </c>
      <c r="C4766">
        <v>4025</v>
      </c>
      <c r="D4766" s="9">
        <v>46.01</v>
      </c>
      <c r="E4766" t="s">
        <v>57</v>
      </c>
    </row>
    <row r="4767" spans="1:5">
      <c r="A4767" t="s">
        <v>38</v>
      </c>
      <c r="B4767" s="11" t="s">
        <v>66</v>
      </c>
      <c r="C4767">
        <v>4025</v>
      </c>
      <c r="D4767" s="9">
        <v>65.180000000000007</v>
      </c>
      <c r="E4767" t="s">
        <v>57</v>
      </c>
    </row>
    <row r="4768" spans="1:5">
      <c r="A4768" t="s">
        <v>38</v>
      </c>
      <c r="B4768" s="11" t="s">
        <v>67</v>
      </c>
      <c r="C4768">
        <v>4025</v>
      </c>
      <c r="D4768" s="9">
        <v>40.840000000000003</v>
      </c>
      <c r="E4768" t="s">
        <v>57</v>
      </c>
    </row>
    <row r="4769" spans="1:5">
      <c r="A4769" t="s">
        <v>38</v>
      </c>
      <c r="B4769" s="11" t="s">
        <v>76</v>
      </c>
      <c r="C4769">
        <v>4025</v>
      </c>
      <c r="D4769" s="9">
        <v>28.63</v>
      </c>
      <c r="E4769" t="s">
        <v>57</v>
      </c>
    </row>
    <row r="4770" spans="1:5">
      <c r="A4770" t="s">
        <v>38</v>
      </c>
      <c r="B4770" s="11" t="s">
        <v>68</v>
      </c>
      <c r="C4770">
        <v>4025</v>
      </c>
      <c r="D4770" s="9">
        <v>23.93</v>
      </c>
      <c r="E4770" t="s">
        <v>58</v>
      </c>
    </row>
    <row r="4771" spans="1:5">
      <c r="A4771" t="s">
        <v>38</v>
      </c>
      <c r="B4771" s="11" t="s">
        <v>69</v>
      </c>
      <c r="C4771">
        <v>4025</v>
      </c>
      <c r="D4771" s="9">
        <v>34.75</v>
      </c>
      <c r="E4771" t="s">
        <v>58</v>
      </c>
    </row>
    <row r="4772" spans="1:5">
      <c r="A4772" t="s">
        <v>38</v>
      </c>
      <c r="B4772" s="11" t="s">
        <v>77</v>
      </c>
      <c r="C4772">
        <v>4025</v>
      </c>
      <c r="D4772" s="9">
        <v>45.67</v>
      </c>
      <c r="E4772" t="s">
        <v>58</v>
      </c>
    </row>
    <row r="4773" spans="1:5">
      <c r="A4773" t="s">
        <v>38</v>
      </c>
      <c r="B4773" s="11" t="s">
        <v>70</v>
      </c>
      <c r="C4773">
        <v>4025</v>
      </c>
      <c r="D4773" s="9">
        <v>45.67</v>
      </c>
      <c r="E4773" t="s">
        <v>59</v>
      </c>
    </row>
    <row r="4774" spans="1:5">
      <c r="A4774" t="s">
        <v>38</v>
      </c>
      <c r="B4774" s="11" t="s">
        <v>71</v>
      </c>
      <c r="C4774">
        <v>4025</v>
      </c>
      <c r="D4774" s="9">
        <v>52.61</v>
      </c>
      <c r="E4774" t="s">
        <v>59</v>
      </c>
    </row>
    <row r="4775" spans="1:5">
      <c r="A4775" t="s">
        <v>38</v>
      </c>
      <c r="B4775" s="11" t="s">
        <v>72</v>
      </c>
      <c r="C4775">
        <v>4025</v>
      </c>
      <c r="D4775" s="9">
        <v>59.24</v>
      </c>
      <c r="E4775" t="s">
        <v>59</v>
      </c>
    </row>
    <row r="4776" spans="1:5">
      <c r="A4776" t="s">
        <v>38</v>
      </c>
      <c r="B4776" s="11" t="s">
        <v>78</v>
      </c>
      <c r="C4776">
        <v>4025</v>
      </c>
      <c r="D4776" s="9">
        <v>34.44</v>
      </c>
      <c r="E4776" t="s">
        <v>59</v>
      </c>
    </row>
    <row r="4777" spans="1:5">
      <c r="A4777" t="s">
        <v>38</v>
      </c>
      <c r="B4777" s="11" t="s">
        <v>73</v>
      </c>
      <c r="C4777">
        <v>4025</v>
      </c>
      <c r="D4777" s="9">
        <v>79.3</v>
      </c>
      <c r="E4777" t="s">
        <v>60</v>
      </c>
    </row>
    <row r="4778" spans="1:5">
      <c r="A4778" t="s">
        <v>38</v>
      </c>
      <c r="B4778" s="11" t="s">
        <v>74</v>
      </c>
      <c r="C4778">
        <v>4025</v>
      </c>
      <c r="D4778" s="9">
        <v>44.26</v>
      </c>
      <c r="E4778" t="s">
        <v>60</v>
      </c>
    </row>
    <row r="4779" spans="1:5">
      <c r="A4779" t="s">
        <v>39</v>
      </c>
      <c r="B4779" s="11" t="s">
        <v>61</v>
      </c>
      <c r="C4779">
        <v>4025</v>
      </c>
      <c r="D4779" s="9">
        <v>33.86</v>
      </c>
      <c r="E4779" t="s">
        <v>56</v>
      </c>
    </row>
    <row r="4780" spans="1:5">
      <c r="A4780" t="s">
        <v>39</v>
      </c>
      <c r="B4780" s="11" t="s">
        <v>62</v>
      </c>
      <c r="C4780">
        <v>4025</v>
      </c>
      <c r="D4780" s="9">
        <v>21.38</v>
      </c>
      <c r="E4780" t="s">
        <v>56</v>
      </c>
    </row>
    <row r="4781" spans="1:5">
      <c r="A4781" t="s">
        <v>39</v>
      </c>
      <c r="B4781" s="11" t="s">
        <v>63</v>
      </c>
      <c r="C4781">
        <v>4025</v>
      </c>
      <c r="D4781" s="9">
        <v>42.48</v>
      </c>
      <c r="E4781" t="s">
        <v>56</v>
      </c>
    </row>
    <row r="4782" spans="1:5">
      <c r="A4782" t="s">
        <v>39</v>
      </c>
      <c r="B4782" s="11" t="s">
        <v>75</v>
      </c>
      <c r="C4782">
        <v>4025</v>
      </c>
      <c r="D4782" s="9">
        <v>42.13</v>
      </c>
      <c r="E4782" t="s">
        <v>56</v>
      </c>
    </row>
    <row r="4783" spans="1:5">
      <c r="A4783" t="s">
        <v>39</v>
      </c>
      <c r="B4783" s="11" t="s">
        <v>64</v>
      </c>
      <c r="C4783">
        <v>4025</v>
      </c>
      <c r="D4783" s="9">
        <v>46.27</v>
      </c>
      <c r="E4783" t="s">
        <v>57</v>
      </c>
    </row>
    <row r="4784" spans="1:5">
      <c r="A4784" t="s">
        <v>39</v>
      </c>
      <c r="B4784" s="11" t="s">
        <v>65</v>
      </c>
      <c r="C4784">
        <v>4025</v>
      </c>
      <c r="D4784" s="9">
        <v>38.51</v>
      </c>
      <c r="E4784" t="s">
        <v>57</v>
      </c>
    </row>
    <row r="4785" spans="1:5">
      <c r="A4785" t="s">
        <v>39</v>
      </c>
      <c r="B4785" s="11" t="s">
        <v>66</v>
      </c>
      <c r="C4785">
        <v>4025</v>
      </c>
      <c r="D4785" s="9">
        <v>76.62</v>
      </c>
      <c r="E4785" t="s">
        <v>57</v>
      </c>
    </row>
    <row r="4786" spans="1:5">
      <c r="A4786" t="s">
        <v>39</v>
      </c>
      <c r="B4786" s="11" t="s">
        <v>67</v>
      </c>
      <c r="C4786">
        <v>4025</v>
      </c>
      <c r="D4786" s="9">
        <v>22.93</v>
      </c>
      <c r="E4786" t="s">
        <v>57</v>
      </c>
    </row>
    <row r="4787" spans="1:5">
      <c r="A4787" t="s">
        <v>39</v>
      </c>
      <c r="B4787" s="11" t="s">
        <v>76</v>
      </c>
      <c r="C4787">
        <v>4025</v>
      </c>
      <c r="D4787" s="9">
        <v>28.35</v>
      </c>
      <c r="E4787" t="s">
        <v>57</v>
      </c>
    </row>
    <row r="4788" spans="1:5">
      <c r="A4788" t="s">
        <v>39</v>
      </c>
      <c r="B4788" s="11" t="s">
        <v>68</v>
      </c>
      <c r="C4788">
        <v>4025</v>
      </c>
      <c r="D4788" s="9">
        <v>58.65</v>
      </c>
      <c r="E4788" t="s">
        <v>58</v>
      </c>
    </row>
    <row r="4789" spans="1:5">
      <c r="A4789" t="s">
        <v>39</v>
      </c>
      <c r="B4789" s="11" t="s">
        <v>69</v>
      </c>
      <c r="C4789">
        <v>4025</v>
      </c>
      <c r="D4789" s="9">
        <v>30.31</v>
      </c>
      <c r="E4789" t="s">
        <v>58</v>
      </c>
    </row>
    <row r="4790" spans="1:5">
      <c r="A4790" t="s">
        <v>39</v>
      </c>
      <c r="B4790" s="11" t="s">
        <v>77</v>
      </c>
      <c r="C4790">
        <v>4025</v>
      </c>
      <c r="D4790" s="9">
        <v>72.58</v>
      </c>
      <c r="E4790" t="s">
        <v>58</v>
      </c>
    </row>
    <row r="4791" spans="1:5">
      <c r="A4791" t="s">
        <v>39</v>
      </c>
      <c r="B4791" s="11" t="s">
        <v>70</v>
      </c>
      <c r="C4791">
        <v>4025</v>
      </c>
      <c r="D4791" s="9">
        <v>44.04</v>
      </c>
      <c r="E4791" t="s">
        <v>59</v>
      </c>
    </row>
    <row r="4792" spans="1:5">
      <c r="A4792" t="s">
        <v>39</v>
      </c>
      <c r="B4792" s="11" t="s">
        <v>71</v>
      </c>
      <c r="C4792">
        <v>4025</v>
      </c>
      <c r="D4792" s="9">
        <v>46.44</v>
      </c>
      <c r="E4792" t="s">
        <v>59</v>
      </c>
    </row>
    <row r="4793" spans="1:5">
      <c r="A4793" t="s">
        <v>39</v>
      </c>
      <c r="B4793" s="11" t="s">
        <v>72</v>
      </c>
      <c r="C4793">
        <v>4025</v>
      </c>
      <c r="D4793" s="9">
        <v>72.58</v>
      </c>
      <c r="E4793" t="s">
        <v>59</v>
      </c>
    </row>
    <row r="4794" spans="1:5">
      <c r="A4794" t="s">
        <v>39</v>
      </c>
      <c r="B4794" s="11" t="s">
        <v>78</v>
      </c>
      <c r="C4794">
        <v>4025</v>
      </c>
      <c r="D4794" s="9">
        <v>40</v>
      </c>
      <c r="E4794" t="s">
        <v>59</v>
      </c>
    </row>
    <row r="4795" spans="1:5">
      <c r="A4795" t="s">
        <v>39</v>
      </c>
      <c r="B4795" s="11" t="s">
        <v>73</v>
      </c>
      <c r="C4795">
        <v>4025</v>
      </c>
      <c r="D4795" s="9">
        <v>48.63</v>
      </c>
      <c r="E4795" t="s">
        <v>60</v>
      </c>
    </row>
    <row r="4796" spans="1:5">
      <c r="A4796" t="s">
        <v>39</v>
      </c>
      <c r="B4796" s="11" t="s">
        <v>74</v>
      </c>
      <c r="C4796">
        <v>4025</v>
      </c>
      <c r="D4796" s="9">
        <v>39.869999999999997</v>
      </c>
      <c r="E4796" t="s">
        <v>60</v>
      </c>
    </row>
    <row r="4797" spans="1:5">
      <c r="A4797" t="s">
        <v>28</v>
      </c>
      <c r="B4797" s="11" t="s">
        <v>61</v>
      </c>
      <c r="C4797">
        <v>4026</v>
      </c>
      <c r="D4797" s="9">
        <v>44.91</v>
      </c>
      <c r="E4797" t="s">
        <v>56</v>
      </c>
    </row>
    <row r="4798" spans="1:5">
      <c r="A4798" t="s">
        <v>28</v>
      </c>
      <c r="B4798" s="11" t="s">
        <v>62</v>
      </c>
      <c r="C4798">
        <v>4026</v>
      </c>
      <c r="D4798" s="9">
        <v>49.76</v>
      </c>
      <c r="E4798" t="s">
        <v>56</v>
      </c>
    </row>
    <row r="4799" spans="1:5">
      <c r="A4799" t="s">
        <v>28</v>
      </c>
      <c r="B4799" s="11" t="s">
        <v>63</v>
      </c>
      <c r="C4799">
        <v>4026</v>
      </c>
      <c r="D4799" s="9">
        <v>56.08</v>
      </c>
      <c r="E4799" t="s">
        <v>56</v>
      </c>
    </row>
    <row r="4800" spans="1:5">
      <c r="A4800" t="s">
        <v>28</v>
      </c>
      <c r="B4800" s="11" t="s">
        <v>64</v>
      </c>
      <c r="C4800">
        <v>4026</v>
      </c>
      <c r="D4800" s="9">
        <v>37.83</v>
      </c>
      <c r="E4800" t="s">
        <v>57</v>
      </c>
    </row>
    <row r="4801" spans="1:5">
      <c r="A4801" t="s">
        <v>28</v>
      </c>
      <c r="B4801" s="11" t="s">
        <v>65</v>
      </c>
      <c r="C4801">
        <v>4026</v>
      </c>
      <c r="D4801" s="9">
        <v>29.67</v>
      </c>
      <c r="E4801" t="s">
        <v>57</v>
      </c>
    </row>
    <row r="4802" spans="1:5">
      <c r="A4802" t="s">
        <v>28</v>
      </c>
      <c r="B4802" s="11" t="s">
        <v>66</v>
      </c>
      <c r="C4802">
        <v>4026</v>
      </c>
      <c r="D4802" s="9">
        <v>84.08</v>
      </c>
      <c r="E4802" t="s">
        <v>57</v>
      </c>
    </row>
    <row r="4803" spans="1:5">
      <c r="A4803" t="s">
        <v>28</v>
      </c>
      <c r="B4803" s="11" t="s">
        <v>67</v>
      </c>
      <c r="C4803">
        <v>4026</v>
      </c>
      <c r="D4803" s="9">
        <v>43.4</v>
      </c>
      <c r="E4803" t="s">
        <v>57</v>
      </c>
    </row>
    <row r="4804" spans="1:5">
      <c r="A4804" t="s">
        <v>28</v>
      </c>
      <c r="B4804" s="11" t="s">
        <v>76</v>
      </c>
      <c r="C4804">
        <v>4026</v>
      </c>
      <c r="D4804" s="9">
        <v>22.69</v>
      </c>
      <c r="E4804" t="s">
        <v>57</v>
      </c>
    </row>
    <row r="4805" spans="1:5">
      <c r="A4805" t="s">
        <v>28</v>
      </c>
      <c r="B4805" s="11" t="s">
        <v>68</v>
      </c>
      <c r="C4805">
        <v>4026</v>
      </c>
      <c r="D4805" s="9">
        <v>52.89</v>
      </c>
      <c r="E4805" t="s">
        <v>58</v>
      </c>
    </row>
    <row r="4806" spans="1:5">
      <c r="A4806" t="s">
        <v>28</v>
      </c>
      <c r="B4806" s="11" t="s">
        <v>69</v>
      </c>
      <c r="C4806">
        <v>4026</v>
      </c>
      <c r="D4806" s="9">
        <v>35.53</v>
      </c>
      <c r="E4806" t="s">
        <v>58</v>
      </c>
    </row>
    <row r="4807" spans="1:5">
      <c r="A4807" t="s">
        <v>28</v>
      </c>
      <c r="B4807" s="11" t="s">
        <v>77</v>
      </c>
      <c r="C4807">
        <v>4026</v>
      </c>
      <c r="D4807" s="9">
        <v>78.64</v>
      </c>
      <c r="E4807" t="s">
        <v>58</v>
      </c>
    </row>
    <row r="4808" spans="1:5">
      <c r="A4808" t="s">
        <v>28</v>
      </c>
      <c r="B4808" s="11" t="s">
        <v>70</v>
      </c>
      <c r="C4808">
        <v>4026</v>
      </c>
      <c r="D4808" s="9">
        <v>76.72</v>
      </c>
      <c r="E4808" t="s">
        <v>59</v>
      </c>
    </row>
    <row r="4809" spans="1:5">
      <c r="A4809" t="s">
        <v>28</v>
      </c>
      <c r="B4809" s="11" t="s">
        <v>71</v>
      </c>
      <c r="C4809">
        <v>4026</v>
      </c>
      <c r="D4809" s="9">
        <v>62.52</v>
      </c>
      <c r="E4809" t="s">
        <v>59</v>
      </c>
    </row>
    <row r="4810" spans="1:5">
      <c r="A4810" t="s">
        <v>28</v>
      </c>
      <c r="B4810" s="11" t="s">
        <v>72</v>
      </c>
      <c r="C4810">
        <v>4026</v>
      </c>
      <c r="D4810" s="9">
        <v>77.09</v>
      </c>
      <c r="E4810" t="s">
        <v>59</v>
      </c>
    </row>
    <row r="4811" spans="1:5">
      <c r="A4811" t="s">
        <v>28</v>
      </c>
      <c r="B4811" s="11" t="s">
        <v>78</v>
      </c>
      <c r="C4811">
        <v>4026</v>
      </c>
      <c r="D4811" s="9">
        <v>47.67</v>
      </c>
      <c r="E4811" t="s">
        <v>59</v>
      </c>
    </row>
    <row r="4812" spans="1:5">
      <c r="A4812" t="s">
        <v>28</v>
      </c>
      <c r="B4812" s="11" t="s">
        <v>73</v>
      </c>
      <c r="C4812">
        <v>4026</v>
      </c>
      <c r="D4812" s="9">
        <v>51.32</v>
      </c>
      <c r="E4812" t="s">
        <v>60</v>
      </c>
    </row>
    <row r="4813" spans="1:5">
      <c r="A4813" t="s">
        <v>28</v>
      </c>
      <c r="B4813" s="11" t="s">
        <v>74</v>
      </c>
      <c r="C4813">
        <v>4026</v>
      </c>
      <c r="D4813" s="9">
        <v>75.64</v>
      </c>
      <c r="E4813" t="s">
        <v>60</v>
      </c>
    </row>
    <row r="4814" spans="1:5">
      <c r="A4814" t="s">
        <v>29</v>
      </c>
      <c r="B4814" s="11" t="s">
        <v>61</v>
      </c>
      <c r="C4814">
        <v>4026</v>
      </c>
      <c r="D4814" s="9">
        <v>59.91</v>
      </c>
      <c r="E4814" t="s">
        <v>56</v>
      </c>
    </row>
    <row r="4815" spans="1:5">
      <c r="A4815" t="s">
        <v>29</v>
      </c>
      <c r="B4815" s="11" t="s">
        <v>62</v>
      </c>
      <c r="C4815">
        <v>4026</v>
      </c>
      <c r="D4815" s="9">
        <v>36.909999999999997</v>
      </c>
      <c r="E4815" t="s">
        <v>56</v>
      </c>
    </row>
    <row r="4816" spans="1:5">
      <c r="A4816" t="s">
        <v>29</v>
      </c>
      <c r="B4816" s="11" t="s">
        <v>63</v>
      </c>
      <c r="C4816">
        <v>4026</v>
      </c>
      <c r="D4816" s="9">
        <v>49.41</v>
      </c>
      <c r="E4816" t="s">
        <v>56</v>
      </c>
    </row>
    <row r="4817" spans="1:5">
      <c r="A4817" t="s">
        <v>29</v>
      </c>
      <c r="B4817" s="11" t="s">
        <v>75</v>
      </c>
      <c r="C4817">
        <v>4026</v>
      </c>
      <c r="D4817" s="9">
        <v>43.31</v>
      </c>
      <c r="E4817" t="s">
        <v>56</v>
      </c>
    </row>
    <row r="4818" spans="1:5">
      <c r="A4818" t="s">
        <v>29</v>
      </c>
      <c r="B4818" s="11" t="s">
        <v>64</v>
      </c>
      <c r="C4818">
        <v>4026</v>
      </c>
      <c r="D4818" s="9">
        <v>62.37</v>
      </c>
      <c r="E4818" t="s">
        <v>57</v>
      </c>
    </row>
    <row r="4819" spans="1:5">
      <c r="A4819" t="s">
        <v>29</v>
      </c>
      <c r="B4819" s="11" t="s">
        <v>65</v>
      </c>
      <c r="C4819">
        <v>4026</v>
      </c>
      <c r="D4819" s="9">
        <v>45.59</v>
      </c>
      <c r="E4819" t="s">
        <v>57</v>
      </c>
    </row>
    <row r="4820" spans="1:5">
      <c r="A4820" t="s">
        <v>29</v>
      </c>
      <c r="B4820" s="11" t="s">
        <v>66</v>
      </c>
      <c r="C4820">
        <v>4026</v>
      </c>
      <c r="D4820" s="9">
        <v>83.65</v>
      </c>
      <c r="E4820" t="s">
        <v>57</v>
      </c>
    </row>
    <row r="4821" spans="1:5">
      <c r="A4821" t="s">
        <v>29</v>
      </c>
      <c r="B4821" s="11" t="s">
        <v>67</v>
      </c>
      <c r="C4821">
        <v>4026</v>
      </c>
      <c r="D4821" s="9">
        <v>42.59</v>
      </c>
      <c r="E4821" t="s">
        <v>57</v>
      </c>
    </row>
    <row r="4822" spans="1:5">
      <c r="A4822" t="s">
        <v>29</v>
      </c>
      <c r="B4822" s="11" t="s">
        <v>76</v>
      </c>
      <c r="C4822">
        <v>4026</v>
      </c>
      <c r="D4822" s="9">
        <v>21.31</v>
      </c>
      <c r="E4822" t="s">
        <v>57</v>
      </c>
    </row>
    <row r="4823" spans="1:5">
      <c r="A4823" t="s">
        <v>29</v>
      </c>
      <c r="B4823" s="11" t="s">
        <v>68</v>
      </c>
      <c r="C4823">
        <v>4026</v>
      </c>
      <c r="D4823" s="9">
        <v>65.88</v>
      </c>
      <c r="E4823" t="s">
        <v>58</v>
      </c>
    </row>
    <row r="4824" spans="1:5">
      <c r="A4824" t="s">
        <v>29</v>
      </c>
      <c r="B4824" s="11" t="s">
        <v>69</v>
      </c>
      <c r="C4824">
        <v>4026</v>
      </c>
      <c r="D4824" s="9">
        <v>48.67</v>
      </c>
      <c r="E4824" t="s">
        <v>58</v>
      </c>
    </row>
    <row r="4825" spans="1:5">
      <c r="A4825" t="s">
        <v>29</v>
      </c>
      <c r="B4825" s="11" t="s">
        <v>77</v>
      </c>
      <c r="C4825">
        <v>4026</v>
      </c>
      <c r="D4825" s="9">
        <v>64.33</v>
      </c>
      <c r="E4825" t="s">
        <v>58</v>
      </c>
    </row>
    <row r="4826" spans="1:5">
      <c r="A4826" t="s">
        <v>29</v>
      </c>
      <c r="B4826" s="11" t="s">
        <v>70</v>
      </c>
      <c r="C4826">
        <v>4026</v>
      </c>
      <c r="D4826" s="9">
        <v>63.16</v>
      </c>
      <c r="E4826" t="s">
        <v>59</v>
      </c>
    </row>
    <row r="4827" spans="1:5">
      <c r="A4827" t="s">
        <v>29</v>
      </c>
      <c r="B4827" s="11" t="s">
        <v>71</v>
      </c>
      <c r="C4827">
        <v>4026</v>
      </c>
      <c r="D4827" s="9">
        <v>49.03</v>
      </c>
      <c r="E4827" t="s">
        <v>59</v>
      </c>
    </row>
    <row r="4828" spans="1:5">
      <c r="A4828" t="s">
        <v>29</v>
      </c>
      <c r="B4828" s="11" t="s">
        <v>72</v>
      </c>
      <c r="C4828">
        <v>4026</v>
      </c>
      <c r="D4828" s="9">
        <v>72.72</v>
      </c>
      <c r="E4828" t="s">
        <v>59</v>
      </c>
    </row>
    <row r="4829" spans="1:5">
      <c r="A4829" t="s">
        <v>29</v>
      </c>
      <c r="B4829" s="11" t="s">
        <v>78</v>
      </c>
      <c r="C4829">
        <v>4026</v>
      </c>
      <c r="D4829" s="9">
        <v>40.549999999999997</v>
      </c>
      <c r="E4829" t="s">
        <v>59</v>
      </c>
    </row>
    <row r="4830" spans="1:5">
      <c r="A4830" t="s">
        <v>29</v>
      </c>
      <c r="B4830" s="11" t="s">
        <v>73</v>
      </c>
      <c r="C4830">
        <v>4026</v>
      </c>
      <c r="D4830" s="9">
        <v>54.8</v>
      </c>
      <c r="E4830" t="s">
        <v>60</v>
      </c>
    </row>
    <row r="4831" spans="1:5">
      <c r="A4831" t="s">
        <v>29</v>
      </c>
      <c r="B4831" s="11" t="s">
        <v>74</v>
      </c>
      <c r="C4831">
        <v>4026</v>
      </c>
      <c r="D4831" s="9">
        <v>64.069999999999993</v>
      </c>
      <c r="E4831" t="s">
        <v>60</v>
      </c>
    </row>
    <row r="4832" spans="1:5">
      <c r="A4832" t="s">
        <v>30</v>
      </c>
      <c r="B4832" s="11" t="s">
        <v>61</v>
      </c>
      <c r="C4832">
        <v>4026</v>
      </c>
      <c r="D4832" s="9">
        <v>35.869999999999997</v>
      </c>
      <c r="E4832" t="s">
        <v>56</v>
      </c>
    </row>
    <row r="4833" spans="1:5">
      <c r="A4833" t="s">
        <v>30</v>
      </c>
      <c r="B4833" s="11" t="s">
        <v>62</v>
      </c>
      <c r="C4833">
        <v>4026</v>
      </c>
      <c r="D4833" s="9">
        <v>29.31</v>
      </c>
      <c r="E4833" t="s">
        <v>56</v>
      </c>
    </row>
    <row r="4834" spans="1:5">
      <c r="A4834" t="s">
        <v>30</v>
      </c>
      <c r="B4834" s="11" t="s">
        <v>63</v>
      </c>
      <c r="C4834">
        <v>4026</v>
      </c>
      <c r="D4834" s="9">
        <v>38.159999999999997</v>
      </c>
      <c r="E4834" t="s">
        <v>56</v>
      </c>
    </row>
    <row r="4835" spans="1:5">
      <c r="A4835" t="s">
        <v>30</v>
      </c>
      <c r="B4835" s="11" t="s">
        <v>75</v>
      </c>
      <c r="C4835">
        <v>4026</v>
      </c>
      <c r="D4835" s="9">
        <v>31.69</v>
      </c>
      <c r="E4835" t="s">
        <v>56</v>
      </c>
    </row>
    <row r="4836" spans="1:5">
      <c r="A4836" t="s">
        <v>30</v>
      </c>
      <c r="B4836" s="11" t="s">
        <v>64</v>
      </c>
      <c r="C4836">
        <v>4026</v>
      </c>
      <c r="D4836" s="9">
        <v>50.55</v>
      </c>
      <c r="E4836" t="s">
        <v>57</v>
      </c>
    </row>
    <row r="4837" spans="1:5">
      <c r="A4837" t="s">
        <v>30</v>
      </c>
      <c r="B4837" s="11" t="s">
        <v>65</v>
      </c>
      <c r="C4837">
        <v>4026</v>
      </c>
      <c r="D4837" s="9">
        <v>33.520000000000003</v>
      </c>
      <c r="E4837" t="s">
        <v>57</v>
      </c>
    </row>
    <row r="4838" spans="1:5">
      <c r="A4838" t="s">
        <v>30</v>
      </c>
      <c r="B4838" s="11" t="s">
        <v>66</v>
      </c>
      <c r="C4838">
        <v>4026</v>
      </c>
      <c r="D4838" s="9">
        <v>64.150000000000006</v>
      </c>
      <c r="E4838" t="s">
        <v>57</v>
      </c>
    </row>
    <row r="4839" spans="1:5">
      <c r="A4839" t="s">
        <v>30</v>
      </c>
      <c r="B4839" s="11" t="s">
        <v>67</v>
      </c>
      <c r="C4839">
        <v>4026</v>
      </c>
      <c r="D4839" s="9">
        <v>40.61</v>
      </c>
      <c r="E4839" t="s">
        <v>57</v>
      </c>
    </row>
    <row r="4840" spans="1:5">
      <c r="A4840" t="s">
        <v>30</v>
      </c>
      <c r="B4840" s="11" t="s">
        <v>76</v>
      </c>
      <c r="C4840">
        <v>4026</v>
      </c>
      <c r="D4840" s="9">
        <v>19.55</v>
      </c>
      <c r="E4840" t="s">
        <v>57</v>
      </c>
    </row>
    <row r="4841" spans="1:5">
      <c r="A4841" t="s">
        <v>30</v>
      </c>
      <c r="B4841" s="11" t="s">
        <v>68</v>
      </c>
      <c r="C4841">
        <v>4026</v>
      </c>
      <c r="D4841" s="9">
        <v>48.56</v>
      </c>
      <c r="E4841" t="s">
        <v>58</v>
      </c>
    </row>
    <row r="4842" spans="1:5">
      <c r="A4842" t="s">
        <v>30</v>
      </c>
      <c r="B4842" s="11" t="s">
        <v>69</v>
      </c>
      <c r="C4842">
        <v>4026</v>
      </c>
      <c r="D4842" s="9">
        <v>48.11</v>
      </c>
      <c r="E4842" t="s">
        <v>58</v>
      </c>
    </row>
    <row r="4843" spans="1:5">
      <c r="A4843" t="s">
        <v>30</v>
      </c>
      <c r="B4843" s="11" t="s">
        <v>77</v>
      </c>
      <c r="C4843">
        <v>4026</v>
      </c>
      <c r="D4843" s="9">
        <v>38.32</v>
      </c>
      <c r="E4843" t="s">
        <v>58</v>
      </c>
    </row>
    <row r="4844" spans="1:5">
      <c r="A4844" t="s">
        <v>30</v>
      </c>
      <c r="B4844" s="11" t="s">
        <v>70</v>
      </c>
      <c r="C4844">
        <v>4026</v>
      </c>
      <c r="D4844" s="9">
        <v>53.83</v>
      </c>
      <c r="E4844" t="s">
        <v>59</v>
      </c>
    </row>
    <row r="4845" spans="1:5">
      <c r="A4845" t="s">
        <v>30</v>
      </c>
      <c r="B4845" s="11" t="s">
        <v>71</v>
      </c>
      <c r="C4845">
        <v>4026</v>
      </c>
      <c r="D4845" s="9">
        <v>53.33</v>
      </c>
      <c r="E4845" t="s">
        <v>59</v>
      </c>
    </row>
    <row r="4846" spans="1:5">
      <c r="A4846" t="s">
        <v>30</v>
      </c>
      <c r="B4846" s="11" t="s">
        <v>72</v>
      </c>
      <c r="C4846">
        <v>4026</v>
      </c>
      <c r="D4846" s="9">
        <v>61.04</v>
      </c>
      <c r="E4846" t="s">
        <v>59</v>
      </c>
    </row>
    <row r="4847" spans="1:5">
      <c r="A4847" t="s">
        <v>30</v>
      </c>
      <c r="B4847" s="11" t="s">
        <v>78</v>
      </c>
      <c r="C4847">
        <v>4026</v>
      </c>
      <c r="D4847" s="9">
        <v>46.24</v>
      </c>
      <c r="E4847" t="s">
        <v>59</v>
      </c>
    </row>
    <row r="4848" spans="1:5">
      <c r="A4848" t="s">
        <v>30</v>
      </c>
      <c r="B4848" s="11" t="s">
        <v>73</v>
      </c>
      <c r="C4848">
        <v>4026</v>
      </c>
      <c r="D4848" s="9">
        <v>52.83</v>
      </c>
      <c r="E4848" t="s">
        <v>60</v>
      </c>
    </row>
    <row r="4849" spans="1:5">
      <c r="A4849" t="s">
        <v>30</v>
      </c>
      <c r="B4849" s="11" t="s">
        <v>74</v>
      </c>
      <c r="C4849">
        <v>4026</v>
      </c>
      <c r="D4849" s="9">
        <v>48.8</v>
      </c>
      <c r="E4849" t="s">
        <v>60</v>
      </c>
    </row>
    <row r="4850" spans="1:5">
      <c r="A4850" t="s">
        <v>31</v>
      </c>
      <c r="B4850" s="11" t="s">
        <v>61</v>
      </c>
      <c r="C4850">
        <v>4026</v>
      </c>
      <c r="D4850" s="9">
        <v>43.51</v>
      </c>
      <c r="E4850" t="s">
        <v>56</v>
      </c>
    </row>
    <row r="4851" spans="1:5">
      <c r="A4851" t="s">
        <v>31</v>
      </c>
      <c r="B4851" s="11" t="s">
        <v>62</v>
      </c>
      <c r="C4851">
        <v>4026</v>
      </c>
      <c r="D4851" s="9">
        <v>28.93</v>
      </c>
      <c r="E4851" t="s">
        <v>56</v>
      </c>
    </row>
    <row r="4852" spans="1:5">
      <c r="A4852" t="s">
        <v>31</v>
      </c>
      <c r="B4852" s="11" t="s">
        <v>63</v>
      </c>
      <c r="C4852">
        <v>4026</v>
      </c>
      <c r="D4852" s="9">
        <v>49.24</v>
      </c>
      <c r="E4852" t="s">
        <v>56</v>
      </c>
    </row>
    <row r="4853" spans="1:5">
      <c r="A4853" t="s">
        <v>31</v>
      </c>
      <c r="B4853" s="11" t="s">
        <v>75</v>
      </c>
      <c r="C4853">
        <v>4026</v>
      </c>
      <c r="D4853" s="9">
        <v>61</v>
      </c>
      <c r="E4853" t="s">
        <v>56</v>
      </c>
    </row>
    <row r="4854" spans="1:5">
      <c r="A4854" t="s">
        <v>31</v>
      </c>
      <c r="B4854" s="11" t="s">
        <v>64</v>
      </c>
      <c r="C4854">
        <v>4026</v>
      </c>
      <c r="D4854" s="9">
        <v>49.76</v>
      </c>
      <c r="E4854" t="s">
        <v>57</v>
      </c>
    </row>
    <row r="4855" spans="1:5">
      <c r="A4855" t="s">
        <v>31</v>
      </c>
      <c r="B4855" s="11" t="s">
        <v>65</v>
      </c>
      <c r="C4855">
        <v>4026</v>
      </c>
      <c r="D4855" s="9">
        <v>43.44</v>
      </c>
      <c r="E4855" t="s">
        <v>57</v>
      </c>
    </row>
    <row r="4856" spans="1:5">
      <c r="A4856" t="s">
        <v>31</v>
      </c>
      <c r="B4856" s="11" t="s">
        <v>66</v>
      </c>
      <c r="C4856">
        <v>4026</v>
      </c>
      <c r="D4856" s="9">
        <v>47.65</v>
      </c>
      <c r="E4856" t="s">
        <v>57</v>
      </c>
    </row>
    <row r="4857" spans="1:5">
      <c r="A4857" t="s">
        <v>31</v>
      </c>
      <c r="B4857" s="11" t="s">
        <v>67</v>
      </c>
      <c r="C4857">
        <v>4026</v>
      </c>
      <c r="D4857" s="9">
        <v>33.47</v>
      </c>
      <c r="E4857" t="s">
        <v>57</v>
      </c>
    </row>
    <row r="4858" spans="1:5">
      <c r="A4858" t="s">
        <v>31</v>
      </c>
      <c r="B4858" s="11" t="s">
        <v>76</v>
      </c>
      <c r="C4858">
        <v>4026</v>
      </c>
      <c r="D4858" s="9">
        <v>27.63</v>
      </c>
      <c r="E4858" t="s">
        <v>57</v>
      </c>
    </row>
    <row r="4859" spans="1:5">
      <c r="A4859" t="s">
        <v>31</v>
      </c>
      <c r="B4859" s="11" t="s">
        <v>68</v>
      </c>
      <c r="C4859">
        <v>4026</v>
      </c>
      <c r="D4859" s="9">
        <v>62.53</v>
      </c>
      <c r="E4859" t="s">
        <v>58</v>
      </c>
    </row>
    <row r="4860" spans="1:5">
      <c r="A4860" t="s">
        <v>31</v>
      </c>
      <c r="B4860" s="11" t="s">
        <v>69</v>
      </c>
      <c r="C4860">
        <v>4026</v>
      </c>
      <c r="D4860" s="9">
        <v>38.21</v>
      </c>
      <c r="E4860" t="s">
        <v>58</v>
      </c>
    </row>
    <row r="4861" spans="1:5">
      <c r="A4861" t="s">
        <v>31</v>
      </c>
      <c r="B4861" s="11" t="s">
        <v>77</v>
      </c>
      <c r="C4861">
        <v>4026</v>
      </c>
      <c r="D4861" s="9">
        <v>48.25</v>
      </c>
      <c r="E4861" t="s">
        <v>58</v>
      </c>
    </row>
    <row r="4862" spans="1:5">
      <c r="A4862" t="s">
        <v>31</v>
      </c>
      <c r="B4862" s="11" t="s">
        <v>70</v>
      </c>
      <c r="C4862">
        <v>4026</v>
      </c>
      <c r="D4862" s="9">
        <v>50.79</v>
      </c>
      <c r="E4862" t="s">
        <v>59</v>
      </c>
    </row>
    <row r="4863" spans="1:5">
      <c r="A4863" t="s">
        <v>31</v>
      </c>
      <c r="B4863" s="11" t="s">
        <v>71</v>
      </c>
      <c r="C4863">
        <v>4026</v>
      </c>
      <c r="D4863" s="9">
        <v>52.4</v>
      </c>
      <c r="E4863" t="s">
        <v>59</v>
      </c>
    </row>
    <row r="4864" spans="1:5">
      <c r="A4864" t="s">
        <v>31</v>
      </c>
      <c r="B4864" s="11" t="s">
        <v>72</v>
      </c>
      <c r="C4864">
        <v>4026</v>
      </c>
      <c r="D4864" s="9">
        <v>65.41</v>
      </c>
      <c r="E4864" t="s">
        <v>59</v>
      </c>
    </row>
    <row r="4865" spans="1:5">
      <c r="A4865" t="s">
        <v>31</v>
      </c>
      <c r="B4865" s="11" t="s">
        <v>78</v>
      </c>
      <c r="C4865">
        <v>4026</v>
      </c>
      <c r="D4865" s="9">
        <v>36.119999999999997</v>
      </c>
      <c r="E4865" t="s">
        <v>59</v>
      </c>
    </row>
    <row r="4866" spans="1:5">
      <c r="A4866" t="s">
        <v>31</v>
      </c>
      <c r="B4866" s="11" t="s">
        <v>73</v>
      </c>
      <c r="C4866">
        <v>4026</v>
      </c>
      <c r="D4866" s="9">
        <v>52.77</v>
      </c>
      <c r="E4866" t="s">
        <v>60</v>
      </c>
    </row>
    <row r="4867" spans="1:5">
      <c r="A4867" t="s">
        <v>31</v>
      </c>
      <c r="B4867" s="11" t="s">
        <v>74</v>
      </c>
      <c r="C4867">
        <v>4026</v>
      </c>
      <c r="D4867" s="9">
        <v>73.03</v>
      </c>
      <c r="E4867" t="s">
        <v>60</v>
      </c>
    </row>
    <row r="4868" spans="1:5">
      <c r="A4868" t="s">
        <v>32</v>
      </c>
      <c r="B4868" s="11" t="s">
        <v>61</v>
      </c>
      <c r="C4868">
        <v>4026</v>
      </c>
      <c r="D4868" s="9">
        <v>48.44</v>
      </c>
      <c r="E4868" t="s">
        <v>56</v>
      </c>
    </row>
    <row r="4869" spans="1:5">
      <c r="A4869" t="s">
        <v>32</v>
      </c>
      <c r="B4869" s="11" t="s">
        <v>62</v>
      </c>
      <c r="C4869">
        <v>4026</v>
      </c>
      <c r="D4869" s="9">
        <v>27.76</v>
      </c>
      <c r="E4869" t="s">
        <v>56</v>
      </c>
    </row>
    <row r="4870" spans="1:5">
      <c r="A4870" t="s">
        <v>32</v>
      </c>
      <c r="B4870" s="11" t="s">
        <v>63</v>
      </c>
      <c r="C4870">
        <v>4026</v>
      </c>
      <c r="D4870" s="9">
        <v>47.13</v>
      </c>
      <c r="E4870" t="s">
        <v>56</v>
      </c>
    </row>
    <row r="4871" spans="1:5">
      <c r="A4871" t="s">
        <v>32</v>
      </c>
      <c r="B4871" s="11" t="s">
        <v>75</v>
      </c>
      <c r="C4871">
        <v>4026</v>
      </c>
      <c r="D4871" s="9">
        <v>58.87</v>
      </c>
      <c r="E4871" t="s">
        <v>56</v>
      </c>
    </row>
    <row r="4872" spans="1:5">
      <c r="A4872" t="s">
        <v>32</v>
      </c>
      <c r="B4872" s="11" t="s">
        <v>64</v>
      </c>
      <c r="C4872">
        <v>4026</v>
      </c>
      <c r="D4872" s="9">
        <v>51.84</v>
      </c>
      <c r="E4872" t="s">
        <v>57</v>
      </c>
    </row>
    <row r="4873" spans="1:5">
      <c r="A4873" t="s">
        <v>32</v>
      </c>
      <c r="B4873" s="11" t="s">
        <v>65</v>
      </c>
      <c r="C4873">
        <v>4026</v>
      </c>
      <c r="D4873" s="9">
        <v>31.04</v>
      </c>
      <c r="E4873" t="s">
        <v>57</v>
      </c>
    </row>
    <row r="4874" spans="1:5">
      <c r="A4874" t="s">
        <v>32</v>
      </c>
      <c r="B4874" s="11" t="s">
        <v>66</v>
      </c>
      <c r="C4874">
        <v>4026</v>
      </c>
      <c r="D4874" s="9">
        <v>69.959999999999994</v>
      </c>
      <c r="E4874" t="s">
        <v>57</v>
      </c>
    </row>
    <row r="4875" spans="1:5">
      <c r="A4875" t="s">
        <v>32</v>
      </c>
      <c r="B4875" s="11" t="s">
        <v>67</v>
      </c>
      <c r="C4875">
        <v>4026</v>
      </c>
      <c r="D4875" s="9">
        <v>25.79</v>
      </c>
      <c r="E4875" t="s">
        <v>57</v>
      </c>
    </row>
    <row r="4876" spans="1:5">
      <c r="A4876" t="s">
        <v>32</v>
      </c>
      <c r="B4876" s="11" t="s">
        <v>76</v>
      </c>
      <c r="C4876">
        <v>4026</v>
      </c>
      <c r="D4876" s="9">
        <v>30.05</v>
      </c>
      <c r="E4876" t="s">
        <v>57</v>
      </c>
    </row>
    <row r="4877" spans="1:5">
      <c r="A4877" t="s">
        <v>32</v>
      </c>
      <c r="B4877" s="11" t="s">
        <v>68</v>
      </c>
      <c r="C4877">
        <v>4026</v>
      </c>
      <c r="D4877" s="9">
        <v>49.72</v>
      </c>
      <c r="E4877" t="s">
        <v>58</v>
      </c>
    </row>
    <row r="4878" spans="1:5">
      <c r="A4878" t="s">
        <v>32</v>
      </c>
      <c r="B4878" s="11" t="s">
        <v>69</v>
      </c>
      <c r="C4878">
        <v>4026</v>
      </c>
      <c r="D4878" s="9">
        <v>48.39</v>
      </c>
      <c r="E4878" t="s">
        <v>58</v>
      </c>
    </row>
    <row r="4879" spans="1:5">
      <c r="A4879" t="s">
        <v>32</v>
      </c>
      <c r="B4879" s="11" t="s">
        <v>77</v>
      </c>
      <c r="C4879">
        <v>4026</v>
      </c>
      <c r="D4879" s="9">
        <v>40.65</v>
      </c>
      <c r="E4879" t="s">
        <v>58</v>
      </c>
    </row>
    <row r="4880" spans="1:5">
      <c r="A4880" t="s">
        <v>32</v>
      </c>
      <c r="B4880" s="11" t="s">
        <v>70</v>
      </c>
      <c r="C4880">
        <v>4026</v>
      </c>
      <c r="D4880" s="9">
        <v>48.21</v>
      </c>
      <c r="E4880" t="s">
        <v>59</v>
      </c>
    </row>
    <row r="4881" spans="1:5">
      <c r="A4881" t="s">
        <v>32</v>
      </c>
      <c r="B4881" s="11" t="s">
        <v>71</v>
      </c>
      <c r="C4881">
        <v>4026</v>
      </c>
      <c r="D4881" s="9">
        <v>49.59</v>
      </c>
      <c r="E4881" t="s">
        <v>59</v>
      </c>
    </row>
    <row r="4882" spans="1:5">
      <c r="A4882" t="s">
        <v>32</v>
      </c>
      <c r="B4882" s="11" t="s">
        <v>72</v>
      </c>
      <c r="C4882">
        <v>4026</v>
      </c>
      <c r="D4882" s="9">
        <v>86.97</v>
      </c>
      <c r="E4882" t="s">
        <v>59</v>
      </c>
    </row>
    <row r="4883" spans="1:5">
      <c r="A4883" t="s">
        <v>32</v>
      </c>
      <c r="B4883" s="11" t="s">
        <v>78</v>
      </c>
      <c r="C4883">
        <v>4026</v>
      </c>
      <c r="D4883" s="9">
        <v>43.65</v>
      </c>
      <c r="E4883" t="s">
        <v>59</v>
      </c>
    </row>
    <row r="4884" spans="1:5">
      <c r="A4884" t="s">
        <v>32</v>
      </c>
      <c r="B4884" s="11" t="s">
        <v>73</v>
      </c>
      <c r="C4884">
        <v>4026</v>
      </c>
      <c r="D4884" s="9">
        <v>61.68</v>
      </c>
      <c r="E4884" t="s">
        <v>60</v>
      </c>
    </row>
    <row r="4885" spans="1:5">
      <c r="A4885" t="s">
        <v>32</v>
      </c>
      <c r="B4885" s="11" t="s">
        <v>74</v>
      </c>
      <c r="C4885">
        <v>4026</v>
      </c>
      <c r="D4885" s="9">
        <v>43.68</v>
      </c>
      <c r="E4885" t="s">
        <v>60</v>
      </c>
    </row>
    <row r="4886" spans="1:5">
      <c r="A4886" t="s">
        <v>33</v>
      </c>
      <c r="B4886" s="11" t="s">
        <v>61</v>
      </c>
      <c r="C4886">
        <v>4026</v>
      </c>
      <c r="D4886" s="9">
        <v>69.81</v>
      </c>
      <c r="E4886" t="s">
        <v>56</v>
      </c>
    </row>
    <row r="4887" spans="1:5">
      <c r="A4887" t="s">
        <v>33</v>
      </c>
      <c r="B4887" s="11" t="s">
        <v>62</v>
      </c>
      <c r="C4887">
        <v>4026</v>
      </c>
      <c r="D4887" s="9">
        <v>48.88</v>
      </c>
      <c r="E4887" t="s">
        <v>56</v>
      </c>
    </row>
    <row r="4888" spans="1:5">
      <c r="A4888" t="s">
        <v>33</v>
      </c>
      <c r="B4888" s="11" t="s">
        <v>63</v>
      </c>
      <c r="C4888">
        <v>4026</v>
      </c>
      <c r="D4888" s="9">
        <v>62.79</v>
      </c>
      <c r="E4888" t="s">
        <v>56</v>
      </c>
    </row>
    <row r="4889" spans="1:5">
      <c r="A4889" t="s">
        <v>33</v>
      </c>
      <c r="B4889" s="11" t="s">
        <v>75</v>
      </c>
      <c r="C4889">
        <v>4026</v>
      </c>
      <c r="D4889" s="9">
        <v>63.09</v>
      </c>
      <c r="E4889" t="s">
        <v>56</v>
      </c>
    </row>
    <row r="4890" spans="1:5">
      <c r="A4890" t="s">
        <v>33</v>
      </c>
      <c r="B4890" s="11" t="s">
        <v>64</v>
      </c>
      <c r="C4890">
        <v>4026</v>
      </c>
      <c r="D4890" s="9">
        <v>38.17</v>
      </c>
      <c r="E4890" t="s">
        <v>57</v>
      </c>
    </row>
    <row r="4891" spans="1:5">
      <c r="A4891" t="s">
        <v>33</v>
      </c>
      <c r="B4891" s="11" t="s">
        <v>65</v>
      </c>
      <c r="C4891">
        <v>4026</v>
      </c>
      <c r="D4891" s="9">
        <v>59.85</v>
      </c>
      <c r="E4891" t="s">
        <v>57</v>
      </c>
    </row>
    <row r="4892" spans="1:5">
      <c r="A4892" t="s">
        <v>33</v>
      </c>
      <c r="B4892" s="11" t="s">
        <v>66</v>
      </c>
      <c r="C4892">
        <v>4026</v>
      </c>
      <c r="D4892" s="9">
        <v>111.39</v>
      </c>
      <c r="E4892" t="s">
        <v>57</v>
      </c>
    </row>
    <row r="4893" spans="1:5">
      <c r="A4893" t="s">
        <v>33</v>
      </c>
      <c r="B4893" s="11" t="s">
        <v>67</v>
      </c>
      <c r="C4893">
        <v>4026</v>
      </c>
      <c r="D4893" s="9">
        <v>55.25</v>
      </c>
      <c r="E4893" t="s">
        <v>57</v>
      </c>
    </row>
    <row r="4894" spans="1:5">
      <c r="A4894" t="s">
        <v>33</v>
      </c>
      <c r="B4894" s="11" t="s">
        <v>76</v>
      </c>
      <c r="C4894">
        <v>4026</v>
      </c>
      <c r="D4894" s="9">
        <v>31.61</v>
      </c>
      <c r="E4894" t="s">
        <v>57</v>
      </c>
    </row>
    <row r="4895" spans="1:5">
      <c r="A4895" t="s">
        <v>33</v>
      </c>
      <c r="B4895" s="11" t="s">
        <v>68</v>
      </c>
      <c r="C4895">
        <v>4026</v>
      </c>
      <c r="D4895" s="9">
        <v>57.15</v>
      </c>
      <c r="E4895" t="s">
        <v>58</v>
      </c>
    </row>
    <row r="4896" spans="1:5">
      <c r="A4896" t="s">
        <v>33</v>
      </c>
      <c r="B4896" s="11" t="s">
        <v>69</v>
      </c>
      <c r="C4896">
        <v>4026</v>
      </c>
      <c r="D4896" s="9">
        <v>49.59</v>
      </c>
      <c r="E4896" t="s">
        <v>58</v>
      </c>
    </row>
    <row r="4897" spans="1:5">
      <c r="A4897" t="s">
        <v>33</v>
      </c>
      <c r="B4897" s="11" t="s">
        <v>77</v>
      </c>
      <c r="C4897">
        <v>4026</v>
      </c>
      <c r="D4897" s="9">
        <v>75</v>
      </c>
      <c r="E4897" t="s">
        <v>58</v>
      </c>
    </row>
    <row r="4898" spans="1:5">
      <c r="A4898" t="s">
        <v>33</v>
      </c>
      <c r="B4898" s="11" t="s">
        <v>70</v>
      </c>
      <c r="C4898">
        <v>4026</v>
      </c>
      <c r="D4898" s="9">
        <v>43.07</v>
      </c>
      <c r="E4898" t="s">
        <v>59</v>
      </c>
    </row>
    <row r="4899" spans="1:5">
      <c r="A4899" t="s">
        <v>33</v>
      </c>
      <c r="B4899" s="11" t="s">
        <v>71</v>
      </c>
      <c r="C4899">
        <v>4026</v>
      </c>
      <c r="D4899" s="9">
        <v>61.95</v>
      </c>
      <c r="E4899" t="s">
        <v>59</v>
      </c>
    </row>
    <row r="4900" spans="1:5">
      <c r="A4900" t="s">
        <v>33</v>
      </c>
      <c r="B4900" s="11" t="s">
        <v>72</v>
      </c>
      <c r="C4900">
        <v>4026</v>
      </c>
      <c r="D4900" s="9">
        <v>56.13</v>
      </c>
      <c r="E4900" t="s">
        <v>59</v>
      </c>
    </row>
    <row r="4901" spans="1:5">
      <c r="A4901" t="s">
        <v>33</v>
      </c>
      <c r="B4901" s="11" t="s">
        <v>78</v>
      </c>
      <c r="C4901">
        <v>4026</v>
      </c>
      <c r="D4901" s="9">
        <v>45.39</v>
      </c>
      <c r="E4901" t="s">
        <v>59</v>
      </c>
    </row>
    <row r="4902" spans="1:5">
      <c r="A4902" t="s">
        <v>33</v>
      </c>
      <c r="B4902" s="11" t="s">
        <v>73</v>
      </c>
      <c r="C4902">
        <v>4026</v>
      </c>
      <c r="D4902" s="9">
        <v>80.03</v>
      </c>
      <c r="E4902" t="s">
        <v>60</v>
      </c>
    </row>
    <row r="4903" spans="1:5">
      <c r="A4903" t="s">
        <v>33</v>
      </c>
      <c r="B4903" s="11" t="s">
        <v>74</v>
      </c>
      <c r="C4903">
        <v>4026</v>
      </c>
      <c r="D4903" s="9">
        <v>46.15</v>
      </c>
      <c r="E4903" t="s">
        <v>60</v>
      </c>
    </row>
    <row r="4904" spans="1:5">
      <c r="A4904" t="s">
        <v>34</v>
      </c>
      <c r="B4904" s="11" t="s">
        <v>61</v>
      </c>
      <c r="C4904">
        <v>4026</v>
      </c>
      <c r="D4904" s="9">
        <v>42.05</v>
      </c>
      <c r="E4904" t="s">
        <v>56</v>
      </c>
    </row>
    <row r="4905" spans="1:5">
      <c r="A4905" t="s">
        <v>34</v>
      </c>
      <c r="B4905" s="11" t="s">
        <v>62</v>
      </c>
      <c r="C4905">
        <v>4026</v>
      </c>
      <c r="D4905" s="9">
        <v>54.16</v>
      </c>
      <c r="E4905" t="s">
        <v>56</v>
      </c>
    </row>
    <row r="4906" spans="1:5">
      <c r="A4906" t="s">
        <v>34</v>
      </c>
      <c r="B4906" s="11" t="s">
        <v>63</v>
      </c>
      <c r="C4906">
        <v>4026</v>
      </c>
      <c r="D4906" s="9">
        <v>72.77</v>
      </c>
      <c r="E4906" t="s">
        <v>56</v>
      </c>
    </row>
    <row r="4907" spans="1:5">
      <c r="A4907" t="s">
        <v>34</v>
      </c>
      <c r="B4907" s="11" t="s">
        <v>64</v>
      </c>
      <c r="C4907">
        <v>4026</v>
      </c>
      <c r="D4907" s="9">
        <v>50.15</v>
      </c>
      <c r="E4907" t="s">
        <v>57</v>
      </c>
    </row>
    <row r="4908" spans="1:5">
      <c r="A4908" t="s">
        <v>34</v>
      </c>
      <c r="B4908" s="11" t="s">
        <v>65</v>
      </c>
      <c r="C4908">
        <v>4026</v>
      </c>
      <c r="D4908" s="9">
        <v>47.95</v>
      </c>
      <c r="E4908" t="s">
        <v>57</v>
      </c>
    </row>
    <row r="4909" spans="1:5">
      <c r="A4909" t="s">
        <v>34</v>
      </c>
      <c r="B4909" s="11" t="s">
        <v>66</v>
      </c>
      <c r="C4909">
        <v>4026</v>
      </c>
      <c r="D4909" s="9">
        <v>129.29</v>
      </c>
      <c r="E4909" t="s">
        <v>57</v>
      </c>
    </row>
    <row r="4910" spans="1:5">
      <c r="A4910" t="s">
        <v>34</v>
      </c>
      <c r="B4910" s="11" t="s">
        <v>67</v>
      </c>
      <c r="C4910">
        <v>4026</v>
      </c>
      <c r="D4910" s="9">
        <v>22.95</v>
      </c>
      <c r="E4910" t="s">
        <v>57</v>
      </c>
    </row>
    <row r="4911" spans="1:5">
      <c r="A4911" t="s">
        <v>34</v>
      </c>
      <c r="B4911" s="11" t="s">
        <v>76</v>
      </c>
      <c r="C4911">
        <v>4026</v>
      </c>
      <c r="D4911" s="9">
        <v>30.43</v>
      </c>
      <c r="E4911" t="s">
        <v>57</v>
      </c>
    </row>
    <row r="4912" spans="1:5">
      <c r="A4912" t="s">
        <v>34</v>
      </c>
      <c r="B4912" s="11" t="s">
        <v>68</v>
      </c>
      <c r="C4912">
        <v>4026</v>
      </c>
      <c r="D4912" s="9">
        <v>50.93</v>
      </c>
      <c r="E4912" t="s">
        <v>58</v>
      </c>
    </row>
    <row r="4913" spans="1:5">
      <c r="A4913" t="s">
        <v>34</v>
      </c>
      <c r="B4913" s="11" t="s">
        <v>69</v>
      </c>
      <c r="C4913">
        <v>4026</v>
      </c>
      <c r="D4913" s="9">
        <v>46.19</v>
      </c>
      <c r="E4913" t="s">
        <v>58</v>
      </c>
    </row>
    <row r="4914" spans="1:5">
      <c r="A4914" t="s">
        <v>34</v>
      </c>
      <c r="B4914" s="11" t="s">
        <v>77</v>
      </c>
      <c r="C4914">
        <v>4026</v>
      </c>
      <c r="D4914" s="9">
        <v>46.52</v>
      </c>
      <c r="E4914" t="s">
        <v>58</v>
      </c>
    </row>
    <row r="4915" spans="1:5">
      <c r="A4915" t="s">
        <v>34</v>
      </c>
      <c r="B4915" s="11" t="s">
        <v>70</v>
      </c>
      <c r="C4915">
        <v>4026</v>
      </c>
      <c r="D4915" s="9">
        <v>64.2</v>
      </c>
      <c r="E4915" t="s">
        <v>59</v>
      </c>
    </row>
    <row r="4916" spans="1:5">
      <c r="A4916" t="s">
        <v>34</v>
      </c>
      <c r="B4916" s="11" t="s">
        <v>71</v>
      </c>
      <c r="C4916">
        <v>4026</v>
      </c>
      <c r="D4916" s="9">
        <v>62.39</v>
      </c>
      <c r="E4916" t="s">
        <v>59</v>
      </c>
    </row>
    <row r="4917" spans="1:5">
      <c r="A4917" t="s">
        <v>34</v>
      </c>
      <c r="B4917" s="11" t="s">
        <v>72</v>
      </c>
      <c r="C4917">
        <v>4026</v>
      </c>
      <c r="D4917" s="9">
        <v>97.81</v>
      </c>
      <c r="E4917" t="s">
        <v>59</v>
      </c>
    </row>
    <row r="4918" spans="1:5">
      <c r="A4918" t="s">
        <v>34</v>
      </c>
      <c r="B4918" s="11" t="s">
        <v>78</v>
      </c>
      <c r="C4918">
        <v>4026</v>
      </c>
      <c r="D4918" s="9">
        <v>56.79</v>
      </c>
      <c r="E4918" t="s">
        <v>59</v>
      </c>
    </row>
    <row r="4919" spans="1:5">
      <c r="A4919" t="s">
        <v>34</v>
      </c>
      <c r="B4919" s="11" t="s">
        <v>73</v>
      </c>
      <c r="C4919">
        <v>4026</v>
      </c>
      <c r="D4919" s="9">
        <v>53.24</v>
      </c>
      <c r="E4919" t="s">
        <v>60</v>
      </c>
    </row>
    <row r="4920" spans="1:5">
      <c r="A4920" t="s">
        <v>34</v>
      </c>
      <c r="B4920" s="11" t="s">
        <v>74</v>
      </c>
      <c r="C4920">
        <v>4026</v>
      </c>
      <c r="D4920" s="9">
        <v>62.75</v>
      </c>
      <c r="E4920" t="s">
        <v>60</v>
      </c>
    </row>
    <row r="4921" spans="1:5">
      <c r="A4921" t="s">
        <v>35</v>
      </c>
      <c r="B4921" s="11" t="s">
        <v>61</v>
      </c>
      <c r="C4921">
        <v>4026</v>
      </c>
      <c r="D4921" s="9">
        <v>57.16</v>
      </c>
      <c r="E4921" t="s">
        <v>56</v>
      </c>
    </row>
    <row r="4922" spans="1:5">
      <c r="A4922" t="s">
        <v>35</v>
      </c>
      <c r="B4922" s="11" t="s">
        <v>62</v>
      </c>
      <c r="C4922">
        <v>4026</v>
      </c>
      <c r="D4922" s="9">
        <v>36.71</v>
      </c>
      <c r="E4922" t="s">
        <v>56</v>
      </c>
    </row>
    <row r="4923" spans="1:5">
      <c r="A4923" t="s">
        <v>35</v>
      </c>
      <c r="B4923" s="11" t="s">
        <v>63</v>
      </c>
      <c r="C4923">
        <v>4026</v>
      </c>
      <c r="D4923" s="9">
        <v>62.23</v>
      </c>
      <c r="E4923" t="s">
        <v>56</v>
      </c>
    </row>
    <row r="4924" spans="1:5">
      <c r="A4924" t="s">
        <v>35</v>
      </c>
      <c r="B4924" s="11" t="s">
        <v>75</v>
      </c>
      <c r="C4924">
        <v>4026</v>
      </c>
      <c r="D4924" s="9">
        <v>62.75</v>
      </c>
      <c r="E4924" t="s">
        <v>56</v>
      </c>
    </row>
    <row r="4925" spans="1:5">
      <c r="A4925" t="s">
        <v>35</v>
      </c>
      <c r="B4925" s="11" t="s">
        <v>64</v>
      </c>
      <c r="C4925">
        <v>4026</v>
      </c>
      <c r="D4925" s="9">
        <v>60.29</v>
      </c>
      <c r="E4925" t="s">
        <v>57</v>
      </c>
    </row>
    <row r="4926" spans="1:5">
      <c r="A4926" t="s">
        <v>35</v>
      </c>
      <c r="B4926" s="11" t="s">
        <v>65</v>
      </c>
      <c r="C4926">
        <v>4026</v>
      </c>
      <c r="D4926" s="9">
        <v>54.45</v>
      </c>
      <c r="E4926" t="s">
        <v>57</v>
      </c>
    </row>
    <row r="4927" spans="1:5">
      <c r="A4927" t="s">
        <v>35</v>
      </c>
      <c r="B4927" s="11" t="s">
        <v>66</v>
      </c>
      <c r="C4927">
        <v>4026</v>
      </c>
      <c r="D4927" s="9">
        <v>112.37</v>
      </c>
      <c r="E4927" t="s">
        <v>57</v>
      </c>
    </row>
    <row r="4928" spans="1:5">
      <c r="A4928" t="s">
        <v>35</v>
      </c>
      <c r="B4928" s="11" t="s">
        <v>67</v>
      </c>
      <c r="C4928">
        <v>4026</v>
      </c>
      <c r="D4928" s="9">
        <v>45.75</v>
      </c>
      <c r="E4928" t="s">
        <v>57</v>
      </c>
    </row>
    <row r="4929" spans="1:5">
      <c r="A4929" t="s">
        <v>35</v>
      </c>
      <c r="B4929" s="11" t="s">
        <v>76</v>
      </c>
      <c r="C4929">
        <v>4026</v>
      </c>
      <c r="D4929" s="9">
        <v>31.99</v>
      </c>
      <c r="E4929" t="s">
        <v>57</v>
      </c>
    </row>
    <row r="4930" spans="1:5">
      <c r="A4930" t="s">
        <v>35</v>
      </c>
      <c r="B4930" s="11" t="s">
        <v>68</v>
      </c>
      <c r="C4930">
        <v>4026</v>
      </c>
      <c r="D4930" s="9">
        <v>52</v>
      </c>
      <c r="E4930" t="s">
        <v>58</v>
      </c>
    </row>
    <row r="4931" spans="1:5">
      <c r="A4931" t="s">
        <v>35</v>
      </c>
      <c r="B4931" s="11" t="s">
        <v>69</v>
      </c>
      <c r="C4931">
        <v>4026</v>
      </c>
      <c r="D4931" s="9">
        <v>38.4</v>
      </c>
      <c r="E4931" t="s">
        <v>58</v>
      </c>
    </row>
    <row r="4932" spans="1:5">
      <c r="A4932" t="s">
        <v>35</v>
      </c>
      <c r="B4932" s="11" t="s">
        <v>77</v>
      </c>
      <c r="C4932">
        <v>4026</v>
      </c>
      <c r="D4932" s="9">
        <v>54.43</v>
      </c>
      <c r="E4932" t="s">
        <v>58</v>
      </c>
    </row>
    <row r="4933" spans="1:5">
      <c r="A4933" t="s">
        <v>35</v>
      </c>
      <c r="B4933" s="11" t="s">
        <v>70</v>
      </c>
      <c r="C4933">
        <v>4026</v>
      </c>
      <c r="D4933" s="9">
        <v>46.44</v>
      </c>
      <c r="E4933" t="s">
        <v>59</v>
      </c>
    </row>
    <row r="4934" spans="1:5">
      <c r="A4934" t="s">
        <v>35</v>
      </c>
      <c r="B4934" s="11" t="s">
        <v>71</v>
      </c>
      <c r="C4934">
        <v>4026</v>
      </c>
      <c r="D4934" s="9">
        <v>58.21</v>
      </c>
      <c r="E4934" t="s">
        <v>59</v>
      </c>
    </row>
    <row r="4935" spans="1:5">
      <c r="A4935" t="s">
        <v>35</v>
      </c>
      <c r="B4935" s="11" t="s">
        <v>72</v>
      </c>
      <c r="C4935">
        <v>4026</v>
      </c>
      <c r="D4935" s="9">
        <v>90.55</v>
      </c>
      <c r="E4935" t="s">
        <v>59</v>
      </c>
    </row>
    <row r="4936" spans="1:5">
      <c r="A4936" t="s">
        <v>35</v>
      </c>
      <c r="B4936" s="11" t="s">
        <v>78</v>
      </c>
      <c r="C4936">
        <v>4026</v>
      </c>
      <c r="D4936" s="9">
        <v>66.36</v>
      </c>
      <c r="E4936" t="s">
        <v>59</v>
      </c>
    </row>
    <row r="4937" spans="1:5">
      <c r="A4937" t="s">
        <v>35</v>
      </c>
      <c r="B4937" s="11" t="s">
        <v>73</v>
      </c>
      <c r="C4937">
        <v>4026</v>
      </c>
      <c r="D4937" s="9">
        <v>79.709999999999994</v>
      </c>
      <c r="E4937" t="s">
        <v>60</v>
      </c>
    </row>
    <row r="4938" spans="1:5">
      <c r="A4938" t="s">
        <v>35</v>
      </c>
      <c r="B4938" s="11" t="s">
        <v>74</v>
      </c>
      <c r="C4938">
        <v>4026</v>
      </c>
      <c r="D4938" s="9">
        <v>60.93</v>
      </c>
      <c r="E4938" t="s">
        <v>60</v>
      </c>
    </row>
    <row r="4939" spans="1:5">
      <c r="A4939" t="s">
        <v>36</v>
      </c>
      <c r="B4939" s="11" t="s">
        <v>61</v>
      </c>
      <c r="C4939">
        <v>4026</v>
      </c>
      <c r="D4939" s="9">
        <v>42.47</v>
      </c>
      <c r="E4939" t="s">
        <v>56</v>
      </c>
    </row>
    <row r="4940" spans="1:5">
      <c r="A4940" t="s">
        <v>36</v>
      </c>
      <c r="B4940" s="11" t="s">
        <v>62</v>
      </c>
      <c r="C4940">
        <v>4026</v>
      </c>
      <c r="D4940" s="9">
        <v>32.229999999999997</v>
      </c>
      <c r="E4940" t="s">
        <v>56</v>
      </c>
    </row>
    <row r="4941" spans="1:5">
      <c r="A4941" t="s">
        <v>36</v>
      </c>
      <c r="B4941" s="11" t="s">
        <v>63</v>
      </c>
      <c r="C4941">
        <v>4026</v>
      </c>
      <c r="D4941" s="9">
        <v>45.12</v>
      </c>
      <c r="E4941" t="s">
        <v>56</v>
      </c>
    </row>
    <row r="4942" spans="1:5">
      <c r="A4942" t="s">
        <v>36</v>
      </c>
      <c r="B4942" s="11" t="s">
        <v>75</v>
      </c>
      <c r="C4942">
        <v>4026</v>
      </c>
      <c r="D4942" s="9">
        <v>67.72</v>
      </c>
      <c r="E4942" t="s">
        <v>56</v>
      </c>
    </row>
    <row r="4943" spans="1:5">
      <c r="A4943" t="s">
        <v>36</v>
      </c>
      <c r="B4943" s="11" t="s">
        <v>64</v>
      </c>
      <c r="C4943">
        <v>4026</v>
      </c>
      <c r="D4943" s="9">
        <v>42.97</v>
      </c>
      <c r="E4943" t="s">
        <v>57</v>
      </c>
    </row>
    <row r="4944" spans="1:5">
      <c r="A4944" t="s">
        <v>36</v>
      </c>
      <c r="B4944" s="11" t="s">
        <v>65</v>
      </c>
      <c r="C4944">
        <v>4026</v>
      </c>
      <c r="D4944" s="9">
        <v>32.03</v>
      </c>
      <c r="E4944" t="s">
        <v>57</v>
      </c>
    </row>
    <row r="4945" spans="1:5">
      <c r="A4945" t="s">
        <v>36</v>
      </c>
      <c r="B4945" s="11" t="s">
        <v>66</v>
      </c>
      <c r="C4945">
        <v>4026</v>
      </c>
      <c r="D4945" s="9">
        <v>97.96</v>
      </c>
      <c r="E4945" t="s">
        <v>57</v>
      </c>
    </row>
    <row r="4946" spans="1:5">
      <c r="A4946" t="s">
        <v>36</v>
      </c>
      <c r="B4946" s="11" t="s">
        <v>67</v>
      </c>
      <c r="C4946">
        <v>4026</v>
      </c>
      <c r="D4946" s="9">
        <v>33.39</v>
      </c>
      <c r="E4946" t="s">
        <v>57</v>
      </c>
    </row>
    <row r="4947" spans="1:5">
      <c r="A4947" t="s">
        <v>36</v>
      </c>
      <c r="B4947" s="11" t="s">
        <v>76</v>
      </c>
      <c r="C4947">
        <v>4026</v>
      </c>
      <c r="D4947" s="9">
        <v>30.15</v>
      </c>
      <c r="E4947" t="s">
        <v>57</v>
      </c>
    </row>
    <row r="4948" spans="1:5">
      <c r="A4948" t="s">
        <v>36</v>
      </c>
      <c r="B4948" s="11" t="s">
        <v>68</v>
      </c>
      <c r="C4948">
        <v>4026</v>
      </c>
      <c r="D4948" s="9">
        <v>43.52</v>
      </c>
      <c r="E4948" t="s">
        <v>58</v>
      </c>
    </row>
    <row r="4949" spans="1:5">
      <c r="A4949" t="s">
        <v>36</v>
      </c>
      <c r="B4949" s="11" t="s">
        <v>69</v>
      </c>
      <c r="C4949">
        <v>4026</v>
      </c>
      <c r="D4949" s="9">
        <v>37.369999999999997</v>
      </c>
      <c r="E4949" t="s">
        <v>58</v>
      </c>
    </row>
    <row r="4950" spans="1:5">
      <c r="A4950" t="s">
        <v>36</v>
      </c>
      <c r="B4950" s="11" t="s">
        <v>77</v>
      </c>
      <c r="C4950">
        <v>4026</v>
      </c>
      <c r="D4950" s="9">
        <v>66.36</v>
      </c>
      <c r="E4950" t="s">
        <v>58</v>
      </c>
    </row>
    <row r="4951" spans="1:5">
      <c r="A4951" t="s">
        <v>36</v>
      </c>
      <c r="B4951" s="11" t="s">
        <v>70</v>
      </c>
      <c r="C4951">
        <v>4026</v>
      </c>
      <c r="D4951" s="9">
        <v>33.450000000000003</v>
      </c>
      <c r="E4951" t="s">
        <v>59</v>
      </c>
    </row>
    <row r="4952" spans="1:5">
      <c r="A4952" t="s">
        <v>36</v>
      </c>
      <c r="B4952" s="11" t="s">
        <v>71</v>
      </c>
      <c r="C4952">
        <v>4026</v>
      </c>
      <c r="D4952" s="9">
        <v>54.52</v>
      </c>
      <c r="E4952" t="s">
        <v>59</v>
      </c>
    </row>
    <row r="4953" spans="1:5">
      <c r="A4953" t="s">
        <v>36</v>
      </c>
      <c r="B4953" s="11" t="s">
        <v>72</v>
      </c>
      <c r="C4953">
        <v>4026</v>
      </c>
      <c r="D4953" s="9">
        <v>60.96</v>
      </c>
      <c r="E4953" t="s">
        <v>59</v>
      </c>
    </row>
    <row r="4954" spans="1:5">
      <c r="A4954" t="s">
        <v>36</v>
      </c>
      <c r="B4954" s="11" t="s">
        <v>78</v>
      </c>
      <c r="C4954">
        <v>4026</v>
      </c>
      <c r="D4954" s="9">
        <v>45.55</v>
      </c>
      <c r="E4954" t="s">
        <v>59</v>
      </c>
    </row>
    <row r="4955" spans="1:5">
      <c r="A4955" t="s">
        <v>36</v>
      </c>
      <c r="B4955" s="11" t="s">
        <v>73</v>
      </c>
      <c r="C4955">
        <v>4026</v>
      </c>
      <c r="D4955" s="9">
        <v>51.33</v>
      </c>
      <c r="E4955" t="s">
        <v>60</v>
      </c>
    </row>
    <row r="4956" spans="1:5">
      <c r="A4956" t="s">
        <v>36</v>
      </c>
      <c r="B4956" s="11" t="s">
        <v>74</v>
      </c>
      <c r="C4956">
        <v>4026</v>
      </c>
      <c r="D4956" s="9">
        <v>55.4</v>
      </c>
      <c r="E4956" t="s">
        <v>60</v>
      </c>
    </row>
    <row r="4957" spans="1:5">
      <c r="A4957" t="s">
        <v>37</v>
      </c>
      <c r="B4957" s="11" t="s">
        <v>61</v>
      </c>
      <c r="C4957">
        <v>4026</v>
      </c>
      <c r="D4957" s="9">
        <v>56.25</v>
      </c>
      <c r="E4957" t="s">
        <v>56</v>
      </c>
    </row>
    <row r="4958" spans="1:5">
      <c r="A4958" t="s">
        <v>37</v>
      </c>
      <c r="B4958" s="11" t="s">
        <v>62</v>
      </c>
      <c r="C4958">
        <v>4026</v>
      </c>
      <c r="D4958" s="9">
        <v>35.81</v>
      </c>
      <c r="E4958" t="s">
        <v>56</v>
      </c>
    </row>
    <row r="4959" spans="1:5">
      <c r="A4959" t="s">
        <v>37</v>
      </c>
      <c r="B4959" s="11" t="s">
        <v>63</v>
      </c>
      <c r="C4959">
        <v>4026</v>
      </c>
      <c r="D4959" s="9">
        <v>51.25</v>
      </c>
      <c r="E4959" t="s">
        <v>56</v>
      </c>
    </row>
    <row r="4960" spans="1:5">
      <c r="A4960" t="s">
        <v>37</v>
      </c>
      <c r="B4960" s="11" t="s">
        <v>75</v>
      </c>
      <c r="C4960">
        <v>4026</v>
      </c>
      <c r="D4960" s="9">
        <v>57.79</v>
      </c>
      <c r="E4960" t="s">
        <v>56</v>
      </c>
    </row>
    <row r="4961" spans="1:5">
      <c r="A4961" t="s">
        <v>37</v>
      </c>
      <c r="B4961" s="11" t="s">
        <v>64</v>
      </c>
      <c r="C4961">
        <v>4026</v>
      </c>
      <c r="D4961" s="9">
        <v>49.48</v>
      </c>
      <c r="E4961" t="s">
        <v>57</v>
      </c>
    </row>
    <row r="4962" spans="1:5">
      <c r="A4962" t="s">
        <v>37</v>
      </c>
      <c r="B4962" s="11" t="s">
        <v>65</v>
      </c>
      <c r="C4962">
        <v>4026</v>
      </c>
      <c r="D4962" s="9">
        <v>24.84</v>
      </c>
      <c r="E4962" t="s">
        <v>57</v>
      </c>
    </row>
    <row r="4963" spans="1:5">
      <c r="A4963" t="s">
        <v>37</v>
      </c>
      <c r="B4963" s="11" t="s">
        <v>66</v>
      </c>
      <c r="C4963">
        <v>4026</v>
      </c>
      <c r="D4963" s="9">
        <v>74.16</v>
      </c>
      <c r="E4963" t="s">
        <v>57</v>
      </c>
    </row>
    <row r="4964" spans="1:5">
      <c r="A4964" t="s">
        <v>37</v>
      </c>
      <c r="B4964" s="11" t="s">
        <v>67</v>
      </c>
      <c r="C4964">
        <v>4026</v>
      </c>
      <c r="D4964" s="9">
        <v>38.07</v>
      </c>
      <c r="E4964" t="s">
        <v>57</v>
      </c>
    </row>
    <row r="4965" spans="1:5">
      <c r="A4965" t="s">
        <v>37</v>
      </c>
      <c r="B4965" s="11" t="s">
        <v>76</v>
      </c>
      <c r="C4965">
        <v>4026</v>
      </c>
      <c r="D4965" s="9">
        <v>26.64</v>
      </c>
      <c r="E4965" t="s">
        <v>57</v>
      </c>
    </row>
    <row r="4966" spans="1:5">
      <c r="A4966" t="s">
        <v>37</v>
      </c>
      <c r="B4966" s="11" t="s">
        <v>68</v>
      </c>
      <c r="C4966">
        <v>4026</v>
      </c>
      <c r="D4966" s="9">
        <v>36.01</v>
      </c>
      <c r="E4966" t="s">
        <v>58</v>
      </c>
    </row>
    <row r="4967" spans="1:5">
      <c r="A4967" t="s">
        <v>37</v>
      </c>
      <c r="B4967" s="11" t="s">
        <v>69</v>
      </c>
      <c r="C4967">
        <v>4026</v>
      </c>
      <c r="D4967" s="9">
        <v>39.04</v>
      </c>
      <c r="E4967" t="s">
        <v>58</v>
      </c>
    </row>
    <row r="4968" spans="1:5">
      <c r="A4968" t="s">
        <v>37</v>
      </c>
      <c r="B4968" s="11" t="s">
        <v>77</v>
      </c>
      <c r="C4968">
        <v>4026</v>
      </c>
      <c r="D4968" s="9">
        <v>31.81</v>
      </c>
      <c r="E4968" t="s">
        <v>58</v>
      </c>
    </row>
    <row r="4969" spans="1:5">
      <c r="A4969" t="s">
        <v>37</v>
      </c>
      <c r="B4969" s="11" t="s">
        <v>70</v>
      </c>
      <c r="C4969">
        <v>4026</v>
      </c>
      <c r="D4969" s="9">
        <v>51.72</v>
      </c>
      <c r="E4969" t="s">
        <v>59</v>
      </c>
    </row>
    <row r="4970" spans="1:5">
      <c r="A4970" t="s">
        <v>37</v>
      </c>
      <c r="B4970" s="11" t="s">
        <v>71</v>
      </c>
      <c r="C4970">
        <v>4026</v>
      </c>
      <c r="D4970" s="9">
        <v>97.88</v>
      </c>
      <c r="E4970" t="s">
        <v>59</v>
      </c>
    </row>
    <row r="4971" spans="1:5">
      <c r="A4971" t="s">
        <v>37</v>
      </c>
      <c r="B4971" s="11" t="s">
        <v>72</v>
      </c>
      <c r="C4971">
        <v>4026</v>
      </c>
      <c r="D4971" s="9">
        <v>59.17</v>
      </c>
      <c r="E4971" t="s">
        <v>59</v>
      </c>
    </row>
    <row r="4972" spans="1:5">
      <c r="A4972" t="s">
        <v>37</v>
      </c>
      <c r="B4972" s="11" t="s">
        <v>78</v>
      </c>
      <c r="C4972">
        <v>4026</v>
      </c>
      <c r="D4972" s="9">
        <v>44.75</v>
      </c>
      <c r="E4972" t="s">
        <v>59</v>
      </c>
    </row>
    <row r="4973" spans="1:5">
      <c r="A4973" t="s">
        <v>37</v>
      </c>
      <c r="B4973" s="11" t="s">
        <v>73</v>
      </c>
      <c r="C4973">
        <v>4026</v>
      </c>
      <c r="D4973" s="9">
        <v>71.709999999999994</v>
      </c>
      <c r="E4973" t="s">
        <v>60</v>
      </c>
    </row>
    <row r="4974" spans="1:5">
      <c r="A4974" t="s">
        <v>37</v>
      </c>
      <c r="B4974" s="11" t="s">
        <v>74</v>
      </c>
      <c r="C4974">
        <v>4026</v>
      </c>
      <c r="D4974" s="9">
        <v>43.43</v>
      </c>
      <c r="E4974" t="s">
        <v>60</v>
      </c>
    </row>
    <row r="4975" spans="1:5">
      <c r="A4975" t="s">
        <v>38</v>
      </c>
      <c r="B4975" s="11" t="s">
        <v>61</v>
      </c>
      <c r="C4975">
        <v>4026</v>
      </c>
      <c r="D4975" s="9">
        <v>49.19</v>
      </c>
      <c r="E4975" t="s">
        <v>56</v>
      </c>
    </row>
    <row r="4976" spans="1:5">
      <c r="A4976" t="s">
        <v>38</v>
      </c>
      <c r="B4976" s="11" t="s">
        <v>62</v>
      </c>
      <c r="C4976">
        <v>4026</v>
      </c>
      <c r="D4976" s="9">
        <v>30.41</v>
      </c>
      <c r="E4976" t="s">
        <v>56</v>
      </c>
    </row>
    <row r="4977" spans="1:5">
      <c r="A4977" t="s">
        <v>38</v>
      </c>
      <c r="B4977" s="11" t="s">
        <v>63</v>
      </c>
      <c r="C4977">
        <v>4026</v>
      </c>
      <c r="D4977" s="9">
        <v>44.64</v>
      </c>
      <c r="E4977" t="s">
        <v>56</v>
      </c>
    </row>
    <row r="4978" spans="1:5">
      <c r="A4978" t="s">
        <v>38</v>
      </c>
      <c r="B4978" s="11" t="s">
        <v>75</v>
      </c>
      <c r="C4978">
        <v>4026</v>
      </c>
      <c r="D4978" s="9">
        <v>65</v>
      </c>
      <c r="E4978" t="s">
        <v>56</v>
      </c>
    </row>
    <row r="4979" spans="1:5">
      <c r="A4979" t="s">
        <v>38</v>
      </c>
      <c r="B4979" s="11" t="s">
        <v>64</v>
      </c>
      <c r="C4979">
        <v>4026</v>
      </c>
      <c r="D4979" s="9">
        <v>67.05</v>
      </c>
      <c r="E4979" t="s">
        <v>57</v>
      </c>
    </row>
    <row r="4980" spans="1:5">
      <c r="A4980" t="s">
        <v>38</v>
      </c>
      <c r="B4980" s="11" t="s">
        <v>65</v>
      </c>
      <c r="C4980">
        <v>4026</v>
      </c>
      <c r="D4980" s="9">
        <v>49.08</v>
      </c>
      <c r="E4980" t="s">
        <v>57</v>
      </c>
    </row>
    <row r="4981" spans="1:5">
      <c r="A4981" t="s">
        <v>38</v>
      </c>
      <c r="B4981" s="11" t="s">
        <v>66</v>
      </c>
      <c r="C4981">
        <v>4026</v>
      </c>
      <c r="D4981" s="9">
        <v>69.52</v>
      </c>
      <c r="E4981" t="s">
        <v>57</v>
      </c>
    </row>
    <row r="4982" spans="1:5">
      <c r="A4982" t="s">
        <v>38</v>
      </c>
      <c r="B4982" s="11" t="s">
        <v>67</v>
      </c>
      <c r="C4982">
        <v>4026</v>
      </c>
      <c r="D4982" s="9">
        <v>43.56</v>
      </c>
      <c r="E4982" t="s">
        <v>57</v>
      </c>
    </row>
    <row r="4983" spans="1:5">
      <c r="A4983" t="s">
        <v>38</v>
      </c>
      <c r="B4983" s="11" t="s">
        <v>76</v>
      </c>
      <c r="C4983">
        <v>4026</v>
      </c>
      <c r="D4983" s="9">
        <v>30.53</v>
      </c>
      <c r="E4983" t="s">
        <v>57</v>
      </c>
    </row>
    <row r="4984" spans="1:5">
      <c r="A4984" t="s">
        <v>38</v>
      </c>
      <c r="B4984" s="11" t="s">
        <v>68</v>
      </c>
      <c r="C4984">
        <v>4026</v>
      </c>
      <c r="D4984" s="9">
        <v>25.52</v>
      </c>
      <c r="E4984" t="s">
        <v>58</v>
      </c>
    </row>
    <row r="4985" spans="1:5">
      <c r="A4985" t="s">
        <v>38</v>
      </c>
      <c r="B4985" s="11" t="s">
        <v>69</v>
      </c>
      <c r="C4985">
        <v>4026</v>
      </c>
      <c r="D4985" s="9">
        <v>37.07</v>
      </c>
      <c r="E4985" t="s">
        <v>58</v>
      </c>
    </row>
    <row r="4986" spans="1:5">
      <c r="A4986" t="s">
        <v>38</v>
      </c>
      <c r="B4986" s="11" t="s">
        <v>77</v>
      </c>
      <c r="C4986">
        <v>4026</v>
      </c>
      <c r="D4986" s="9">
        <v>48.72</v>
      </c>
      <c r="E4986" t="s">
        <v>58</v>
      </c>
    </row>
    <row r="4987" spans="1:5">
      <c r="A4987" t="s">
        <v>38</v>
      </c>
      <c r="B4987" s="11" t="s">
        <v>70</v>
      </c>
      <c r="C4987">
        <v>4026</v>
      </c>
      <c r="D4987" s="9">
        <v>48.72</v>
      </c>
      <c r="E4987" t="s">
        <v>59</v>
      </c>
    </row>
    <row r="4988" spans="1:5">
      <c r="A4988" t="s">
        <v>38</v>
      </c>
      <c r="B4988" s="11" t="s">
        <v>71</v>
      </c>
      <c r="C4988">
        <v>4026</v>
      </c>
      <c r="D4988" s="9">
        <v>56.12</v>
      </c>
      <c r="E4988" t="s">
        <v>59</v>
      </c>
    </row>
    <row r="4989" spans="1:5">
      <c r="A4989" t="s">
        <v>38</v>
      </c>
      <c r="B4989" s="11" t="s">
        <v>72</v>
      </c>
      <c r="C4989">
        <v>4026</v>
      </c>
      <c r="D4989" s="9">
        <v>63.19</v>
      </c>
      <c r="E4989" t="s">
        <v>59</v>
      </c>
    </row>
    <row r="4990" spans="1:5">
      <c r="A4990" t="s">
        <v>38</v>
      </c>
      <c r="B4990" s="11" t="s">
        <v>78</v>
      </c>
      <c r="C4990">
        <v>4026</v>
      </c>
      <c r="D4990" s="9">
        <v>36.729999999999997</v>
      </c>
      <c r="E4990" t="s">
        <v>59</v>
      </c>
    </row>
    <row r="4991" spans="1:5">
      <c r="A4991" t="s">
        <v>38</v>
      </c>
      <c r="B4991" s="11" t="s">
        <v>73</v>
      </c>
      <c r="C4991">
        <v>4026</v>
      </c>
      <c r="D4991" s="9">
        <v>84.59</v>
      </c>
      <c r="E4991" t="s">
        <v>60</v>
      </c>
    </row>
    <row r="4992" spans="1:5">
      <c r="A4992" t="s">
        <v>38</v>
      </c>
      <c r="B4992" s="11" t="s">
        <v>74</v>
      </c>
      <c r="C4992">
        <v>4026</v>
      </c>
      <c r="D4992" s="9">
        <v>47.21</v>
      </c>
      <c r="E4992" t="s">
        <v>60</v>
      </c>
    </row>
    <row r="4993" spans="1:5">
      <c r="A4993" t="s">
        <v>39</v>
      </c>
      <c r="B4993" s="11" t="s">
        <v>61</v>
      </c>
      <c r="C4993">
        <v>4026</v>
      </c>
      <c r="D4993" s="9">
        <v>36.119999999999997</v>
      </c>
      <c r="E4993" t="s">
        <v>56</v>
      </c>
    </row>
    <row r="4994" spans="1:5">
      <c r="A4994" t="s">
        <v>39</v>
      </c>
      <c r="B4994" s="11" t="s">
        <v>62</v>
      </c>
      <c r="C4994">
        <v>4026</v>
      </c>
      <c r="D4994" s="9">
        <v>22.8</v>
      </c>
      <c r="E4994" t="s">
        <v>56</v>
      </c>
    </row>
    <row r="4995" spans="1:5">
      <c r="A4995" t="s">
        <v>39</v>
      </c>
      <c r="B4995" s="11" t="s">
        <v>63</v>
      </c>
      <c r="C4995">
        <v>4026</v>
      </c>
      <c r="D4995" s="9">
        <v>45.31</v>
      </c>
      <c r="E4995" t="s">
        <v>56</v>
      </c>
    </row>
    <row r="4996" spans="1:5">
      <c r="A4996" t="s">
        <v>39</v>
      </c>
      <c r="B4996" s="11" t="s">
        <v>75</v>
      </c>
      <c r="C4996">
        <v>4026</v>
      </c>
      <c r="D4996" s="9">
        <v>44.93</v>
      </c>
      <c r="E4996" t="s">
        <v>56</v>
      </c>
    </row>
    <row r="4997" spans="1:5">
      <c r="A4997" t="s">
        <v>39</v>
      </c>
      <c r="B4997" s="11" t="s">
        <v>64</v>
      </c>
      <c r="C4997">
        <v>4026</v>
      </c>
      <c r="D4997" s="9">
        <v>49.36</v>
      </c>
      <c r="E4997" t="s">
        <v>57</v>
      </c>
    </row>
    <row r="4998" spans="1:5">
      <c r="A4998" t="s">
        <v>39</v>
      </c>
      <c r="B4998" s="11" t="s">
        <v>65</v>
      </c>
      <c r="C4998">
        <v>4026</v>
      </c>
      <c r="D4998" s="9">
        <v>41.08</v>
      </c>
      <c r="E4998" t="s">
        <v>57</v>
      </c>
    </row>
    <row r="4999" spans="1:5">
      <c r="A4999" t="s">
        <v>39</v>
      </c>
      <c r="B4999" s="11" t="s">
        <v>66</v>
      </c>
      <c r="C4999">
        <v>4026</v>
      </c>
      <c r="D4999" s="9">
        <v>81.73</v>
      </c>
      <c r="E4999" t="s">
        <v>57</v>
      </c>
    </row>
    <row r="5000" spans="1:5">
      <c r="A5000" t="s">
        <v>39</v>
      </c>
      <c r="B5000" s="11" t="s">
        <v>67</v>
      </c>
      <c r="C5000">
        <v>4026</v>
      </c>
      <c r="D5000" s="9">
        <v>24.45</v>
      </c>
      <c r="E5000" t="s">
        <v>57</v>
      </c>
    </row>
    <row r="5001" spans="1:5">
      <c r="A5001" t="s">
        <v>39</v>
      </c>
      <c r="B5001" s="11" t="s">
        <v>76</v>
      </c>
      <c r="C5001">
        <v>4026</v>
      </c>
      <c r="D5001" s="9">
        <v>30.24</v>
      </c>
      <c r="E5001" t="s">
        <v>57</v>
      </c>
    </row>
    <row r="5002" spans="1:5">
      <c r="A5002" t="s">
        <v>39</v>
      </c>
      <c r="B5002" s="11" t="s">
        <v>68</v>
      </c>
      <c r="C5002">
        <v>4026</v>
      </c>
      <c r="D5002" s="9">
        <v>62.56</v>
      </c>
      <c r="E5002" t="s">
        <v>58</v>
      </c>
    </row>
    <row r="5003" spans="1:5">
      <c r="A5003" t="s">
        <v>39</v>
      </c>
      <c r="B5003" s="11" t="s">
        <v>69</v>
      </c>
      <c r="C5003">
        <v>4026</v>
      </c>
      <c r="D5003" s="9">
        <v>32.33</v>
      </c>
      <c r="E5003" t="s">
        <v>58</v>
      </c>
    </row>
    <row r="5004" spans="1:5">
      <c r="A5004" t="s">
        <v>39</v>
      </c>
      <c r="B5004" s="11" t="s">
        <v>77</v>
      </c>
      <c r="C5004">
        <v>4026</v>
      </c>
      <c r="D5004" s="9">
        <v>77.41</v>
      </c>
      <c r="E5004" t="s">
        <v>58</v>
      </c>
    </row>
    <row r="5005" spans="1:5">
      <c r="A5005" t="s">
        <v>39</v>
      </c>
      <c r="B5005" s="11" t="s">
        <v>70</v>
      </c>
      <c r="C5005">
        <v>4026</v>
      </c>
      <c r="D5005" s="9">
        <v>46.97</v>
      </c>
      <c r="E5005" t="s">
        <v>59</v>
      </c>
    </row>
    <row r="5006" spans="1:5">
      <c r="A5006" t="s">
        <v>39</v>
      </c>
      <c r="B5006" s="11" t="s">
        <v>71</v>
      </c>
      <c r="C5006">
        <v>4026</v>
      </c>
      <c r="D5006" s="9">
        <v>49.53</v>
      </c>
      <c r="E5006" t="s">
        <v>59</v>
      </c>
    </row>
    <row r="5007" spans="1:5">
      <c r="A5007" t="s">
        <v>39</v>
      </c>
      <c r="B5007" s="11" t="s">
        <v>72</v>
      </c>
      <c r="C5007">
        <v>4026</v>
      </c>
      <c r="D5007" s="9">
        <v>77.41</v>
      </c>
      <c r="E5007" t="s">
        <v>59</v>
      </c>
    </row>
    <row r="5008" spans="1:5">
      <c r="A5008" t="s">
        <v>39</v>
      </c>
      <c r="B5008" s="11" t="s">
        <v>78</v>
      </c>
      <c r="C5008">
        <v>4026</v>
      </c>
      <c r="D5008" s="9">
        <v>42.67</v>
      </c>
      <c r="E5008" t="s">
        <v>59</v>
      </c>
    </row>
    <row r="5009" spans="1:5">
      <c r="A5009" t="s">
        <v>39</v>
      </c>
      <c r="B5009" s="11" t="s">
        <v>73</v>
      </c>
      <c r="C5009">
        <v>4026</v>
      </c>
      <c r="D5009" s="9">
        <v>51.87</v>
      </c>
      <c r="E5009" t="s">
        <v>60</v>
      </c>
    </row>
    <row r="5010" spans="1:5">
      <c r="A5010" t="s">
        <v>39</v>
      </c>
      <c r="B5010" s="11" t="s">
        <v>74</v>
      </c>
      <c r="C5010">
        <v>4026</v>
      </c>
      <c r="D5010" s="9">
        <v>42.53</v>
      </c>
      <c r="E5010" t="s">
        <v>60</v>
      </c>
    </row>
    <row r="5011" spans="1:5">
      <c r="A5011" t="s">
        <v>28</v>
      </c>
      <c r="B5011" s="11" t="s">
        <v>63</v>
      </c>
      <c r="C5011">
        <v>4013</v>
      </c>
      <c r="D5011" s="9">
        <v>1684.31</v>
      </c>
      <c r="E5011" t="s">
        <v>56</v>
      </c>
    </row>
    <row r="5012" spans="1:5">
      <c r="A5012" t="s">
        <v>28</v>
      </c>
      <c r="B5012" s="11" t="s">
        <v>75</v>
      </c>
      <c r="C5012">
        <v>4013</v>
      </c>
      <c r="D5012" s="9">
        <v>643.13</v>
      </c>
      <c r="E5012" t="s">
        <v>56</v>
      </c>
    </row>
    <row r="5013" spans="1:5">
      <c r="A5013" t="s">
        <v>28</v>
      </c>
      <c r="B5013" s="11" t="s">
        <v>64</v>
      </c>
      <c r="C5013">
        <v>4013</v>
      </c>
      <c r="D5013" s="9">
        <v>139.86000000000001</v>
      </c>
      <c r="E5013" t="s">
        <v>57</v>
      </c>
    </row>
    <row r="5014" spans="1:5">
      <c r="A5014" t="s">
        <v>28</v>
      </c>
      <c r="B5014" s="11" t="s">
        <v>65</v>
      </c>
      <c r="C5014">
        <v>4013</v>
      </c>
      <c r="D5014" s="9">
        <v>179.67</v>
      </c>
      <c r="E5014" t="s">
        <v>57</v>
      </c>
    </row>
    <row r="5015" spans="1:5">
      <c r="A5015" t="s">
        <v>28</v>
      </c>
      <c r="B5015" s="11" t="s">
        <v>66</v>
      </c>
      <c r="C5015">
        <v>4013</v>
      </c>
      <c r="D5015" s="9">
        <v>433.7</v>
      </c>
      <c r="E5015" t="s">
        <v>57</v>
      </c>
    </row>
    <row r="5016" spans="1:5">
      <c r="A5016" t="s">
        <v>28</v>
      </c>
      <c r="B5016" s="11" t="s">
        <v>67</v>
      </c>
      <c r="C5016">
        <v>4013</v>
      </c>
      <c r="D5016" s="9">
        <v>346.27</v>
      </c>
      <c r="E5016" t="s">
        <v>57</v>
      </c>
    </row>
    <row r="5017" spans="1:5">
      <c r="A5017" t="s">
        <v>28</v>
      </c>
      <c r="B5017" s="11" t="s">
        <v>77</v>
      </c>
      <c r="C5017">
        <v>4013</v>
      </c>
      <c r="D5017" s="9">
        <v>273.61</v>
      </c>
      <c r="E5017" t="s">
        <v>58</v>
      </c>
    </row>
    <row r="5018" spans="1:5">
      <c r="A5018" t="s">
        <v>28</v>
      </c>
      <c r="B5018" s="11" t="s">
        <v>70</v>
      </c>
      <c r="C5018">
        <v>4013</v>
      </c>
      <c r="D5018" s="9">
        <v>1437.68</v>
      </c>
      <c r="E5018" t="s">
        <v>59</v>
      </c>
    </row>
    <row r="5019" spans="1:5">
      <c r="A5019" t="s">
        <v>28</v>
      </c>
      <c r="B5019" s="11" t="s">
        <v>71</v>
      </c>
      <c r="C5019">
        <v>4013</v>
      </c>
      <c r="D5019" s="9">
        <v>1340.22</v>
      </c>
      <c r="E5019" t="s">
        <v>59</v>
      </c>
    </row>
    <row r="5020" spans="1:5">
      <c r="A5020" t="s">
        <v>28</v>
      </c>
      <c r="B5020" s="11" t="s">
        <v>72</v>
      </c>
      <c r="C5020">
        <v>4013</v>
      </c>
      <c r="D5020" s="9">
        <v>1744.7</v>
      </c>
      <c r="E5020" t="s">
        <v>59</v>
      </c>
    </row>
    <row r="5021" spans="1:5">
      <c r="A5021" t="s">
        <v>28</v>
      </c>
      <c r="B5021" s="11" t="s">
        <v>78</v>
      </c>
      <c r="C5021">
        <v>4013</v>
      </c>
      <c r="D5021" s="9">
        <v>361.52</v>
      </c>
      <c r="E5021" t="s">
        <v>59</v>
      </c>
    </row>
    <row r="5022" spans="1:5">
      <c r="A5022" t="s">
        <v>28</v>
      </c>
      <c r="B5022" s="11" t="s">
        <v>73</v>
      </c>
      <c r="C5022">
        <v>4013</v>
      </c>
      <c r="D5022" s="9">
        <v>261.88</v>
      </c>
      <c r="E5022" t="s">
        <v>60</v>
      </c>
    </row>
    <row r="5023" spans="1:5">
      <c r="A5023" t="s">
        <v>28</v>
      </c>
      <c r="B5023" s="11" t="s">
        <v>74</v>
      </c>
      <c r="C5023">
        <v>4013</v>
      </c>
      <c r="D5023" s="9">
        <v>563.57000000000005</v>
      </c>
      <c r="E5023" t="s">
        <v>60</v>
      </c>
    </row>
    <row r="5024" spans="1:5">
      <c r="A5024" t="s">
        <v>29</v>
      </c>
      <c r="B5024" s="11" t="s">
        <v>63</v>
      </c>
      <c r="C5024">
        <v>4013</v>
      </c>
      <c r="D5024" s="9">
        <v>1538.83</v>
      </c>
      <c r="E5024" t="s">
        <v>56</v>
      </c>
    </row>
    <row r="5025" spans="1:5">
      <c r="A5025" t="s">
        <v>29</v>
      </c>
      <c r="B5025" s="11" t="s">
        <v>75</v>
      </c>
      <c r="C5025">
        <v>4013</v>
      </c>
      <c r="D5025" s="9">
        <v>588.84</v>
      </c>
      <c r="E5025" t="s">
        <v>56</v>
      </c>
    </row>
    <row r="5026" spans="1:5">
      <c r="A5026" t="s">
        <v>29</v>
      </c>
      <c r="B5026" s="11" t="s">
        <v>64</v>
      </c>
      <c r="C5026">
        <v>4013</v>
      </c>
      <c r="D5026" s="9">
        <v>121.43</v>
      </c>
      <c r="E5026" t="s">
        <v>57</v>
      </c>
    </row>
    <row r="5027" spans="1:5">
      <c r="A5027" t="s">
        <v>29</v>
      </c>
      <c r="B5027" s="11" t="s">
        <v>65</v>
      </c>
      <c r="C5027">
        <v>4013</v>
      </c>
      <c r="D5027" s="9">
        <v>185.78</v>
      </c>
      <c r="E5027" t="s">
        <v>57</v>
      </c>
    </row>
    <row r="5028" spans="1:5">
      <c r="A5028" t="s">
        <v>29</v>
      </c>
      <c r="B5028" s="11" t="s">
        <v>66</v>
      </c>
      <c r="C5028">
        <v>4013</v>
      </c>
      <c r="D5028" s="9">
        <v>413.8</v>
      </c>
      <c r="E5028" t="s">
        <v>57</v>
      </c>
    </row>
    <row r="5029" spans="1:5">
      <c r="A5029" t="s">
        <v>29</v>
      </c>
      <c r="B5029" s="11" t="s">
        <v>67</v>
      </c>
      <c r="C5029">
        <v>4013</v>
      </c>
      <c r="D5029" s="9">
        <v>320.20999999999998</v>
      </c>
      <c r="E5029" t="s">
        <v>57</v>
      </c>
    </row>
    <row r="5030" spans="1:5">
      <c r="A5030" t="s">
        <v>29</v>
      </c>
      <c r="B5030" s="11" t="s">
        <v>77</v>
      </c>
      <c r="C5030">
        <v>4013</v>
      </c>
      <c r="D5030" s="9">
        <v>275</v>
      </c>
      <c r="E5030" t="s">
        <v>58</v>
      </c>
    </row>
    <row r="5031" spans="1:5">
      <c r="A5031" t="s">
        <v>29</v>
      </c>
      <c r="B5031" s="11" t="s">
        <v>70</v>
      </c>
      <c r="C5031">
        <v>4013</v>
      </c>
      <c r="D5031" s="9">
        <v>1337.86</v>
      </c>
      <c r="E5031" t="s">
        <v>59</v>
      </c>
    </row>
    <row r="5032" spans="1:5">
      <c r="A5032" t="s">
        <v>29</v>
      </c>
      <c r="B5032" s="11" t="s">
        <v>71</v>
      </c>
      <c r="C5032">
        <v>4013</v>
      </c>
      <c r="D5032" s="9">
        <v>1165.82</v>
      </c>
      <c r="E5032" t="s">
        <v>59</v>
      </c>
    </row>
    <row r="5033" spans="1:5">
      <c r="A5033" t="s">
        <v>29</v>
      </c>
      <c r="B5033" s="11" t="s">
        <v>72</v>
      </c>
      <c r="C5033">
        <v>4013</v>
      </c>
      <c r="D5033" s="9">
        <v>1627.24</v>
      </c>
      <c r="E5033" t="s">
        <v>59</v>
      </c>
    </row>
    <row r="5034" spans="1:5">
      <c r="A5034" t="s">
        <v>29</v>
      </c>
      <c r="B5034" s="11" t="s">
        <v>78</v>
      </c>
      <c r="C5034">
        <v>4013</v>
      </c>
      <c r="D5034" s="9">
        <v>362.11</v>
      </c>
      <c r="E5034" t="s">
        <v>59</v>
      </c>
    </row>
    <row r="5035" spans="1:5">
      <c r="A5035" t="s">
        <v>29</v>
      </c>
      <c r="B5035" s="11" t="s">
        <v>73</v>
      </c>
      <c r="C5035">
        <v>4013</v>
      </c>
      <c r="D5035" s="9">
        <v>260.38</v>
      </c>
      <c r="E5035" t="s">
        <v>60</v>
      </c>
    </row>
    <row r="5036" spans="1:5">
      <c r="A5036" t="s">
        <v>29</v>
      </c>
      <c r="B5036" s="11" t="s">
        <v>74</v>
      </c>
      <c r="C5036">
        <v>4013</v>
      </c>
      <c r="D5036" s="9">
        <v>526.73</v>
      </c>
      <c r="E5036" t="s">
        <v>60</v>
      </c>
    </row>
    <row r="5037" spans="1:5">
      <c r="A5037" t="s">
        <v>30</v>
      </c>
      <c r="B5037" s="11" t="s">
        <v>63</v>
      </c>
      <c r="C5037">
        <v>4013</v>
      </c>
      <c r="D5037" s="9">
        <v>1618.75</v>
      </c>
      <c r="E5037" t="s">
        <v>56</v>
      </c>
    </row>
    <row r="5038" spans="1:5">
      <c r="A5038" t="s">
        <v>30</v>
      </c>
      <c r="B5038" s="11" t="s">
        <v>75</v>
      </c>
      <c r="C5038">
        <v>4013</v>
      </c>
      <c r="D5038" s="9">
        <v>689.83</v>
      </c>
      <c r="E5038" t="s">
        <v>56</v>
      </c>
    </row>
    <row r="5039" spans="1:5">
      <c r="A5039" t="s">
        <v>30</v>
      </c>
      <c r="B5039" s="11" t="s">
        <v>64</v>
      </c>
      <c r="C5039">
        <v>4013</v>
      </c>
      <c r="D5039" s="9">
        <v>137.13</v>
      </c>
      <c r="E5039" t="s">
        <v>57</v>
      </c>
    </row>
    <row r="5040" spans="1:5">
      <c r="A5040" t="s">
        <v>30</v>
      </c>
      <c r="B5040" s="11" t="s">
        <v>65</v>
      </c>
      <c r="C5040">
        <v>4013</v>
      </c>
      <c r="D5040" s="9">
        <v>223.71</v>
      </c>
      <c r="E5040" t="s">
        <v>57</v>
      </c>
    </row>
    <row r="5041" spans="1:5">
      <c r="A5041" t="s">
        <v>30</v>
      </c>
      <c r="B5041" s="11" t="s">
        <v>66</v>
      </c>
      <c r="C5041">
        <v>4013</v>
      </c>
      <c r="D5041" s="9">
        <v>485.19</v>
      </c>
      <c r="E5041" t="s">
        <v>57</v>
      </c>
    </row>
    <row r="5042" spans="1:5">
      <c r="A5042" t="s">
        <v>30</v>
      </c>
      <c r="B5042" s="11" t="s">
        <v>67</v>
      </c>
      <c r="C5042">
        <v>4013</v>
      </c>
      <c r="D5042" s="9">
        <v>387.31</v>
      </c>
      <c r="E5042" t="s">
        <v>57</v>
      </c>
    </row>
    <row r="5043" spans="1:5">
      <c r="A5043" t="s">
        <v>30</v>
      </c>
      <c r="B5043" s="11" t="s">
        <v>77</v>
      </c>
      <c r="C5043">
        <v>4013</v>
      </c>
      <c r="D5043" s="9">
        <v>324</v>
      </c>
      <c r="E5043" t="s">
        <v>58</v>
      </c>
    </row>
    <row r="5044" spans="1:5">
      <c r="A5044" t="s">
        <v>30</v>
      </c>
      <c r="B5044" s="11" t="s">
        <v>70</v>
      </c>
      <c r="C5044">
        <v>4013</v>
      </c>
      <c r="D5044" s="9">
        <v>1457.22</v>
      </c>
      <c r="E5044" t="s">
        <v>59</v>
      </c>
    </row>
    <row r="5045" spans="1:5">
      <c r="A5045" t="s">
        <v>30</v>
      </c>
      <c r="B5045" s="11" t="s">
        <v>71</v>
      </c>
      <c r="C5045">
        <v>4013</v>
      </c>
      <c r="D5045" s="9">
        <v>1381.88</v>
      </c>
      <c r="E5045" t="s">
        <v>59</v>
      </c>
    </row>
    <row r="5046" spans="1:5">
      <c r="A5046" t="s">
        <v>30</v>
      </c>
      <c r="B5046" s="11" t="s">
        <v>72</v>
      </c>
      <c r="C5046">
        <v>4013</v>
      </c>
      <c r="D5046" s="9">
        <v>2036.66</v>
      </c>
      <c r="E5046" t="s">
        <v>59</v>
      </c>
    </row>
    <row r="5047" spans="1:5">
      <c r="A5047" t="s">
        <v>30</v>
      </c>
      <c r="B5047" s="11" t="s">
        <v>78</v>
      </c>
      <c r="C5047">
        <v>4013</v>
      </c>
      <c r="D5047" s="9">
        <v>360.47</v>
      </c>
      <c r="E5047" t="s">
        <v>59</v>
      </c>
    </row>
    <row r="5048" spans="1:5">
      <c r="A5048" t="s">
        <v>30</v>
      </c>
      <c r="B5048" s="11" t="s">
        <v>73</v>
      </c>
      <c r="C5048">
        <v>4013</v>
      </c>
      <c r="D5048" s="9">
        <v>306.70999999999998</v>
      </c>
      <c r="E5048" t="s">
        <v>60</v>
      </c>
    </row>
    <row r="5049" spans="1:5">
      <c r="A5049" t="s">
        <v>30</v>
      </c>
      <c r="B5049" s="11" t="s">
        <v>74</v>
      </c>
      <c r="C5049">
        <v>4013</v>
      </c>
      <c r="D5049" s="9">
        <v>686.93</v>
      </c>
      <c r="E5049" t="s">
        <v>60</v>
      </c>
    </row>
    <row r="5050" spans="1:5">
      <c r="A5050" t="s">
        <v>31</v>
      </c>
      <c r="B5050" s="11" t="s">
        <v>63</v>
      </c>
      <c r="C5050">
        <v>4013</v>
      </c>
      <c r="D5050" s="9">
        <v>1650.04</v>
      </c>
      <c r="E5050" t="s">
        <v>56</v>
      </c>
    </row>
    <row r="5051" spans="1:5">
      <c r="A5051" t="s">
        <v>31</v>
      </c>
      <c r="B5051" s="11" t="s">
        <v>75</v>
      </c>
      <c r="C5051">
        <v>4013</v>
      </c>
      <c r="D5051" s="9">
        <v>689.17</v>
      </c>
      <c r="E5051" t="s">
        <v>56</v>
      </c>
    </row>
    <row r="5052" spans="1:5">
      <c r="A5052" t="s">
        <v>31</v>
      </c>
      <c r="B5052" s="11" t="s">
        <v>64</v>
      </c>
      <c r="C5052">
        <v>4013</v>
      </c>
      <c r="D5052" s="9">
        <v>133.43</v>
      </c>
      <c r="E5052" t="s">
        <v>57</v>
      </c>
    </row>
    <row r="5053" spans="1:5">
      <c r="A5053" t="s">
        <v>31</v>
      </c>
      <c r="B5053" s="11" t="s">
        <v>65</v>
      </c>
      <c r="C5053">
        <v>4013</v>
      </c>
      <c r="D5053" s="9">
        <v>214.41</v>
      </c>
      <c r="E5053" t="s">
        <v>57</v>
      </c>
    </row>
    <row r="5054" spans="1:5">
      <c r="A5054" t="s">
        <v>31</v>
      </c>
      <c r="B5054" s="11" t="s">
        <v>66</v>
      </c>
      <c r="C5054">
        <v>4013</v>
      </c>
      <c r="D5054" s="9">
        <v>453.09</v>
      </c>
      <c r="E5054" t="s">
        <v>57</v>
      </c>
    </row>
    <row r="5055" spans="1:5">
      <c r="A5055" t="s">
        <v>31</v>
      </c>
      <c r="B5055" s="11" t="s">
        <v>67</v>
      </c>
      <c r="C5055">
        <v>4013</v>
      </c>
      <c r="D5055" s="9">
        <v>352.38</v>
      </c>
      <c r="E5055" t="s">
        <v>57</v>
      </c>
    </row>
    <row r="5056" spans="1:5">
      <c r="A5056" t="s">
        <v>31</v>
      </c>
      <c r="B5056" s="11" t="s">
        <v>77</v>
      </c>
      <c r="C5056">
        <v>4013</v>
      </c>
      <c r="D5056" s="9">
        <v>300.81</v>
      </c>
      <c r="E5056" t="s">
        <v>58</v>
      </c>
    </row>
    <row r="5057" spans="1:5">
      <c r="A5057" t="s">
        <v>31</v>
      </c>
      <c r="B5057" s="11" t="s">
        <v>70</v>
      </c>
      <c r="C5057">
        <v>4013</v>
      </c>
      <c r="D5057" s="9">
        <v>1370.72</v>
      </c>
      <c r="E5057" t="s">
        <v>59</v>
      </c>
    </row>
    <row r="5058" spans="1:5">
      <c r="A5058" t="s">
        <v>31</v>
      </c>
      <c r="B5058" s="11" t="s">
        <v>71</v>
      </c>
      <c r="C5058">
        <v>4013</v>
      </c>
      <c r="D5058" s="9">
        <v>1410.17</v>
      </c>
      <c r="E5058" t="s">
        <v>59</v>
      </c>
    </row>
    <row r="5059" spans="1:5">
      <c r="A5059" t="s">
        <v>31</v>
      </c>
      <c r="B5059" s="11" t="s">
        <v>72</v>
      </c>
      <c r="C5059">
        <v>4013</v>
      </c>
      <c r="D5059" s="9">
        <v>1879.42</v>
      </c>
      <c r="E5059" t="s">
        <v>59</v>
      </c>
    </row>
    <row r="5060" spans="1:5">
      <c r="A5060" t="s">
        <v>31</v>
      </c>
      <c r="B5060" s="11" t="s">
        <v>78</v>
      </c>
      <c r="C5060">
        <v>4013</v>
      </c>
      <c r="D5060" s="9">
        <v>383.44</v>
      </c>
      <c r="E5060" t="s">
        <v>59</v>
      </c>
    </row>
    <row r="5061" spans="1:5">
      <c r="A5061" t="s">
        <v>31</v>
      </c>
      <c r="B5061" s="11" t="s">
        <v>73</v>
      </c>
      <c r="C5061">
        <v>4013</v>
      </c>
      <c r="D5061" s="9">
        <v>286.14</v>
      </c>
      <c r="E5061" t="s">
        <v>60</v>
      </c>
    </row>
    <row r="5062" spans="1:5">
      <c r="A5062" t="s">
        <v>31</v>
      </c>
      <c r="B5062" s="11" t="s">
        <v>74</v>
      </c>
      <c r="C5062">
        <v>4013</v>
      </c>
      <c r="D5062" s="9">
        <v>556.38</v>
      </c>
      <c r="E5062" t="s">
        <v>60</v>
      </c>
    </row>
    <row r="5063" spans="1:5">
      <c r="A5063" t="s">
        <v>32</v>
      </c>
      <c r="B5063" s="11" t="s">
        <v>63</v>
      </c>
      <c r="C5063">
        <v>4013</v>
      </c>
      <c r="D5063" s="9">
        <v>1622.58</v>
      </c>
      <c r="E5063" t="s">
        <v>56</v>
      </c>
    </row>
    <row r="5064" spans="1:5">
      <c r="A5064" t="s">
        <v>32</v>
      </c>
      <c r="B5064" s="11" t="s">
        <v>75</v>
      </c>
      <c r="C5064">
        <v>4013</v>
      </c>
      <c r="D5064" s="9">
        <v>591.11</v>
      </c>
      <c r="E5064" t="s">
        <v>56</v>
      </c>
    </row>
    <row r="5065" spans="1:5">
      <c r="A5065" t="s">
        <v>32</v>
      </c>
      <c r="B5065" s="11" t="s">
        <v>64</v>
      </c>
      <c r="C5065">
        <v>4013</v>
      </c>
      <c r="D5065" s="9">
        <v>120.2</v>
      </c>
      <c r="E5065" t="s">
        <v>57</v>
      </c>
    </row>
    <row r="5066" spans="1:5">
      <c r="A5066" t="s">
        <v>32</v>
      </c>
      <c r="B5066" s="11" t="s">
        <v>65</v>
      </c>
      <c r="C5066">
        <v>4013</v>
      </c>
      <c r="D5066" s="9">
        <v>200.12</v>
      </c>
      <c r="E5066" t="s">
        <v>57</v>
      </c>
    </row>
    <row r="5067" spans="1:5">
      <c r="A5067" t="s">
        <v>32</v>
      </c>
      <c r="B5067" s="11" t="s">
        <v>66</v>
      </c>
      <c r="C5067">
        <v>4013</v>
      </c>
      <c r="D5067" s="9">
        <v>396.81</v>
      </c>
      <c r="E5067" t="s">
        <v>57</v>
      </c>
    </row>
    <row r="5068" spans="1:5">
      <c r="A5068" t="s">
        <v>32</v>
      </c>
      <c r="B5068" s="11" t="s">
        <v>67</v>
      </c>
      <c r="C5068">
        <v>4013</v>
      </c>
      <c r="D5068" s="9">
        <v>319.93</v>
      </c>
      <c r="E5068" t="s">
        <v>57</v>
      </c>
    </row>
    <row r="5069" spans="1:5">
      <c r="A5069" t="s">
        <v>32</v>
      </c>
      <c r="B5069" s="11" t="s">
        <v>77</v>
      </c>
      <c r="C5069">
        <v>4013</v>
      </c>
      <c r="D5069" s="9">
        <v>277.11</v>
      </c>
      <c r="E5069" t="s">
        <v>58</v>
      </c>
    </row>
    <row r="5070" spans="1:5">
      <c r="A5070" t="s">
        <v>32</v>
      </c>
      <c r="B5070" s="11" t="s">
        <v>70</v>
      </c>
      <c r="C5070">
        <v>4013</v>
      </c>
      <c r="D5070" s="9">
        <v>1354.48</v>
      </c>
      <c r="E5070" t="s">
        <v>59</v>
      </c>
    </row>
    <row r="5071" spans="1:5">
      <c r="A5071" t="s">
        <v>32</v>
      </c>
      <c r="B5071" s="11" t="s">
        <v>71</v>
      </c>
      <c r="C5071">
        <v>4013</v>
      </c>
      <c r="D5071" s="9">
        <v>1317.94</v>
      </c>
      <c r="E5071" t="s">
        <v>59</v>
      </c>
    </row>
    <row r="5072" spans="1:5">
      <c r="A5072" t="s">
        <v>32</v>
      </c>
      <c r="B5072" s="11" t="s">
        <v>72</v>
      </c>
      <c r="C5072">
        <v>4013</v>
      </c>
      <c r="D5072" s="9">
        <v>1536.69</v>
      </c>
      <c r="E5072" t="s">
        <v>59</v>
      </c>
    </row>
    <row r="5073" spans="1:5">
      <c r="A5073" t="s">
        <v>32</v>
      </c>
      <c r="B5073" s="11" t="s">
        <v>78</v>
      </c>
      <c r="C5073">
        <v>4013</v>
      </c>
      <c r="D5073" s="9">
        <v>341.52</v>
      </c>
      <c r="E5073" t="s">
        <v>59</v>
      </c>
    </row>
    <row r="5074" spans="1:5">
      <c r="A5074" t="s">
        <v>32</v>
      </c>
      <c r="B5074" s="11" t="s">
        <v>73</v>
      </c>
      <c r="C5074">
        <v>4013</v>
      </c>
      <c r="D5074" s="9">
        <v>244.51</v>
      </c>
      <c r="E5074" t="s">
        <v>60</v>
      </c>
    </row>
    <row r="5075" spans="1:5">
      <c r="A5075" t="s">
        <v>32</v>
      </c>
      <c r="B5075" s="11" t="s">
        <v>74</v>
      </c>
      <c r="C5075">
        <v>4013</v>
      </c>
      <c r="D5075" s="9">
        <v>509.67</v>
      </c>
      <c r="E5075" t="s">
        <v>60</v>
      </c>
    </row>
    <row r="5076" spans="1:5">
      <c r="A5076" t="s">
        <v>33</v>
      </c>
      <c r="B5076" s="11" t="s">
        <v>63</v>
      </c>
      <c r="C5076">
        <v>4013</v>
      </c>
      <c r="D5076" s="9">
        <v>1665.47</v>
      </c>
      <c r="E5076" t="s">
        <v>56</v>
      </c>
    </row>
    <row r="5077" spans="1:5">
      <c r="A5077" t="s">
        <v>33</v>
      </c>
      <c r="B5077" s="11" t="s">
        <v>75</v>
      </c>
      <c r="C5077">
        <v>4013</v>
      </c>
      <c r="D5077" s="9">
        <v>590.69000000000005</v>
      </c>
      <c r="E5077" t="s">
        <v>56</v>
      </c>
    </row>
    <row r="5078" spans="1:5">
      <c r="A5078" t="s">
        <v>33</v>
      </c>
      <c r="B5078" s="11" t="s">
        <v>64</v>
      </c>
      <c r="C5078">
        <v>4013</v>
      </c>
      <c r="D5078" s="9">
        <v>113.27</v>
      </c>
      <c r="E5078" t="s">
        <v>57</v>
      </c>
    </row>
    <row r="5079" spans="1:5">
      <c r="A5079" t="s">
        <v>33</v>
      </c>
      <c r="B5079" s="11" t="s">
        <v>65</v>
      </c>
      <c r="C5079">
        <v>4013</v>
      </c>
      <c r="D5079" s="9">
        <v>205.9</v>
      </c>
      <c r="E5079" t="s">
        <v>57</v>
      </c>
    </row>
    <row r="5080" spans="1:5">
      <c r="A5080" t="s">
        <v>33</v>
      </c>
      <c r="B5080" s="11" t="s">
        <v>66</v>
      </c>
      <c r="C5080">
        <v>4013</v>
      </c>
      <c r="D5080" s="9">
        <v>421.79</v>
      </c>
      <c r="E5080" t="s">
        <v>57</v>
      </c>
    </row>
    <row r="5081" spans="1:5">
      <c r="A5081" t="s">
        <v>33</v>
      </c>
      <c r="B5081" s="11" t="s">
        <v>67</v>
      </c>
      <c r="C5081">
        <v>4013</v>
      </c>
      <c r="D5081" s="9">
        <v>317.77999999999997</v>
      </c>
      <c r="E5081" t="s">
        <v>57</v>
      </c>
    </row>
    <row r="5082" spans="1:5">
      <c r="A5082" t="s">
        <v>33</v>
      </c>
      <c r="B5082" s="11" t="s">
        <v>77</v>
      </c>
      <c r="C5082">
        <v>4013</v>
      </c>
      <c r="D5082" s="9">
        <v>291.92</v>
      </c>
      <c r="E5082" t="s">
        <v>58</v>
      </c>
    </row>
    <row r="5083" spans="1:5">
      <c r="A5083" t="s">
        <v>33</v>
      </c>
      <c r="B5083" s="11" t="s">
        <v>70</v>
      </c>
      <c r="C5083">
        <v>4013</v>
      </c>
      <c r="D5083" s="9">
        <v>1324</v>
      </c>
      <c r="E5083" t="s">
        <v>59</v>
      </c>
    </row>
    <row r="5084" spans="1:5">
      <c r="A5084" t="s">
        <v>33</v>
      </c>
      <c r="B5084" s="11" t="s">
        <v>71</v>
      </c>
      <c r="C5084">
        <v>4013</v>
      </c>
      <c r="D5084" s="9">
        <v>1324.17</v>
      </c>
      <c r="E5084" t="s">
        <v>59</v>
      </c>
    </row>
    <row r="5085" spans="1:5">
      <c r="A5085" t="s">
        <v>33</v>
      </c>
      <c r="B5085" s="11" t="s">
        <v>72</v>
      </c>
      <c r="C5085">
        <v>4013</v>
      </c>
      <c r="D5085" s="9">
        <v>1409.78</v>
      </c>
      <c r="E5085" t="s">
        <v>59</v>
      </c>
    </row>
    <row r="5086" spans="1:5">
      <c r="A5086" t="s">
        <v>33</v>
      </c>
      <c r="B5086" s="11" t="s">
        <v>78</v>
      </c>
      <c r="C5086">
        <v>4013</v>
      </c>
      <c r="D5086" s="9">
        <v>305.77999999999997</v>
      </c>
      <c r="E5086" t="s">
        <v>59</v>
      </c>
    </row>
    <row r="5087" spans="1:5">
      <c r="A5087" t="s">
        <v>33</v>
      </c>
      <c r="B5087" s="11" t="s">
        <v>73</v>
      </c>
      <c r="C5087">
        <v>4013</v>
      </c>
      <c r="D5087" s="9">
        <v>246.54</v>
      </c>
      <c r="E5087" t="s">
        <v>60</v>
      </c>
    </row>
    <row r="5088" spans="1:5">
      <c r="A5088" t="s">
        <v>33</v>
      </c>
      <c r="B5088" s="11" t="s">
        <v>74</v>
      </c>
      <c r="C5088">
        <v>4013</v>
      </c>
      <c r="D5088" s="9">
        <v>550.67999999999995</v>
      </c>
      <c r="E5088" t="s">
        <v>60</v>
      </c>
    </row>
    <row r="5089" spans="1:5">
      <c r="A5089" t="s">
        <v>34</v>
      </c>
      <c r="B5089" s="11" t="s">
        <v>63</v>
      </c>
      <c r="C5089">
        <v>4013</v>
      </c>
      <c r="D5089" s="9">
        <v>1652.75</v>
      </c>
      <c r="E5089" t="s">
        <v>56</v>
      </c>
    </row>
    <row r="5090" spans="1:5">
      <c r="A5090" t="s">
        <v>34</v>
      </c>
      <c r="B5090" s="11" t="s">
        <v>75</v>
      </c>
      <c r="C5090">
        <v>4013</v>
      </c>
      <c r="D5090" s="9">
        <v>602.32000000000005</v>
      </c>
      <c r="E5090" t="s">
        <v>56</v>
      </c>
    </row>
    <row r="5091" spans="1:5">
      <c r="A5091" t="s">
        <v>34</v>
      </c>
      <c r="B5091" s="11" t="s">
        <v>64</v>
      </c>
      <c r="C5091">
        <v>4013</v>
      </c>
      <c r="D5091" s="9">
        <v>108.14</v>
      </c>
      <c r="E5091" t="s">
        <v>57</v>
      </c>
    </row>
    <row r="5092" spans="1:5">
      <c r="A5092" t="s">
        <v>34</v>
      </c>
      <c r="B5092" s="11" t="s">
        <v>65</v>
      </c>
      <c r="C5092">
        <v>4013</v>
      </c>
      <c r="D5092" s="9">
        <v>214.4</v>
      </c>
      <c r="E5092" t="s">
        <v>57</v>
      </c>
    </row>
    <row r="5093" spans="1:5">
      <c r="A5093" t="s">
        <v>34</v>
      </c>
      <c r="B5093" s="11" t="s">
        <v>66</v>
      </c>
      <c r="C5093">
        <v>4013</v>
      </c>
      <c r="D5093" s="9">
        <v>414.11</v>
      </c>
      <c r="E5093" t="s">
        <v>57</v>
      </c>
    </row>
    <row r="5094" spans="1:5">
      <c r="A5094" t="s">
        <v>34</v>
      </c>
      <c r="B5094" s="11" t="s">
        <v>67</v>
      </c>
      <c r="C5094">
        <v>4013</v>
      </c>
      <c r="D5094" s="9">
        <v>294.18</v>
      </c>
      <c r="E5094" t="s">
        <v>57</v>
      </c>
    </row>
    <row r="5095" spans="1:5">
      <c r="A5095" t="s">
        <v>34</v>
      </c>
      <c r="B5095" s="11" t="s">
        <v>77</v>
      </c>
      <c r="C5095">
        <v>4013</v>
      </c>
      <c r="D5095" s="9">
        <v>266.75</v>
      </c>
      <c r="E5095" t="s">
        <v>58</v>
      </c>
    </row>
    <row r="5096" spans="1:5">
      <c r="A5096" t="s">
        <v>34</v>
      </c>
      <c r="B5096" s="11" t="s">
        <v>70</v>
      </c>
      <c r="C5096">
        <v>4013</v>
      </c>
      <c r="D5096" s="9">
        <v>1361.58</v>
      </c>
      <c r="E5096" t="s">
        <v>59</v>
      </c>
    </row>
    <row r="5097" spans="1:5">
      <c r="A5097" t="s">
        <v>34</v>
      </c>
      <c r="B5097" s="11" t="s">
        <v>71</v>
      </c>
      <c r="C5097">
        <v>4013</v>
      </c>
      <c r="D5097" s="9">
        <v>1312.31</v>
      </c>
      <c r="E5097" t="s">
        <v>59</v>
      </c>
    </row>
    <row r="5098" spans="1:5">
      <c r="A5098" t="s">
        <v>34</v>
      </c>
      <c r="B5098" s="11" t="s">
        <v>72</v>
      </c>
      <c r="C5098">
        <v>4013</v>
      </c>
      <c r="D5098" s="9">
        <v>1447.06</v>
      </c>
      <c r="E5098" t="s">
        <v>59</v>
      </c>
    </row>
    <row r="5099" spans="1:5">
      <c r="A5099" t="s">
        <v>34</v>
      </c>
      <c r="B5099" s="11" t="s">
        <v>78</v>
      </c>
      <c r="C5099">
        <v>4013</v>
      </c>
      <c r="D5099" s="9">
        <v>305.14999999999998</v>
      </c>
      <c r="E5099" t="s">
        <v>59</v>
      </c>
    </row>
    <row r="5100" spans="1:5">
      <c r="A5100" t="s">
        <v>34</v>
      </c>
      <c r="B5100" s="11" t="s">
        <v>73</v>
      </c>
      <c r="C5100">
        <v>4013</v>
      </c>
      <c r="D5100" s="9">
        <v>240.37</v>
      </c>
      <c r="E5100" t="s">
        <v>60</v>
      </c>
    </row>
    <row r="5101" spans="1:5">
      <c r="A5101" t="s">
        <v>34</v>
      </c>
      <c r="B5101" s="11" t="s">
        <v>74</v>
      </c>
      <c r="C5101">
        <v>4013</v>
      </c>
      <c r="D5101" s="9">
        <v>531</v>
      </c>
      <c r="E5101" t="s">
        <v>60</v>
      </c>
    </row>
    <row r="5102" spans="1:5">
      <c r="A5102" t="s">
        <v>35</v>
      </c>
      <c r="B5102" s="11" t="s">
        <v>63</v>
      </c>
      <c r="C5102">
        <v>4013</v>
      </c>
      <c r="D5102" s="9">
        <v>1644.46</v>
      </c>
      <c r="E5102" t="s">
        <v>56</v>
      </c>
    </row>
    <row r="5103" spans="1:5">
      <c r="A5103" t="s">
        <v>35</v>
      </c>
      <c r="B5103" s="11" t="s">
        <v>75</v>
      </c>
      <c r="C5103">
        <v>4013</v>
      </c>
      <c r="D5103" s="9">
        <v>573.72</v>
      </c>
      <c r="E5103" t="s">
        <v>56</v>
      </c>
    </row>
    <row r="5104" spans="1:5">
      <c r="A5104" t="s">
        <v>35</v>
      </c>
      <c r="B5104" s="11" t="s">
        <v>64</v>
      </c>
      <c r="C5104">
        <v>4013</v>
      </c>
      <c r="D5104" s="9">
        <v>110.9</v>
      </c>
      <c r="E5104" t="s">
        <v>57</v>
      </c>
    </row>
    <row r="5105" spans="1:5">
      <c r="A5105" t="s">
        <v>35</v>
      </c>
      <c r="B5105" s="11" t="s">
        <v>65</v>
      </c>
      <c r="C5105">
        <v>4013</v>
      </c>
      <c r="D5105" s="9">
        <v>216.58</v>
      </c>
      <c r="E5105" t="s">
        <v>57</v>
      </c>
    </row>
    <row r="5106" spans="1:5">
      <c r="A5106" t="s">
        <v>35</v>
      </c>
      <c r="B5106" s="11" t="s">
        <v>66</v>
      </c>
      <c r="C5106">
        <v>4013</v>
      </c>
      <c r="D5106" s="9">
        <v>412.46</v>
      </c>
      <c r="E5106" t="s">
        <v>57</v>
      </c>
    </row>
    <row r="5107" spans="1:5">
      <c r="A5107" t="s">
        <v>35</v>
      </c>
      <c r="B5107" s="11" t="s">
        <v>67</v>
      </c>
      <c r="C5107">
        <v>4013</v>
      </c>
      <c r="D5107" s="9">
        <v>314.13</v>
      </c>
      <c r="E5107" t="s">
        <v>57</v>
      </c>
    </row>
    <row r="5108" spans="1:5">
      <c r="A5108" t="s">
        <v>35</v>
      </c>
      <c r="B5108" s="11" t="s">
        <v>77</v>
      </c>
      <c r="C5108">
        <v>4013</v>
      </c>
      <c r="D5108" s="9">
        <v>273.06</v>
      </c>
      <c r="E5108" t="s">
        <v>58</v>
      </c>
    </row>
    <row r="5109" spans="1:5">
      <c r="A5109" t="s">
        <v>35</v>
      </c>
      <c r="B5109" s="11" t="s">
        <v>70</v>
      </c>
      <c r="C5109">
        <v>4013</v>
      </c>
      <c r="D5109" s="9">
        <v>1313.85</v>
      </c>
      <c r="E5109" t="s">
        <v>59</v>
      </c>
    </row>
    <row r="5110" spans="1:5">
      <c r="A5110" t="s">
        <v>35</v>
      </c>
      <c r="B5110" s="11" t="s">
        <v>71</v>
      </c>
      <c r="C5110">
        <v>4013</v>
      </c>
      <c r="D5110" s="9">
        <v>1334.71</v>
      </c>
      <c r="E5110" t="s">
        <v>59</v>
      </c>
    </row>
    <row r="5111" spans="1:5">
      <c r="A5111" t="s">
        <v>35</v>
      </c>
      <c r="B5111" s="11" t="s">
        <v>72</v>
      </c>
      <c r="C5111">
        <v>4013</v>
      </c>
      <c r="D5111" s="9">
        <v>1465.22</v>
      </c>
      <c r="E5111" t="s">
        <v>59</v>
      </c>
    </row>
    <row r="5112" spans="1:5">
      <c r="A5112" t="s">
        <v>35</v>
      </c>
      <c r="B5112" s="11" t="s">
        <v>78</v>
      </c>
      <c r="C5112">
        <v>4013</v>
      </c>
      <c r="D5112" s="9">
        <v>320.69</v>
      </c>
      <c r="E5112" t="s">
        <v>59</v>
      </c>
    </row>
    <row r="5113" spans="1:5">
      <c r="A5113" t="s">
        <v>35</v>
      </c>
      <c r="B5113" s="11" t="s">
        <v>73</v>
      </c>
      <c r="C5113">
        <v>4013</v>
      </c>
      <c r="D5113" s="9">
        <v>247.1</v>
      </c>
      <c r="E5113" t="s">
        <v>60</v>
      </c>
    </row>
    <row r="5114" spans="1:5">
      <c r="A5114" t="s">
        <v>35</v>
      </c>
      <c r="B5114" s="11" t="s">
        <v>74</v>
      </c>
      <c r="C5114">
        <v>4013</v>
      </c>
      <c r="D5114" s="9">
        <v>531.27</v>
      </c>
      <c r="E5114" t="s">
        <v>60</v>
      </c>
    </row>
    <row r="5115" spans="1:5">
      <c r="A5115" t="s">
        <v>36</v>
      </c>
      <c r="B5115" s="11" t="s">
        <v>63</v>
      </c>
      <c r="C5115">
        <v>4013</v>
      </c>
      <c r="D5115" s="9">
        <v>1639.35</v>
      </c>
      <c r="E5115" t="s">
        <v>56</v>
      </c>
    </row>
    <row r="5116" spans="1:5">
      <c r="A5116" t="s">
        <v>36</v>
      </c>
      <c r="B5116" s="11" t="s">
        <v>75</v>
      </c>
      <c r="C5116">
        <v>4013</v>
      </c>
      <c r="D5116" s="9">
        <v>554.30999999999995</v>
      </c>
      <c r="E5116" t="s">
        <v>56</v>
      </c>
    </row>
    <row r="5117" spans="1:5">
      <c r="A5117" t="s">
        <v>36</v>
      </c>
      <c r="B5117" s="11" t="s">
        <v>64</v>
      </c>
      <c r="C5117">
        <v>4013</v>
      </c>
      <c r="D5117" s="9">
        <v>99.96</v>
      </c>
      <c r="E5117" t="s">
        <v>57</v>
      </c>
    </row>
    <row r="5118" spans="1:5">
      <c r="A5118" t="s">
        <v>36</v>
      </c>
      <c r="B5118" s="11" t="s">
        <v>65</v>
      </c>
      <c r="C5118">
        <v>4013</v>
      </c>
      <c r="D5118" s="9">
        <v>205.01</v>
      </c>
      <c r="E5118" t="s">
        <v>57</v>
      </c>
    </row>
    <row r="5119" spans="1:5">
      <c r="A5119" t="s">
        <v>36</v>
      </c>
      <c r="B5119" s="11" t="s">
        <v>66</v>
      </c>
      <c r="C5119">
        <v>4013</v>
      </c>
      <c r="D5119" s="9">
        <v>359.78</v>
      </c>
      <c r="E5119" t="s">
        <v>57</v>
      </c>
    </row>
    <row r="5120" spans="1:5">
      <c r="A5120" t="s">
        <v>36</v>
      </c>
      <c r="B5120" s="11" t="s">
        <v>67</v>
      </c>
      <c r="C5120">
        <v>4013</v>
      </c>
      <c r="D5120" s="9">
        <v>289.8</v>
      </c>
      <c r="E5120" t="s">
        <v>57</v>
      </c>
    </row>
    <row r="5121" spans="1:5">
      <c r="A5121" t="s">
        <v>36</v>
      </c>
      <c r="B5121" s="11" t="s">
        <v>77</v>
      </c>
      <c r="C5121">
        <v>4013</v>
      </c>
      <c r="D5121" s="9">
        <v>240.22</v>
      </c>
      <c r="E5121" t="s">
        <v>58</v>
      </c>
    </row>
    <row r="5122" spans="1:5">
      <c r="A5122" t="s">
        <v>36</v>
      </c>
      <c r="B5122" s="11" t="s">
        <v>70</v>
      </c>
      <c r="C5122">
        <v>4013</v>
      </c>
      <c r="D5122" s="9">
        <v>1169.68</v>
      </c>
      <c r="E5122" t="s">
        <v>59</v>
      </c>
    </row>
    <row r="5123" spans="1:5">
      <c r="A5123" t="s">
        <v>36</v>
      </c>
      <c r="B5123" s="11" t="s">
        <v>71</v>
      </c>
      <c r="C5123">
        <v>4013</v>
      </c>
      <c r="D5123" s="9">
        <v>1177.9100000000001</v>
      </c>
      <c r="E5123" t="s">
        <v>59</v>
      </c>
    </row>
    <row r="5124" spans="1:5">
      <c r="A5124" t="s">
        <v>36</v>
      </c>
      <c r="B5124" s="11" t="s">
        <v>72</v>
      </c>
      <c r="C5124">
        <v>4013</v>
      </c>
      <c r="D5124" s="9">
        <v>1329.74</v>
      </c>
      <c r="E5124" t="s">
        <v>59</v>
      </c>
    </row>
    <row r="5125" spans="1:5">
      <c r="A5125" t="s">
        <v>36</v>
      </c>
      <c r="B5125" s="11" t="s">
        <v>78</v>
      </c>
      <c r="C5125">
        <v>4013</v>
      </c>
      <c r="D5125" s="9">
        <v>274.14</v>
      </c>
      <c r="E5125" t="s">
        <v>59</v>
      </c>
    </row>
    <row r="5126" spans="1:5">
      <c r="A5126" t="s">
        <v>36</v>
      </c>
      <c r="B5126" s="11" t="s">
        <v>73</v>
      </c>
      <c r="C5126">
        <v>4013</v>
      </c>
      <c r="D5126" s="9">
        <v>230.07</v>
      </c>
      <c r="E5126" t="s">
        <v>60</v>
      </c>
    </row>
    <row r="5127" spans="1:5">
      <c r="A5127" t="s">
        <v>36</v>
      </c>
      <c r="B5127" s="11" t="s">
        <v>74</v>
      </c>
      <c r="C5127">
        <v>4013</v>
      </c>
      <c r="D5127" s="9">
        <v>491.73</v>
      </c>
      <c r="E5127" t="s">
        <v>60</v>
      </c>
    </row>
    <row r="5128" spans="1:5">
      <c r="A5128" t="s">
        <v>37</v>
      </c>
      <c r="B5128" s="11" t="s">
        <v>63</v>
      </c>
      <c r="C5128">
        <v>4013</v>
      </c>
      <c r="D5128" s="9">
        <v>1566.96</v>
      </c>
      <c r="E5128" t="s">
        <v>56</v>
      </c>
    </row>
    <row r="5129" spans="1:5">
      <c r="A5129" t="s">
        <v>37</v>
      </c>
      <c r="B5129" s="11" t="s">
        <v>75</v>
      </c>
      <c r="C5129">
        <v>4013</v>
      </c>
      <c r="D5129" s="9">
        <v>567.42999999999995</v>
      </c>
      <c r="E5129" t="s">
        <v>56</v>
      </c>
    </row>
    <row r="5130" spans="1:5">
      <c r="A5130" t="s">
        <v>37</v>
      </c>
      <c r="B5130" s="11" t="s">
        <v>64</v>
      </c>
      <c r="C5130">
        <v>4013</v>
      </c>
      <c r="D5130" s="9">
        <v>98.85</v>
      </c>
      <c r="E5130" t="s">
        <v>57</v>
      </c>
    </row>
    <row r="5131" spans="1:5">
      <c r="A5131" t="s">
        <v>37</v>
      </c>
      <c r="B5131" s="11" t="s">
        <v>65</v>
      </c>
      <c r="C5131">
        <v>4013</v>
      </c>
      <c r="D5131" s="9">
        <v>194.15</v>
      </c>
      <c r="E5131" t="s">
        <v>57</v>
      </c>
    </row>
    <row r="5132" spans="1:5">
      <c r="A5132" t="s">
        <v>37</v>
      </c>
      <c r="B5132" s="11" t="s">
        <v>66</v>
      </c>
      <c r="C5132">
        <v>4013</v>
      </c>
      <c r="D5132" s="9">
        <v>372.83</v>
      </c>
      <c r="E5132" t="s">
        <v>57</v>
      </c>
    </row>
    <row r="5133" spans="1:5">
      <c r="A5133" t="s">
        <v>37</v>
      </c>
      <c r="B5133" s="11" t="s">
        <v>67</v>
      </c>
      <c r="C5133">
        <v>4013</v>
      </c>
      <c r="D5133" s="9">
        <v>303.14999999999998</v>
      </c>
      <c r="E5133" t="s">
        <v>57</v>
      </c>
    </row>
    <row r="5134" spans="1:5">
      <c r="A5134" t="s">
        <v>37</v>
      </c>
      <c r="B5134" s="11" t="s">
        <v>77</v>
      </c>
      <c r="C5134">
        <v>4013</v>
      </c>
      <c r="D5134" s="9">
        <v>239.75</v>
      </c>
      <c r="E5134" t="s">
        <v>58</v>
      </c>
    </row>
    <row r="5135" spans="1:5">
      <c r="A5135" t="s">
        <v>37</v>
      </c>
      <c r="B5135" s="11" t="s">
        <v>70</v>
      </c>
      <c r="C5135">
        <v>4013</v>
      </c>
      <c r="D5135" s="9">
        <v>1189.8399999999999</v>
      </c>
      <c r="E5135" t="s">
        <v>59</v>
      </c>
    </row>
    <row r="5136" spans="1:5">
      <c r="A5136" t="s">
        <v>37</v>
      </c>
      <c r="B5136" s="11" t="s">
        <v>71</v>
      </c>
      <c r="C5136">
        <v>4013</v>
      </c>
      <c r="D5136" s="9">
        <v>1245.94</v>
      </c>
      <c r="E5136" t="s">
        <v>59</v>
      </c>
    </row>
    <row r="5137" spans="1:5">
      <c r="A5137" t="s">
        <v>37</v>
      </c>
      <c r="B5137" s="11" t="s">
        <v>72</v>
      </c>
      <c r="C5137">
        <v>4013</v>
      </c>
      <c r="D5137" s="9">
        <v>1375.05</v>
      </c>
      <c r="E5137" t="s">
        <v>59</v>
      </c>
    </row>
    <row r="5138" spans="1:5">
      <c r="A5138" t="s">
        <v>37</v>
      </c>
      <c r="B5138" s="11" t="s">
        <v>78</v>
      </c>
      <c r="C5138">
        <v>4013</v>
      </c>
      <c r="D5138" s="9">
        <v>305.29000000000002</v>
      </c>
      <c r="E5138" t="s">
        <v>59</v>
      </c>
    </row>
    <row r="5139" spans="1:5">
      <c r="A5139" t="s">
        <v>37</v>
      </c>
      <c r="B5139" s="11" t="s">
        <v>73</v>
      </c>
      <c r="C5139">
        <v>4013</v>
      </c>
      <c r="D5139" s="9">
        <v>228.05</v>
      </c>
      <c r="E5139" t="s">
        <v>60</v>
      </c>
    </row>
    <row r="5140" spans="1:5">
      <c r="A5140" t="s">
        <v>37</v>
      </c>
      <c r="B5140" s="11" t="s">
        <v>74</v>
      </c>
      <c r="C5140">
        <v>4013</v>
      </c>
      <c r="D5140" s="9">
        <v>479.89</v>
      </c>
      <c r="E5140" t="s">
        <v>60</v>
      </c>
    </row>
    <row r="5141" spans="1:5">
      <c r="A5141" t="s">
        <v>38</v>
      </c>
      <c r="B5141" s="11" t="s">
        <v>63</v>
      </c>
      <c r="C5141">
        <v>4013</v>
      </c>
      <c r="D5141" s="9">
        <v>1505.19</v>
      </c>
      <c r="E5141" t="s">
        <v>56</v>
      </c>
    </row>
    <row r="5142" spans="1:5">
      <c r="A5142" t="s">
        <v>38</v>
      </c>
      <c r="B5142" s="11" t="s">
        <v>75</v>
      </c>
      <c r="C5142">
        <v>4013</v>
      </c>
      <c r="D5142" s="9">
        <v>601.62</v>
      </c>
      <c r="E5142" t="s">
        <v>56</v>
      </c>
    </row>
    <row r="5143" spans="1:5">
      <c r="A5143" t="s">
        <v>38</v>
      </c>
      <c r="B5143" s="11" t="s">
        <v>64</v>
      </c>
      <c r="C5143">
        <v>4013</v>
      </c>
      <c r="D5143" s="9">
        <v>101.81</v>
      </c>
      <c r="E5143" t="s">
        <v>57</v>
      </c>
    </row>
    <row r="5144" spans="1:5">
      <c r="A5144" t="s">
        <v>38</v>
      </c>
      <c r="B5144" s="11" t="s">
        <v>65</v>
      </c>
      <c r="C5144">
        <v>4013</v>
      </c>
      <c r="D5144" s="9">
        <v>196.87</v>
      </c>
      <c r="E5144" t="s">
        <v>57</v>
      </c>
    </row>
    <row r="5145" spans="1:5">
      <c r="A5145" t="s">
        <v>38</v>
      </c>
      <c r="B5145" s="11" t="s">
        <v>66</v>
      </c>
      <c r="C5145">
        <v>4013</v>
      </c>
      <c r="D5145" s="9">
        <v>384.22</v>
      </c>
      <c r="E5145" t="s">
        <v>57</v>
      </c>
    </row>
    <row r="5146" spans="1:5">
      <c r="A5146" t="s">
        <v>38</v>
      </c>
      <c r="B5146" s="11" t="s">
        <v>67</v>
      </c>
      <c r="C5146">
        <v>4013</v>
      </c>
      <c r="D5146" s="9">
        <v>291.14</v>
      </c>
      <c r="E5146" t="s">
        <v>57</v>
      </c>
    </row>
    <row r="5147" spans="1:5">
      <c r="A5147" t="s">
        <v>38</v>
      </c>
      <c r="B5147" s="11" t="s">
        <v>77</v>
      </c>
      <c r="C5147">
        <v>4013</v>
      </c>
      <c r="D5147" s="9">
        <v>265.54000000000002</v>
      </c>
      <c r="E5147" t="s">
        <v>58</v>
      </c>
    </row>
    <row r="5148" spans="1:5">
      <c r="A5148" t="s">
        <v>38</v>
      </c>
      <c r="B5148" s="11" t="s">
        <v>70</v>
      </c>
      <c r="C5148">
        <v>4013</v>
      </c>
      <c r="D5148" s="9">
        <v>1273.51</v>
      </c>
      <c r="E5148" t="s">
        <v>59</v>
      </c>
    </row>
    <row r="5149" spans="1:5">
      <c r="A5149" t="s">
        <v>38</v>
      </c>
      <c r="B5149" s="11" t="s">
        <v>71</v>
      </c>
      <c r="C5149">
        <v>4013</v>
      </c>
      <c r="D5149" s="9">
        <v>1235.95</v>
      </c>
      <c r="E5149" t="s">
        <v>59</v>
      </c>
    </row>
    <row r="5150" spans="1:5">
      <c r="A5150" t="s">
        <v>38</v>
      </c>
      <c r="B5150" s="11" t="s">
        <v>72</v>
      </c>
      <c r="C5150">
        <v>4013</v>
      </c>
      <c r="D5150" s="9">
        <v>1470.59</v>
      </c>
      <c r="E5150" t="s">
        <v>59</v>
      </c>
    </row>
    <row r="5151" spans="1:5">
      <c r="A5151" t="s">
        <v>38</v>
      </c>
      <c r="B5151" s="11" t="s">
        <v>78</v>
      </c>
      <c r="C5151">
        <v>4013</v>
      </c>
      <c r="D5151" s="9">
        <v>322.52</v>
      </c>
      <c r="E5151" t="s">
        <v>59</v>
      </c>
    </row>
    <row r="5152" spans="1:5">
      <c r="A5152" t="s">
        <v>38</v>
      </c>
      <c r="B5152" s="11" t="s">
        <v>73</v>
      </c>
      <c r="C5152">
        <v>4013</v>
      </c>
      <c r="D5152" s="9">
        <v>244.38</v>
      </c>
      <c r="E5152" t="s">
        <v>60</v>
      </c>
    </row>
    <row r="5153" spans="1:5">
      <c r="A5153" t="s">
        <v>38</v>
      </c>
      <c r="B5153" s="11" t="s">
        <v>74</v>
      </c>
      <c r="C5153">
        <v>4013</v>
      </c>
      <c r="D5153" s="9">
        <v>484.17</v>
      </c>
      <c r="E5153" t="s">
        <v>60</v>
      </c>
    </row>
    <row r="5154" spans="1:5">
      <c r="A5154" t="s">
        <v>39</v>
      </c>
      <c r="B5154" s="11" t="s">
        <v>63</v>
      </c>
      <c r="C5154">
        <v>4013</v>
      </c>
      <c r="D5154" s="9">
        <v>1661.83</v>
      </c>
      <c r="E5154" t="s">
        <v>56</v>
      </c>
    </row>
    <row r="5155" spans="1:5">
      <c r="A5155" t="s">
        <v>39</v>
      </c>
      <c r="B5155" s="11" t="s">
        <v>75</v>
      </c>
      <c r="C5155">
        <v>4013</v>
      </c>
      <c r="D5155" s="9">
        <v>615.79</v>
      </c>
      <c r="E5155" t="s">
        <v>56</v>
      </c>
    </row>
    <row r="5156" spans="1:5">
      <c r="A5156" t="s">
        <v>39</v>
      </c>
      <c r="B5156" s="11" t="s">
        <v>64</v>
      </c>
      <c r="C5156">
        <v>4013</v>
      </c>
      <c r="D5156" s="9">
        <v>127.09</v>
      </c>
      <c r="E5156" t="s">
        <v>57</v>
      </c>
    </row>
    <row r="5157" spans="1:5">
      <c r="A5157" t="s">
        <v>39</v>
      </c>
      <c r="B5157" s="11" t="s">
        <v>65</v>
      </c>
      <c r="C5157">
        <v>4013</v>
      </c>
      <c r="D5157" s="9">
        <v>174.54</v>
      </c>
      <c r="E5157" t="s">
        <v>57</v>
      </c>
    </row>
    <row r="5158" spans="1:5">
      <c r="A5158" t="s">
        <v>39</v>
      </c>
      <c r="B5158" s="11" t="s">
        <v>66</v>
      </c>
      <c r="C5158">
        <v>4013</v>
      </c>
      <c r="D5158" s="9">
        <v>426.08</v>
      </c>
      <c r="E5158" t="s">
        <v>57</v>
      </c>
    </row>
    <row r="5159" spans="1:5">
      <c r="A5159" t="s">
        <v>39</v>
      </c>
      <c r="B5159" s="11" t="s">
        <v>67</v>
      </c>
      <c r="C5159">
        <v>4013</v>
      </c>
      <c r="D5159" s="9">
        <v>309.54000000000002</v>
      </c>
      <c r="E5159" t="s">
        <v>57</v>
      </c>
    </row>
    <row r="5160" spans="1:5">
      <c r="A5160" t="s">
        <v>39</v>
      </c>
      <c r="B5160" s="11" t="s">
        <v>77</v>
      </c>
      <c r="C5160">
        <v>4013</v>
      </c>
      <c r="D5160" s="9">
        <v>255.84</v>
      </c>
      <c r="E5160" t="s">
        <v>58</v>
      </c>
    </row>
    <row r="5161" spans="1:5">
      <c r="A5161" t="s">
        <v>39</v>
      </c>
      <c r="B5161" s="11" t="s">
        <v>70</v>
      </c>
      <c r="C5161">
        <v>4013</v>
      </c>
      <c r="D5161" s="9">
        <v>1403.9</v>
      </c>
      <c r="E5161" t="s">
        <v>59</v>
      </c>
    </row>
    <row r="5162" spans="1:5">
      <c r="A5162" t="s">
        <v>39</v>
      </c>
      <c r="B5162" s="11" t="s">
        <v>71</v>
      </c>
      <c r="C5162">
        <v>4013</v>
      </c>
      <c r="D5162" s="9">
        <v>1214.68</v>
      </c>
      <c r="E5162" t="s">
        <v>59</v>
      </c>
    </row>
    <row r="5163" spans="1:5">
      <c r="A5163" t="s">
        <v>39</v>
      </c>
      <c r="B5163" s="11" t="s">
        <v>72</v>
      </c>
      <c r="C5163">
        <v>4013</v>
      </c>
      <c r="D5163" s="9">
        <v>1655.94</v>
      </c>
      <c r="E5163" t="s">
        <v>59</v>
      </c>
    </row>
    <row r="5164" spans="1:5">
      <c r="A5164" t="s">
        <v>39</v>
      </c>
      <c r="B5164" s="11" t="s">
        <v>78</v>
      </c>
      <c r="C5164">
        <v>4013</v>
      </c>
      <c r="D5164" s="9">
        <v>372.52</v>
      </c>
      <c r="E5164" t="s">
        <v>59</v>
      </c>
    </row>
    <row r="5165" spans="1:5">
      <c r="A5165" t="s">
        <v>39</v>
      </c>
      <c r="B5165" s="11" t="s">
        <v>73</v>
      </c>
      <c r="C5165">
        <v>4013</v>
      </c>
      <c r="D5165" s="9">
        <v>257.10000000000002</v>
      </c>
      <c r="E5165" t="s">
        <v>60</v>
      </c>
    </row>
    <row r="5166" spans="1:5">
      <c r="A5166" t="s">
        <v>39</v>
      </c>
      <c r="B5166" s="11" t="s">
        <v>74</v>
      </c>
      <c r="C5166">
        <v>4013</v>
      </c>
      <c r="D5166" s="9">
        <v>560.66999999999996</v>
      </c>
      <c r="E5166" t="s">
        <v>60</v>
      </c>
    </row>
    <row r="5167" spans="1:5">
      <c r="A5167" t="s">
        <v>28</v>
      </c>
      <c r="B5167" s="11" t="s">
        <v>63</v>
      </c>
      <c r="C5167">
        <v>4021</v>
      </c>
      <c r="D5167" s="9">
        <v>556</v>
      </c>
      <c r="E5167" t="s">
        <v>56</v>
      </c>
    </row>
    <row r="5168" spans="1:5">
      <c r="A5168" t="s">
        <v>28</v>
      </c>
      <c r="B5168" s="11" t="s">
        <v>75</v>
      </c>
      <c r="C5168">
        <v>4021</v>
      </c>
      <c r="D5168" s="9">
        <v>212</v>
      </c>
      <c r="E5168" t="s">
        <v>56</v>
      </c>
    </row>
    <row r="5169" spans="1:5">
      <c r="A5169" t="s">
        <v>28</v>
      </c>
      <c r="B5169" s="11" t="s">
        <v>64</v>
      </c>
      <c r="C5169">
        <v>4021</v>
      </c>
      <c r="D5169" s="9">
        <v>46</v>
      </c>
      <c r="E5169" t="s">
        <v>57</v>
      </c>
    </row>
    <row r="5170" spans="1:5">
      <c r="A5170" t="s">
        <v>28</v>
      </c>
      <c r="B5170" s="11" t="s">
        <v>65</v>
      </c>
      <c r="C5170">
        <v>4021</v>
      </c>
      <c r="D5170" s="9">
        <v>59</v>
      </c>
      <c r="E5170" t="s">
        <v>57</v>
      </c>
    </row>
    <row r="5171" spans="1:5">
      <c r="A5171" t="s">
        <v>28</v>
      </c>
      <c r="B5171" s="11" t="s">
        <v>66</v>
      </c>
      <c r="C5171">
        <v>4021</v>
      </c>
      <c r="D5171" s="9">
        <v>143</v>
      </c>
      <c r="E5171" t="s">
        <v>57</v>
      </c>
    </row>
    <row r="5172" spans="1:5">
      <c r="A5172" t="s">
        <v>28</v>
      </c>
      <c r="B5172" s="11" t="s">
        <v>67</v>
      </c>
      <c r="C5172">
        <v>4021</v>
      </c>
      <c r="D5172" s="9">
        <v>114</v>
      </c>
      <c r="E5172" t="s">
        <v>57</v>
      </c>
    </row>
    <row r="5173" spans="1:5">
      <c r="A5173" t="s">
        <v>28</v>
      </c>
      <c r="B5173" s="11" t="s">
        <v>77</v>
      </c>
      <c r="C5173">
        <v>4021</v>
      </c>
      <c r="D5173" s="9">
        <v>90</v>
      </c>
      <c r="E5173" t="s">
        <v>58</v>
      </c>
    </row>
    <row r="5174" spans="1:5">
      <c r="A5174" t="s">
        <v>28</v>
      </c>
      <c r="B5174" s="11" t="s">
        <v>70</v>
      </c>
      <c r="C5174">
        <v>4021</v>
      </c>
      <c r="D5174" s="9">
        <v>474</v>
      </c>
      <c r="E5174" t="s">
        <v>59</v>
      </c>
    </row>
    <row r="5175" spans="1:5">
      <c r="A5175" t="s">
        <v>28</v>
      </c>
      <c r="B5175" s="11" t="s">
        <v>71</v>
      </c>
      <c r="C5175">
        <v>4021</v>
      </c>
      <c r="D5175" s="9">
        <v>442</v>
      </c>
      <c r="E5175" t="s">
        <v>59</v>
      </c>
    </row>
    <row r="5176" spans="1:5">
      <c r="A5176" t="s">
        <v>28</v>
      </c>
      <c r="B5176" s="11" t="s">
        <v>72</v>
      </c>
      <c r="C5176">
        <v>4021</v>
      </c>
      <c r="D5176" s="9">
        <v>576</v>
      </c>
      <c r="E5176" t="s">
        <v>59</v>
      </c>
    </row>
    <row r="5177" spans="1:5">
      <c r="A5177" t="s">
        <v>28</v>
      </c>
      <c r="B5177" s="11" t="s">
        <v>78</v>
      </c>
      <c r="C5177">
        <v>4021</v>
      </c>
      <c r="D5177" s="9">
        <v>119</v>
      </c>
      <c r="E5177" t="s">
        <v>59</v>
      </c>
    </row>
    <row r="5178" spans="1:5">
      <c r="A5178" t="s">
        <v>28</v>
      </c>
      <c r="B5178" s="11" t="s">
        <v>73</v>
      </c>
      <c r="C5178">
        <v>4021</v>
      </c>
      <c r="D5178" s="9">
        <v>86</v>
      </c>
      <c r="E5178" t="s">
        <v>60</v>
      </c>
    </row>
    <row r="5179" spans="1:5">
      <c r="A5179" t="s">
        <v>28</v>
      </c>
      <c r="B5179" s="11" t="s">
        <v>74</v>
      </c>
      <c r="C5179">
        <v>4021</v>
      </c>
      <c r="D5179" s="9">
        <v>186</v>
      </c>
      <c r="E5179" t="s">
        <v>60</v>
      </c>
    </row>
    <row r="5180" spans="1:5">
      <c r="A5180" t="s">
        <v>29</v>
      </c>
      <c r="B5180" s="11" t="s">
        <v>63</v>
      </c>
      <c r="C5180">
        <v>4021</v>
      </c>
      <c r="D5180" s="9">
        <v>508</v>
      </c>
      <c r="E5180" t="s">
        <v>56</v>
      </c>
    </row>
    <row r="5181" spans="1:5">
      <c r="A5181" t="s">
        <v>29</v>
      </c>
      <c r="B5181" s="11" t="s">
        <v>75</v>
      </c>
      <c r="C5181">
        <v>4021</v>
      </c>
      <c r="D5181" s="9">
        <v>194</v>
      </c>
      <c r="E5181" t="s">
        <v>56</v>
      </c>
    </row>
    <row r="5182" spans="1:5">
      <c r="A5182" t="s">
        <v>29</v>
      </c>
      <c r="B5182" s="11" t="s">
        <v>64</v>
      </c>
      <c r="C5182">
        <v>4021</v>
      </c>
      <c r="D5182" s="9">
        <v>40</v>
      </c>
      <c r="E5182" t="s">
        <v>57</v>
      </c>
    </row>
    <row r="5183" spans="1:5">
      <c r="A5183" t="s">
        <v>29</v>
      </c>
      <c r="B5183" s="11" t="s">
        <v>65</v>
      </c>
      <c r="C5183">
        <v>4021</v>
      </c>
      <c r="D5183" s="9">
        <v>61</v>
      </c>
      <c r="E5183" t="s">
        <v>57</v>
      </c>
    </row>
    <row r="5184" spans="1:5">
      <c r="A5184" t="s">
        <v>29</v>
      </c>
      <c r="B5184" s="11" t="s">
        <v>66</v>
      </c>
      <c r="C5184">
        <v>4021</v>
      </c>
      <c r="D5184" s="9">
        <v>137</v>
      </c>
      <c r="E5184" t="s">
        <v>57</v>
      </c>
    </row>
    <row r="5185" spans="1:5">
      <c r="A5185" t="s">
        <v>29</v>
      </c>
      <c r="B5185" s="11" t="s">
        <v>67</v>
      </c>
      <c r="C5185">
        <v>4021</v>
      </c>
      <c r="D5185" s="9">
        <v>106</v>
      </c>
      <c r="E5185" t="s">
        <v>57</v>
      </c>
    </row>
    <row r="5186" spans="1:5">
      <c r="A5186" t="s">
        <v>29</v>
      </c>
      <c r="B5186" s="11" t="s">
        <v>77</v>
      </c>
      <c r="C5186">
        <v>4021</v>
      </c>
      <c r="D5186" s="9">
        <v>91</v>
      </c>
      <c r="E5186" t="s">
        <v>58</v>
      </c>
    </row>
    <row r="5187" spans="1:5">
      <c r="A5187" t="s">
        <v>29</v>
      </c>
      <c r="B5187" s="11" t="s">
        <v>70</v>
      </c>
      <c r="C5187">
        <v>4021</v>
      </c>
      <c r="D5187" s="9">
        <v>441</v>
      </c>
      <c r="E5187" t="s">
        <v>59</v>
      </c>
    </row>
    <row r="5188" spans="1:5">
      <c r="A5188" t="s">
        <v>29</v>
      </c>
      <c r="B5188" s="11" t="s">
        <v>71</v>
      </c>
      <c r="C5188">
        <v>4021</v>
      </c>
      <c r="D5188" s="9">
        <v>385</v>
      </c>
      <c r="E5188" t="s">
        <v>59</v>
      </c>
    </row>
    <row r="5189" spans="1:5">
      <c r="A5189" t="s">
        <v>29</v>
      </c>
      <c r="B5189" s="11" t="s">
        <v>72</v>
      </c>
      <c r="C5189">
        <v>4021</v>
      </c>
      <c r="D5189" s="9">
        <v>537</v>
      </c>
      <c r="E5189" t="s">
        <v>59</v>
      </c>
    </row>
    <row r="5190" spans="1:5">
      <c r="A5190" t="s">
        <v>29</v>
      </c>
      <c r="B5190" s="11" t="s">
        <v>78</v>
      </c>
      <c r="C5190">
        <v>4021</v>
      </c>
      <c r="D5190" s="9">
        <v>119</v>
      </c>
      <c r="E5190" t="s">
        <v>59</v>
      </c>
    </row>
    <row r="5191" spans="1:5">
      <c r="A5191" t="s">
        <v>29</v>
      </c>
      <c r="B5191" s="11" t="s">
        <v>73</v>
      </c>
      <c r="C5191">
        <v>4021</v>
      </c>
      <c r="D5191" s="9">
        <v>86</v>
      </c>
      <c r="E5191" t="s">
        <v>60</v>
      </c>
    </row>
    <row r="5192" spans="1:5">
      <c r="A5192" t="s">
        <v>29</v>
      </c>
      <c r="B5192" s="11" t="s">
        <v>74</v>
      </c>
      <c r="C5192">
        <v>4021</v>
      </c>
      <c r="D5192" s="9">
        <v>174</v>
      </c>
      <c r="E5192" t="s">
        <v>60</v>
      </c>
    </row>
    <row r="5193" spans="1:5">
      <c r="A5193" t="s">
        <v>30</v>
      </c>
      <c r="B5193" s="11" t="s">
        <v>63</v>
      </c>
      <c r="C5193">
        <v>4021</v>
      </c>
      <c r="D5193" s="9">
        <v>534</v>
      </c>
      <c r="E5193" t="s">
        <v>56</v>
      </c>
    </row>
    <row r="5194" spans="1:5">
      <c r="A5194" t="s">
        <v>30</v>
      </c>
      <c r="B5194" s="11" t="s">
        <v>75</v>
      </c>
      <c r="C5194">
        <v>4021</v>
      </c>
      <c r="D5194" s="9">
        <v>228</v>
      </c>
      <c r="E5194" t="s">
        <v>56</v>
      </c>
    </row>
    <row r="5195" spans="1:5">
      <c r="A5195" t="s">
        <v>30</v>
      </c>
      <c r="B5195" s="11" t="s">
        <v>64</v>
      </c>
      <c r="C5195">
        <v>4021</v>
      </c>
      <c r="D5195" s="9">
        <v>45</v>
      </c>
      <c r="E5195" t="s">
        <v>57</v>
      </c>
    </row>
    <row r="5196" spans="1:5">
      <c r="A5196" t="s">
        <v>30</v>
      </c>
      <c r="B5196" s="11" t="s">
        <v>65</v>
      </c>
      <c r="C5196">
        <v>4021</v>
      </c>
      <c r="D5196" s="9">
        <v>74</v>
      </c>
      <c r="E5196" t="s">
        <v>57</v>
      </c>
    </row>
    <row r="5197" spans="1:5">
      <c r="A5197" t="s">
        <v>30</v>
      </c>
      <c r="B5197" s="11" t="s">
        <v>66</v>
      </c>
      <c r="C5197">
        <v>4021</v>
      </c>
      <c r="D5197" s="9">
        <v>160</v>
      </c>
      <c r="E5197" t="s">
        <v>57</v>
      </c>
    </row>
    <row r="5198" spans="1:5">
      <c r="A5198" t="s">
        <v>30</v>
      </c>
      <c r="B5198" s="11" t="s">
        <v>67</v>
      </c>
      <c r="C5198">
        <v>4021</v>
      </c>
      <c r="D5198" s="9">
        <v>128</v>
      </c>
      <c r="E5198" t="s">
        <v>57</v>
      </c>
    </row>
    <row r="5199" spans="1:5">
      <c r="A5199" t="s">
        <v>30</v>
      </c>
      <c r="B5199" s="11" t="s">
        <v>77</v>
      </c>
      <c r="C5199">
        <v>4021</v>
      </c>
      <c r="D5199" s="9">
        <v>107</v>
      </c>
      <c r="E5199" t="s">
        <v>58</v>
      </c>
    </row>
    <row r="5200" spans="1:5">
      <c r="A5200" t="s">
        <v>30</v>
      </c>
      <c r="B5200" s="11" t="s">
        <v>70</v>
      </c>
      <c r="C5200">
        <v>4021</v>
      </c>
      <c r="D5200" s="9">
        <v>481</v>
      </c>
      <c r="E5200" t="s">
        <v>59</v>
      </c>
    </row>
    <row r="5201" spans="1:5">
      <c r="A5201" t="s">
        <v>30</v>
      </c>
      <c r="B5201" s="11" t="s">
        <v>71</v>
      </c>
      <c r="C5201">
        <v>4021</v>
      </c>
      <c r="D5201" s="9">
        <v>456</v>
      </c>
      <c r="E5201" t="s">
        <v>59</v>
      </c>
    </row>
    <row r="5202" spans="1:5">
      <c r="A5202" t="s">
        <v>30</v>
      </c>
      <c r="B5202" s="11" t="s">
        <v>72</v>
      </c>
      <c r="C5202">
        <v>4021</v>
      </c>
      <c r="D5202" s="9">
        <v>672</v>
      </c>
      <c r="E5202" t="s">
        <v>59</v>
      </c>
    </row>
    <row r="5203" spans="1:5">
      <c r="A5203" t="s">
        <v>30</v>
      </c>
      <c r="B5203" s="11" t="s">
        <v>78</v>
      </c>
      <c r="C5203">
        <v>4021</v>
      </c>
      <c r="D5203" s="9">
        <v>119</v>
      </c>
      <c r="E5203" t="s">
        <v>59</v>
      </c>
    </row>
    <row r="5204" spans="1:5">
      <c r="A5204" t="s">
        <v>30</v>
      </c>
      <c r="B5204" s="11" t="s">
        <v>73</v>
      </c>
      <c r="C5204">
        <v>4021</v>
      </c>
      <c r="D5204" s="9">
        <v>101</v>
      </c>
      <c r="E5204" t="s">
        <v>60</v>
      </c>
    </row>
    <row r="5205" spans="1:5">
      <c r="A5205" t="s">
        <v>30</v>
      </c>
      <c r="B5205" s="11" t="s">
        <v>74</v>
      </c>
      <c r="C5205">
        <v>4021</v>
      </c>
      <c r="D5205" s="9">
        <v>227</v>
      </c>
      <c r="E5205" t="s">
        <v>60</v>
      </c>
    </row>
    <row r="5206" spans="1:5">
      <c r="A5206" t="s">
        <v>31</v>
      </c>
      <c r="B5206" s="11" t="s">
        <v>63</v>
      </c>
      <c r="C5206">
        <v>4021</v>
      </c>
      <c r="D5206" s="9">
        <v>545</v>
      </c>
      <c r="E5206" t="s">
        <v>56</v>
      </c>
    </row>
    <row r="5207" spans="1:5">
      <c r="A5207" t="s">
        <v>31</v>
      </c>
      <c r="B5207" s="11" t="s">
        <v>75</v>
      </c>
      <c r="C5207">
        <v>4021</v>
      </c>
      <c r="D5207" s="9">
        <v>227</v>
      </c>
      <c r="E5207" t="s">
        <v>56</v>
      </c>
    </row>
    <row r="5208" spans="1:5">
      <c r="A5208" t="s">
        <v>31</v>
      </c>
      <c r="B5208" s="11" t="s">
        <v>64</v>
      </c>
      <c r="C5208">
        <v>4021</v>
      </c>
      <c r="D5208" s="9">
        <v>44</v>
      </c>
      <c r="E5208" t="s">
        <v>57</v>
      </c>
    </row>
    <row r="5209" spans="1:5">
      <c r="A5209" t="s">
        <v>31</v>
      </c>
      <c r="B5209" s="11" t="s">
        <v>65</v>
      </c>
      <c r="C5209">
        <v>4021</v>
      </c>
      <c r="D5209" s="9">
        <v>71</v>
      </c>
      <c r="E5209" t="s">
        <v>57</v>
      </c>
    </row>
    <row r="5210" spans="1:5">
      <c r="A5210" t="s">
        <v>31</v>
      </c>
      <c r="B5210" s="11" t="s">
        <v>66</v>
      </c>
      <c r="C5210">
        <v>4021</v>
      </c>
      <c r="D5210" s="9">
        <v>150</v>
      </c>
      <c r="E5210" t="s">
        <v>57</v>
      </c>
    </row>
    <row r="5211" spans="1:5">
      <c r="A5211" t="s">
        <v>31</v>
      </c>
      <c r="B5211" s="11" t="s">
        <v>67</v>
      </c>
      <c r="C5211">
        <v>4021</v>
      </c>
      <c r="D5211" s="9">
        <v>116</v>
      </c>
      <c r="E5211" t="s">
        <v>57</v>
      </c>
    </row>
    <row r="5212" spans="1:5">
      <c r="A5212" t="s">
        <v>31</v>
      </c>
      <c r="B5212" s="11" t="s">
        <v>77</v>
      </c>
      <c r="C5212">
        <v>4021</v>
      </c>
      <c r="D5212" s="9">
        <v>99</v>
      </c>
      <c r="E5212" t="s">
        <v>58</v>
      </c>
    </row>
    <row r="5213" spans="1:5">
      <c r="A5213" t="s">
        <v>31</v>
      </c>
      <c r="B5213" s="11" t="s">
        <v>70</v>
      </c>
      <c r="C5213">
        <v>4021</v>
      </c>
      <c r="D5213" s="9">
        <v>452</v>
      </c>
      <c r="E5213" t="s">
        <v>59</v>
      </c>
    </row>
    <row r="5214" spans="1:5">
      <c r="A5214" t="s">
        <v>31</v>
      </c>
      <c r="B5214" s="11" t="s">
        <v>71</v>
      </c>
      <c r="C5214">
        <v>4021</v>
      </c>
      <c r="D5214" s="9">
        <v>465</v>
      </c>
      <c r="E5214" t="s">
        <v>59</v>
      </c>
    </row>
    <row r="5215" spans="1:5">
      <c r="A5215" t="s">
        <v>31</v>
      </c>
      <c r="B5215" s="11" t="s">
        <v>72</v>
      </c>
      <c r="C5215">
        <v>4021</v>
      </c>
      <c r="D5215" s="9">
        <v>620</v>
      </c>
      <c r="E5215" t="s">
        <v>59</v>
      </c>
    </row>
    <row r="5216" spans="1:5">
      <c r="A5216" t="s">
        <v>31</v>
      </c>
      <c r="B5216" s="11" t="s">
        <v>78</v>
      </c>
      <c r="C5216">
        <v>4021</v>
      </c>
      <c r="D5216" s="9">
        <v>127</v>
      </c>
      <c r="E5216" t="s">
        <v>59</v>
      </c>
    </row>
    <row r="5217" spans="1:5">
      <c r="A5217" t="s">
        <v>31</v>
      </c>
      <c r="B5217" s="11" t="s">
        <v>73</v>
      </c>
      <c r="C5217">
        <v>4021</v>
      </c>
      <c r="D5217" s="9">
        <v>94</v>
      </c>
      <c r="E5217" t="s">
        <v>60</v>
      </c>
    </row>
    <row r="5218" spans="1:5">
      <c r="A5218" t="s">
        <v>31</v>
      </c>
      <c r="B5218" s="11" t="s">
        <v>74</v>
      </c>
      <c r="C5218">
        <v>4021</v>
      </c>
      <c r="D5218" s="9">
        <v>184</v>
      </c>
      <c r="E5218" t="s">
        <v>60</v>
      </c>
    </row>
    <row r="5219" spans="1:5">
      <c r="A5219" t="s">
        <v>32</v>
      </c>
      <c r="B5219" s="11" t="s">
        <v>63</v>
      </c>
      <c r="C5219">
        <v>4021</v>
      </c>
      <c r="D5219" s="9">
        <v>535</v>
      </c>
      <c r="E5219" t="s">
        <v>56</v>
      </c>
    </row>
    <row r="5220" spans="1:5">
      <c r="A5220" t="s">
        <v>32</v>
      </c>
      <c r="B5220" s="11" t="s">
        <v>75</v>
      </c>
      <c r="C5220">
        <v>4021</v>
      </c>
      <c r="D5220" s="9">
        <v>195</v>
      </c>
      <c r="E5220" t="s">
        <v>56</v>
      </c>
    </row>
    <row r="5221" spans="1:5">
      <c r="A5221" t="s">
        <v>32</v>
      </c>
      <c r="B5221" s="11" t="s">
        <v>64</v>
      </c>
      <c r="C5221">
        <v>4021</v>
      </c>
      <c r="D5221" s="9">
        <v>40</v>
      </c>
      <c r="E5221" t="s">
        <v>57</v>
      </c>
    </row>
    <row r="5222" spans="1:5">
      <c r="A5222" t="s">
        <v>32</v>
      </c>
      <c r="B5222" s="11" t="s">
        <v>65</v>
      </c>
      <c r="C5222">
        <v>4021</v>
      </c>
      <c r="D5222" s="9">
        <v>66</v>
      </c>
      <c r="E5222" t="s">
        <v>57</v>
      </c>
    </row>
    <row r="5223" spans="1:5">
      <c r="A5223" t="s">
        <v>32</v>
      </c>
      <c r="B5223" s="11" t="s">
        <v>66</v>
      </c>
      <c r="C5223">
        <v>4021</v>
      </c>
      <c r="D5223" s="9">
        <v>131</v>
      </c>
      <c r="E5223" t="s">
        <v>57</v>
      </c>
    </row>
    <row r="5224" spans="1:5">
      <c r="A5224" t="s">
        <v>32</v>
      </c>
      <c r="B5224" s="11" t="s">
        <v>67</v>
      </c>
      <c r="C5224">
        <v>4021</v>
      </c>
      <c r="D5224" s="9">
        <v>106</v>
      </c>
      <c r="E5224" t="s">
        <v>57</v>
      </c>
    </row>
    <row r="5225" spans="1:5">
      <c r="A5225" t="s">
        <v>32</v>
      </c>
      <c r="B5225" s="11" t="s">
        <v>77</v>
      </c>
      <c r="C5225">
        <v>4021</v>
      </c>
      <c r="D5225" s="9">
        <v>91</v>
      </c>
      <c r="E5225" t="s">
        <v>58</v>
      </c>
    </row>
    <row r="5226" spans="1:5">
      <c r="A5226" t="s">
        <v>32</v>
      </c>
      <c r="B5226" s="11" t="s">
        <v>70</v>
      </c>
      <c r="C5226">
        <v>4021</v>
      </c>
      <c r="D5226" s="9">
        <v>447</v>
      </c>
      <c r="E5226" t="s">
        <v>59</v>
      </c>
    </row>
    <row r="5227" spans="1:5">
      <c r="A5227" t="s">
        <v>32</v>
      </c>
      <c r="B5227" s="11" t="s">
        <v>71</v>
      </c>
      <c r="C5227">
        <v>4021</v>
      </c>
      <c r="D5227" s="9">
        <v>435</v>
      </c>
      <c r="E5227" t="s">
        <v>59</v>
      </c>
    </row>
    <row r="5228" spans="1:5">
      <c r="A5228" t="s">
        <v>32</v>
      </c>
      <c r="B5228" s="11" t="s">
        <v>72</v>
      </c>
      <c r="C5228">
        <v>4021</v>
      </c>
      <c r="D5228" s="9">
        <v>507</v>
      </c>
      <c r="E5228" t="s">
        <v>59</v>
      </c>
    </row>
    <row r="5229" spans="1:5">
      <c r="A5229" t="s">
        <v>32</v>
      </c>
      <c r="B5229" s="11" t="s">
        <v>78</v>
      </c>
      <c r="C5229">
        <v>4021</v>
      </c>
      <c r="D5229" s="9">
        <v>113</v>
      </c>
      <c r="E5229" t="s">
        <v>59</v>
      </c>
    </row>
    <row r="5230" spans="1:5">
      <c r="A5230" t="s">
        <v>32</v>
      </c>
      <c r="B5230" s="11" t="s">
        <v>73</v>
      </c>
      <c r="C5230">
        <v>4021</v>
      </c>
      <c r="D5230" s="9">
        <v>81</v>
      </c>
      <c r="E5230" t="s">
        <v>60</v>
      </c>
    </row>
    <row r="5231" spans="1:5">
      <c r="A5231" t="s">
        <v>32</v>
      </c>
      <c r="B5231" s="11" t="s">
        <v>74</v>
      </c>
      <c r="C5231">
        <v>4021</v>
      </c>
      <c r="D5231" s="9">
        <v>168</v>
      </c>
      <c r="E5231" t="s">
        <v>60</v>
      </c>
    </row>
    <row r="5232" spans="1:5">
      <c r="A5232" t="s">
        <v>33</v>
      </c>
      <c r="B5232" s="11" t="s">
        <v>63</v>
      </c>
      <c r="C5232">
        <v>4021</v>
      </c>
      <c r="D5232" s="9">
        <v>550</v>
      </c>
      <c r="E5232" t="s">
        <v>56</v>
      </c>
    </row>
    <row r="5233" spans="1:5">
      <c r="A5233" t="s">
        <v>33</v>
      </c>
      <c r="B5233" s="11" t="s">
        <v>75</v>
      </c>
      <c r="C5233">
        <v>4021</v>
      </c>
      <c r="D5233" s="9">
        <v>195</v>
      </c>
      <c r="E5233" t="s">
        <v>56</v>
      </c>
    </row>
    <row r="5234" spans="1:5">
      <c r="A5234" t="s">
        <v>33</v>
      </c>
      <c r="B5234" s="11" t="s">
        <v>64</v>
      </c>
      <c r="C5234">
        <v>4021</v>
      </c>
      <c r="D5234" s="9">
        <v>37</v>
      </c>
      <c r="E5234" t="s">
        <v>57</v>
      </c>
    </row>
    <row r="5235" spans="1:5">
      <c r="A5235" t="s">
        <v>33</v>
      </c>
      <c r="B5235" s="11" t="s">
        <v>65</v>
      </c>
      <c r="C5235">
        <v>4021</v>
      </c>
      <c r="D5235" s="9">
        <v>68</v>
      </c>
      <c r="E5235" t="s">
        <v>57</v>
      </c>
    </row>
    <row r="5236" spans="1:5">
      <c r="A5236" t="s">
        <v>33</v>
      </c>
      <c r="B5236" s="11" t="s">
        <v>66</v>
      </c>
      <c r="C5236">
        <v>4021</v>
      </c>
      <c r="D5236" s="9">
        <v>139</v>
      </c>
      <c r="E5236" t="s">
        <v>57</v>
      </c>
    </row>
    <row r="5237" spans="1:5">
      <c r="A5237" t="s">
        <v>33</v>
      </c>
      <c r="B5237" s="11" t="s">
        <v>67</v>
      </c>
      <c r="C5237">
        <v>4021</v>
      </c>
      <c r="D5237" s="9">
        <v>105</v>
      </c>
      <c r="E5237" t="s">
        <v>57</v>
      </c>
    </row>
    <row r="5238" spans="1:5">
      <c r="A5238" t="s">
        <v>33</v>
      </c>
      <c r="B5238" s="11" t="s">
        <v>77</v>
      </c>
      <c r="C5238">
        <v>4021</v>
      </c>
      <c r="D5238" s="9">
        <v>96</v>
      </c>
      <c r="E5238" t="s">
        <v>58</v>
      </c>
    </row>
    <row r="5239" spans="1:5">
      <c r="A5239" t="s">
        <v>33</v>
      </c>
      <c r="B5239" s="11" t="s">
        <v>70</v>
      </c>
      <c r="C5239">
        <v>4021</v>
      </c>
      <c r="D5239" s="9">
        <v>437</v>
      </c>
      <c r="E5239" t="s">
        <v>59</v>
      </c>
    </row>
    <row r="5240" spans="1:5">
      <c r="A5240" t="s">
        <v>33</v>
      </c>
      <c r="B5240" s="11" t="s">
        <v>71</v>
      </c>
      <c r="C5240">
        <v>4021</v>
      </c>
      <c r="D5240" s="9">
        <v>437</v>
      </c>
      <c r="E5240" t="s">
        <v>59</v>
      </c>
    </row>
    <row r="5241" spans="1:5">
      <c r="A5241" t="s">
        <v>33</v>
      </c>
      <c r="B5241" s="11" t="s">
        <v>72</v>
      </c>
      <c r="C5241">
        <v>4021</v>
      </c>
      <c r="D5241" s="9">
        <v>465</v>
      </c>
      <c r="E5241" t="s">
        <v>59</v>
      </c>
    </row>
    <row r="5242" spans="1:5">
      <c r="A5242" t="s">
        <v>33</v>
      </c>
      <c r="B5242" s="11" t="s">
        <v>78</v>
      </c>
      <c r="C5242">
        <v>4021</v>
      </c>
      <c r="D5242" s="9">
        <v>101</v>
      </c>
      <c r="E5242" t="s">
        <v>59</v>
      </c>
    </row>
    <row r="5243" spans="1:5">
      <c r="A5243" t="s">
        <v>33</v>
      </c>
      <c r="B5243" s="11" t="s">
        <v>73</v>
      </c>
      <c r="C5243">
        <v>4021</v>
      </c>
      <c r="D5243" s="9">
        <v>81</v>
      </c>
      <c r="E5243" t="s">
        <v>60</v>
      </c>
    </row>
    <row r="5244" spans="1:5">
      <c r="A5244" t="s">
        <v>33</v>
      </c>
      <c r="B5244" s="11" t="s">
        <v>74</v>
      </c>
      <c r="C5244">
        <v>4021</v>
      </c>
      <c r="D5244" s="9">
        <v>182</v>
      </c>
      <c r="E5244" t="s">
        <v>60</v>
      </c>
    </row>
    <row r="5245" spans="1:5">
      <c r="A5245" t="s">
        <v>34</v>
      </c>
      <c r="B5245" s="11" t="s">
        <v>63</v>
      </c>
      <c r="C5245">
        <v>4021</v>
      </c>
      <c r="D5245" s="9">
        <v>545</v>
      </c>
      <c r="E5245" t="s">
        <v>56</v>
      </c>
    </row>
    <row r="5246" spans="1:5">
      <c r="A5246" t="s">
        <v>34</v>
      </c>
      <c r="B5246" s="11" t="s">
        <v>75</v>
      </c>
      <c r="C5246">
        <v>4021</v>
      </c>
      <c r="D5246" s="9">
        <v>199</v>
      </c>
      <c r="E5246" t="s">
        <v>56</v>
      </c>
    </row>
    <row r="5247" spans="1:5">
      <c r="A5247" t="s">
        <v>34</v>
      </c>
      <c r="B5247" s="11" t="s">
        <v>64</v>
      </c>
      <c r="C5247">
        <v>4021</v>
      </c>
      <c r="D5247" s="9">
        <v>36</v>
      </c>
      <c r="E5247" t="s">
        <v>57</v>
      </c>
    </row>
    <row r="5248" spans="1:5">
      <c r="A5248" t="s">
        <v>34</v>
      </c>
      <c r="B5248" s="11" t="s">
        <v>65</v>
      </c>
      <c r="C5248">
        <v>4021</v>
      </c>
      <c r="D5248" s="9">
        <v>71</v>
      </c>
      <c r="E5248" t="s">
        <v>57</v>
      </c>
    </row>
    <row r="5249" spans="1:5">
      <c r="A5249" t="s">
        <v>34</v>
      </c>
      <c r="B5249" s="11" t="s">
        <v>66</v>
      </c>
      <c r="C5249">
        <v>4021</v>
      </c>
      <c r="D5249" s="9">
        <v>137</v>
      </c>
      <c r="E5249" t="s">
        <v>57</v>
      </c>
    </row>
    <row r="5250" spans="1:5">
      <c r="A5250" t="s">
        <v>34</v>
      </c>
      <c r="B5250" s="11" t="s">
        <v>67</v>
      </c>
      <c r="C5250">
        <v>4021</v>
      </c>
      <c r="D5250" s="9">
        <v>97</v>
      </c>
      <c r="E5250" t="s">
        <v>57</v>
      </c>
    </row>
    <row r="5251" spans="1:5">
      <c r="A5251" t="s">
        <v>34</v>
      </c>
      <c r="B5251" s="11" t="s">
        <v>77</v>
      </c>
      <c r="C5251">
        <v>4021</v>
      </c>
      <c r="D5251" s="9">
        <v>88</v>
      </c>
      <c r="E5251" t="s">
        <v>58</v>
      </c>
    </row>
    <row r="5252" spans="1:5">
      <c r="A5252" t="s">
        <v>34</v>
      </c>
      <c r="B5252" s="11" t="s">
        <v>70</v>
      </c>
      <c r="C5252">
        <v>4021</v>
      </c>
      <c r="D5252" s="9">
        <v>449</v>
      </c>
      <c r="E5252" t="s">
        <v>59</v>
      </c>
    </row>
    <row r="5253" spans="1:5">
      <c r="A5253" t="s">
        <v>34</v>
      </c>
      <c r="B5253" s="11" t="s">
        <v>71</v>
      </c>
      <c r="C5253">
        <v>4021</v>
      </c>
      <c r="D5253" s="9">
        <v>433</v>
      </c>
      <c r="E5253" t="s">
        <v>59</v>
      </c>
    </row>
    <row r="5254" spans="1:5">
      <c r="A5254" t="s">
        <v>34</v>
      </c>
      <c r="B5254" s="11" t="s">
        <v>72</v>
      </c>
      <c r="C5254">
        <v>4021</v>
      </c>
      <c r="D5254" s="9">
        <v>478</v>
      </c>
      <c r="E5254" t="s">
        <v>59</v>
      </c>
    </row>
    <row r="5255" spans="1:5">
      <c r="A5255" t="s">
        <v>34</v>
      </c>
      <c r="B5255" s="11" t="s">
        <v>78</v>
      </c>
      <c r="C5255">
        <v>4021</v>
      </c>
      <c r="D5255" s="9">
        <v>101</v>
      </c>
      <c r="E5255" t="s">
        <v>59</v>
      </c>
    </row>
    <row r="5256" spans="1:5">
      <c r="A5256" t="s">
        <v>34</v>
      </c>
      <c r="B5256" s="11" t="s">
        <v>73</v>
      </c>
      <c r="C5256">
        <v>4021</v>
      </c>
      <c r="D5256" s="9">
        <v>79</v>
      </c>
      <c r="E5256" t="s">
        <v>60</v>
      </c>
    </row>
    <row r="5257" spans="1:5">
      <c r="A5257" t="s">
        <v>34</v>
      </c>
      <c r="B5257" s="11" t="s">
        <v>74</v>
      </c>
      <c r="C5257">
        <v>4021</v>
      </c>
      <c r="D5257" s="9">
        <v>175</v>
      </c>
      <c r="E5257" t="s">
        <v>60</v>
      </c>
    </row>
    <row r="5258" spans="1:5">
      <c r="A5258" t="s">
        <v>35</v>
      </c>
      <c r="B5258" s="11" t="s">
        <v>63</v>
      </c>
      <c r="C5258">
        <v>4021</v>
      </c>
      <c r="D5258" s="9">
        <v>543</v>
      </c>
      <c r="E5258" t="s">
        <v>56</v>
      </c>
    </row>
    <row r="5259" spans="1:5">
      <c r="A5259" t="s">
        <v>35</v>
      </c>
      <c r="B5259" s="11" t="s">
        <v>75</v>
      </c>
      <c r="C5259">
        <v>4021</v>
      </c>
      <c r="D5259" s="9">
        <v>189</v>
      </c>
      <c r="E5259" t="s">
        <v>56</v>
      </c>
    </row>
    <row r="5260" spans="1:5">
      <c r="A5260" t="s">
        <v>35</v>
      </c>
      <c r="B5260" s="11" t="s">
        <v>64</v>
      </c>
      <c r="C5260">
        <v>4021</v>
      </c>
      <c r="D5260" s="9">
        <v>37</v>
      </c>
      <c r="E5260" t="s">
        <v>57</v>
      </c>
    </row>
    <row r="5261" spans="1:5">
      <c r="A5261" t="s">
        <v>35</v>
      </c>
      <c r="B5261" s="11" t="s">
        <v>65</v>
      </c>
      <c r="C5261">
        <v>4021</v>
      </c>
      <c r="D5261" s="9">
        <v>71</v>
      </c>
      <c r="E5261" t="s">
        <v>57</v>
      </c>
    </row>
    <row r="5262" spans="1:5">
      <c r="A5262" t="s">
        <v>35</v>
      </c>
      <c r="B5262" s="11" t="s">
        <v>66</v>
      </c>
      <c r="C5262">
        <v>4021</v>
      </c>
      <c r="D5262" s="9">
        <v>136</v>
      </c>
      <c r="E5262" t="s">
        <v>57</v>
      </c>
    </row>
    <row r="5263" spans="1:5">
      <c r="A5263" t="s">
        <v>35</v>
      </c>
      <c r="B5263" s="11" t="s">
        <v>67</v>
      </c>
      <c r="C5263">
        <v>4021</v>
      </c>
      <c r="D5263" s="9">
        <v>104</v>
      </c>
      <c r="E5263" t="s">
        <v>57</v>
      </c>
    </row>
    <row r="5264" spans="1:5">
      <c r="A5264" t="s">
        <v>35</v>
      </c>
      <c r="B5264" s="11" t="s">
        <v>77</v>
      </c>
      <c r="C5264">
        <v>4021</v>
      </c>
      <c r="D5264" s="9">
        <v>90</v>
      </c>
      <c r="E5264" t="s">
        <v>58</v>
      </c>
    </row>
    <row r="5265" spans="1:5">
      <c r="A5265" t="s">
        <v>35</v>
      </c>
      <c r="B5265" s="11" t="s">
        <v>70</v>
      </c>
      <c r="C5265">
        <v>4021</v>
      </c>
      <c r="D5265" s="9">
        <v>434</v>
      </c>
      <c r="E5265" t="s">
        <v>59</v>
      </c>
    </row>
    <row r="5266" spans="1:5">
      <c r="A5266" t="s">
        <v>35</v>
      </c>
      <c r="B5266" s="11" t="s">
        <v>71</v>
      </c>
      <c r="C5266">
        <v>4021</v>
      </c>
      <c r="D5266" s="9">
        <v>440</v>
      </c>
      <c r="E5266" t="s">
        <v>59</v>
      </c>
    </row>
    <row r="5267" spans="1:5">
      <c r="A5267" t="s">
        <v>35</v>
      </c>
      <c r="B5267" s="11" t="s">
        <v>72</v>
      </c>
      <c r="C5267">
        <v>4021</v>
      </c>
      <c r="D5267" s="9">
        <v>484</v>
      </c>
      <c r="E5267" t="s">
        <v>59</v>
      </c>
    </row>
    <row r="5268" spans="1:5">
      <c r="A5268" t="s">
        <v>35</v>
      </c>
      <c r="B5268" s="11" t="s">
        <v>78</v>
      </c>
      <c r="C5268">
        <v>4021</v>
      </c>
      <c r="D5268" s="9">
        <v>106</v>
      </c>
      <c r="E5268" t="s">
        <v>59</v>
      </c>
    </row>
    <row r="5269" spans="1:5">
      <c r="A5269" t="s">
        <v>35</v>
      </c>
      <c r="B5269" s="11" t="s">
        <v>73</v>
      </c>
      <c r="C5269">
        <v>4021</v>
      </c>
      <c r="D5269" s="9">
        <v>82</v>
      </c>
      <c r="E5269" t="s">
        <v>60</v>
      </c>
    </row>
    <row r="5270" spans="1:5">
      <c r="A5270" t="s">
        <v>35</v>
      </c>
      <c r="B5270" s="11" t="s">
        <v>74</v>
      </c>
      <c r="C5270">
        <v>4021</v>
      </c>
      <c r="D5270" s="9">
        <v>175</v>
      </c>
      <c r="E5270" t="s">
        <v>60</v>
      </c>
    </row>
    <row r="5271" spans="1:5">
      <c r="A5271" t="s">
        <v>36</v>
      </c>
      <c r="B5271" s="11" t="s">
        <v>63</v>
      </c>
      <c r="C5271">
        <v>4021</v>
      </c>
      <c r="D5271" s="9">
        <v>541</v>
      </c>
      <c r="E5271" t="s">
        <v>56</v>
      </c>
    </row>
    <row r="5272" spans="1:5">
      <c r="A5272" t="s">
        <v>36</v>
      </c>
      <c r="B5272" s="11" t="s">
        <v>75</v>
      </c>
      <c r="C5272">
        <v>4021</v>
      </c>
      <c r="D5272" s="9">
        <v>183</v>
      </c>
      <c r="E5272" t="s">
        <v>56</v>
      </c>
    </row>
    <row r="5273" spans="1:5">
      <c r="A5273" t="s">
        <v>36</v>
      </c>
      <c r="B5273" s="11" t="s">
        <v>64</v>
      </c>
      <c r="C5273">
        <v>4021</v>
      </c>
      <c r="D5273" s="9">
        <v>33</v>
      </c>
      <c r="E5273" t="s">
        <v>57</v>
      </c>
    </row>
    <row r="5274" spans="1:5">
      <c r="A5274" t="s">
        <v>36</v>
      </c>
      <c r="B5274" s="11" t="s">
        <v>65</v>
      </c>
      <c r="C5274">
        <v>4021</v>
      </c>
      <c r="D5274" s="9">
        <v>68</v>
      </c>
      <c r="E5274" t="s">
        <v>57</v>
      </c>
    </row>
    <row r="5275" spans="1:5">
      <c r="A5275" t="s">
        <v>36</v>
      </c>
      <c r="B5275" s="11" t="s">
        <v>66</v>
      </c>
      <c r="C5275">
        <v>4021</v>
      </c>
      <c r="D5275" s="9">
        <v>119</v>
      </c>
      <c r="E5275" t="s">
        <v>57</v>
      </c>
    </row>
    <row r="5276" spans="1:5">
      <c r="A5276" t="s">
        <v>36</v>
      </c>
      <c r="B5276" s="11" t="s">
        <v>67</v>
      </c>
      <c r="C5276">
        <v>4021</v>
      </c>
      <c r="D5276" s="9">
        <v>96</v>
      </c>
      <c r="E5276" t="s">
        <v>57</v>
      </c>
    </row>
    <row r="5277" spans="1:5">
      <c r="A5277" t="s">
        <v>36</v>
      </c>
      <c r="B5277" s="11" t="s">
        <v>77</v>
      </c>
      <c r="C5277">
        <v>4021</v>
      </c>
      <c r="D5277" s="9">
        <v>79</v>
      </c>
      <c r="E5277" t="s">
        <v>58</v>
      </c>
    </row>
    <row r="5278" spans="1:5">
      <c r="A5278" t="s">
        <v>36</v>
      </c>
      <c r="B5278" s="11" t="s">
        <v>70</v>
      </c>
      <c r="C5278">
        <v>4021</v>
      </c>
      <c r="D5278" s="9">
        <v>386</v>
      </c>
      <c r="E5278" t="s">
        <v>59</v>
      </c>
    </row>
    <row r="5279" spans="1:5">
      <c r="A5279" t="s">
        <v>36</v>
      </c>
      <c r="B5279" s="11" t="s">
        <v>71</v>
      </c>
      <c r="C5279">
        <v>4021</v>
      </c>
      <c r="D5279" s="9">
        <v>389</v>
      </c>
      <c r="E5279" t="s">
        <v>59</v>
      </c>
    </row>
    <row r="5280" spans="1:5">
      <c r="A5280" t="s">
        <v>36</v>
      </c>
      <c r="B5280" s="11" t="s">
        <v>72</v>
      </c>
      <c r="C5280">
        <v>4021</v>
      </c>
      <c r="D5280" s="9">
        <v>439</v>
      </c>
      <c r="E5280" t="s">
        <v>59</v>
      </c>
    </row>
    <row r="5281" spans="1:5">
      <c r="A5281" t="s">
        <v>36</v>
      </c>
      <c r="B5281" s="11" t="s">
        <v>78</v>
      </c>
      <c r="C5281">
        <v>4021</v>
      </c>
      <c r="D5281" s="9">
        <v>90</v>
      </c>
      <c r="E5281" t="s">
        <v>59</v>
      </c>
    </row>
    <row r="5282" spans="1:5">
      <c r="A5282" t="s">
        <v>36</v>
      </c>
      <c r="B5282" s="11" t="s">
        <v>73</v>
      </c>
      <c r="C5282">
        <v>4021</v>
      </c>
      <c r="D5282" s="9">
        <v>76</v>
      </c>
      <c r="E5282" t="s">
        <v>60</v>
      </c>
    </row>
    <row r="5283" spans="1:5">
      <c r="A5283" t="s">
        <v>36</v>
      </c>
      <c r="B5283" s="11" t="s">
        <v>74</v>
      </c>
      <c r="C5283">
        <v>4021</v>
      </c>
      <c r="D5283" s="9">
        <v>162</v>
      </c>
      <c r="E5283" t="s">
        <v>60</v>
      </c>
    </row>
    <row r="5284" spans="1:5">
      <c r="A5284" t="s">
        <v>37</v>
      </c>
      <c r="B5284" s="11" t="s">
        <v>63</v>
      </c>
      <c r="C5284">
        <v>4021</v>
      </c>
      <c r="D5284" s="9">
        <v>517</v>
      </c>
      <c r="E5284" t="s">
        <v>56</v>
      </c>
    </row>
    <row r="5285" spans="1:5">
      <c r="A5285" t="s">
        <v>37</v>
      </c>
      <c r="B5285" s="11" t="s">
        <v>75</v>
      </c>
      <c r="C5285">
        <v>4021</v>
      </c>
      <c r="D5285" s="9">
        <v>187</v>
      </c>
      <c r="E5285" t="s">
        <v>56</v>
      </c>
    </row>
    <row r="5286" spans="1:5">
      <c r="A5286" t="s">
        <v>37</v>
      </c>
      <c r="B5286" s="11" t="s">
        <v>64</v>
      </c>
      <c r="C5286">
        <v>4021</v>
      </c>
      <c r="D5286" s="9">
        <v>33</v>
      </c>
      <c r="E5286" t="s">
        <v>57</v>
      </c>
    </row>
    <row r="5287" spans="1:5">
      <c r="A5287" t="s">
        <v>37</v>
      </c>
      <c r="B5287" s="11" t="s">
        <v>65</v>
      </c>
      <c r="C5287">
        <v>4021</v>
      </c>
      <c r="D5287" s="9">
        <v>64</v>
      </c>
      <c r="E5287" t="s">
        <v>57</v>
      </c>
    </row>
    <row r="5288" spans="1:5">
      <c r="A5288" t="s">
        <v>37</v>
      </c>
      <c r="B5288" s="11" t="s">
        <v>66</v>
      </c>
      <c r="C5288">
        <v>4021</v>
      </c>
      <c r="D5288" s="9">
        <v>123</v>
      </c>
      <c r="E5288" t="s">
        <v>57</v>
      </c>
    </row>
    <row r="5289" spans="1:5">
      <c r="A5289" t="s">
        <v>37</v>
      </c>
      <c r="B5289" s="11" t="s">
        <v>67</v>
      </c>
      <c r="C5289">
        <v>4021</v>
      </c>
      <c r="D5289" s="9">
        <v>100</v>
      </c>
      <c r="E5289" t="s">
        <v>57</v>
      </c>
    </row>
    <row r="5290" spans="1:5">
      <c r="A5290" t="s">
        <v>37</v>
      </c>
      <c r="B5290" s="11" t="s">
        <v>77</v>
      </c>
      <c r="C5290">
        <v>4021</v>
      </c>
      <c r="D5290" s="9">
        <v>79</v>
      </c>
      <c r="E5290" t="s">
        <v>58</v>
      </c>
    </row>
    <row r="5291" spans="1:5">
      <c r="A5291" t="s">
        <v>37</v>
      </c>
      <c r="B5291" s="11" t="s">
        <v>70</v>
      </c>
      <c r="C5291">
        <v>4021</v>
      </c>
      <c r="D5291" s="9">
        <v>393</v>
      </c>
      <c r="E5291" t="s">
        <v>59</v>
      </c>
    </row>
    <row r="5292" spans="1:5">
      <c r="A5292" t="s">
        <v>37</v>
      </c>
      <c r="B5292" s="11" t="s">
        <v>71</v>
      </c>
      <c r="C5292">
        <v>4021</v>
      </c>
      <c r="D5292" s="9">
        <v>411</v>
      </c>
      <c r="E5292" t="s">
        <v>59</v>
      </c>
    </row>
    <row r="5293" spans="1:5">
      <c r="A5293" t="s">
        <v>37</v>
      </c>
      <c r="B5293" s="11" t="s">
        <v>72</v>
      </c>
      <c r="C5293">
        <v>4021</v>
      </c>
      <c r="D5293" s="9">
        <v>454</v>
      </c>
      <c r="E5293" t="s">
        <v>59</v>
      </c>
    </row>
    <row r="5294" spans="1:5">
      <c r="A5294" t="s">
        <v>37</v>
      </c>
      <c r="B5294" s="11" t="s">
        <v>78</v>
      </c>
      <c r="C5294">
        <v>4021</v>
      </c>
      <c r="D5294" s="9">
        <v>101</v>
      </c>
      <c r="E5294" t="s">
        <v>59</v>
      </c>
    </row>
    <row r="5295" spans="1:5">
      <c r="A5295" t="s">
        <v>37</v>
      </c>
      <c r="B5295" s="11" t="s">
        <v>73</v>
      </c>
      <c r="C5295">
        <v>4021</v>
      </c>
      <c r="D5295" s="9">
        <v>75</v>
      </c>
      <c r="E5295" t="s">
        <v>60</v>
      </c>
    </row>
    <row r="5296" spans="1:5">
      <c r="A5296" t="s">
        <v>37</v>
      </c>
      <c r="B5296" s="11" t="s">
        <v>74</v>
      </c>
      <c r="C5296">
        <v>4021</v>
      </c>
      <c r="D5296" s="9">
        <v>158</v>
      </c>
      <c r="E5296" t="s">
        <v>60</v>
      </c>
    </row>
    <row r="5297" spans="1:5">
      <c r="A5297" t="s">
        <v>38</v>
      </c>
      <c r="B5297" s="11" t="s">
        <v>63</v>
      </c>
      <c r="C5297">
        <v>4021</v>
      </c>
      <c r="D5297" s="9">
        <v>497</v>
      </c>
      <c r="E5297" t="s">
        <v>56</v>
      </c>
    </row>
    <row r="5298" spans="1:5">
      <c r="A5298" t="s">
        <v>38</v>
      </c>
      <c r="B5298" s="11" t="s">
        <v>75</v>
      </c>
      <c r="C5298">
        <v>4021</v>
      </c>
      <c r="D5298" s="9">
        <v>199</v>
      </c>
      <c r="E5298" t="s">
        <v>56</v>
      </c>
    </row>
    <row r="5299" spans="1:5">
      <c r="A5299" t="s">
        <v>38</v>
      </c>
      <c r="B5299" s="11" t="s">
        <v>64</v>
      </c>
      <c r="C5299">
        <v>4021</v>
      </c>
      <c r="D5299" s="9">
        <v>34</v>
      </c>
      <c r="E5299" t="s">
        <v>57</v>
      </c>
    </row>
    <row r="5300" spans="1:5">
      <c r="A5300" t="s">
        <v>38</v>
      </c>
      <c r="B5300" s="11" t="s">
        <v>65</v>
      </c>
      <c r="C5300">
        <v>4021</v>
      </c>
      <c r="D5300" s="9">
        <v>65</v>
      </c>
      <c r="E5300" t="s">
        <v>57</v>
      </c>
    </row>
    <row r="5301" spans="1:5">
      <c r="A5301" t="s">
        <v>38</v>
      </c>
      <c r="B5301" s="11" t="s">
        <v>66</v>
      </c>
      <c r="C5301">
        <v>4021</v>
      </c>
      <c r="D5301" s="9">
        <v>127</v>
      </c>
      <c r="E5301" t="s">
        <v>57</v>
      </c>
    </row>
    <row r="5302" spans="1:5">
      <c r="A5302" t="s">
        <v>38</v>
      </c>
      <c r="B5302" s="11" t="s">
        <v>67</v>
      </c>
      <c r="C5302">
        <v>4021</v>
      </c>
      <c r="D5302" s="9">
        <v>96</v>
      </c>
      <c r="E5302" t="s">
        <v>57</v>
      </c>
    </row>
    <row r="5303" spans="1:5">
      <c r="A5303" t="s">
        <v>38</v>
      </c>
      <c r="B5303" s="11" t="s">
        <v>77</v>
      </c>
      <c r="C5303">
        <v>4021</v>
      </c>
      <c r="D5303" s="9">
        <v>88</v>
      </c>
      <c r="E5303" t="s">
        <v>58</v>
      </c>
    </row>
    <row r="5304" spans="1:5">
      <c r="A5304" t="s">
        <v>38</v>
      </c>
      <c r="B5304" s="11" t="s">
        <v>70</v>
      </c>
      <c r="C5304">
        <v>4021</v>
      </c>
      <c r="D5304" s="9">
        <v>420</v>
      </c>
      <c r="E5304" t="s">
        <v>59</v>
      </c>
    </row>
    <row r="5305" spans="1:5">
      <c r="A5305" t="s">
        <v>38</v>
      </c>
      <c r="B5305" s="11" t="s">
        <v>71</v>
      </c>
      <c r="C5305">
        <v>4021</v>
      </c>
      <c r="D5305" s="9">
        <v>408</v>
      </c>
      <c r="E5305" t="s">
        <v>59</v>
      </c>
    </row>
    <row r="5306" spans="1:5">
      <c r="A5306" t="s">
        <v>38</v>
      </c>
      <c r="B5306" s="11" t="s">
        <v>72</v>
      </c>
      <c r="C5306">
        <v>4021</v>
      </c>
      <c r="D5306" s="9">
        <v>485</v>
      </c>
      <c r="E5306" t="s">
        <v>59</v>
      </c>
    </row>
    <row r="5307" spans="1:5">
      <c r="A5307" t="s">
        <v>38</v>
      </c>
      <c r="B5307" s="11" t="s">
        <v>78</v>
      </c>
      <c r="C5307">
        <v>4021</v>
      </c>
      <c r="D5307" s="9">
        <v>106</v>
      </c>
      <c r="E5307" t="s">
        <v>59</v>
      </c>
    </row>
    <row r="5308" spans="1:5">
      <c r="A5308" t="s">
        <v>38</v>
      </c>
      <c r="B5308" s="11" t="s">
        <v>73</v>
      </c>
      <c r="C5308">
        <v>4021</v>
      </c>
      <c r="D5308" s="9">
        <v>81</v>
      </c>
      <c r="E5308" t="s">
        <v>60</v>
      </c>
    </row>
    <row r="5309" spans="1:5">
      <c r="A5309" t="s">
        <v>38</v>
      </c>
      <c r="B5309" s="11" t="s">
        <v>74</v>
      </c>
      <c r="C5309">
        <v>4021</v>
      </c>
      <c r="D5309" s="9">
        <v>160</v>
      </c>
      <c r="E5309" t="s">
        <v>60</v>
      </c>
    </row>
    <row r="5310" spans="1:5">
      <c r="A5310" t="s">
        <v>39</v>
      </c>
      <c r="B5310" s="11" t="s">
        <v>63</v>
      </c>
      <c r="C5310">
        <v>4021</v>
      </c>
      <c r="D5310" s="9">
        <v>548</v>
      </c>
      <c r="E5310" t="s">
        <v>56</v>
      </c>
    </row>
    <row r="5311" spans="1:5">
      <c r="A5311" t="s">
        <v>39</v>
      </c>
      <c r="B5311" s="11" t="s">
        <v>75</v>
      </c>
      <c r="C5311">
        <v>4021</v>
      </c>
      <c r="D5311" s="9">
        <v>203</v>
      </c>
      <c r="E5311" t="s">
        <v>56</v>
      </c>
    </row>
    <row r="5312" spans="1:5">
      <c r="A5312" t="s">
        <v>39</v>
      </c>
      <c r="B5312" s="11" t="s">
        <v>64</v>
      </c>
      <c r="C5312">
        <v>4021</v>
      </c>
      <c r="D5312" s="9">
        <v>42</v>
      </c>
      <c r="E5312" t="s">
        <v>57</v>
      </c>
    </row>
    <row r="5313" spans="1:5">
      <c r="A5313" t="s">
        <v>39</v>
      </c>
      <c r="B5313" s="11" t="s">
        <v>65</v>
      </c>
      <c r="C5313">
        <v>4021</v>
      </c>
      <c r="D5313" s="9">
        <v>58</v>
      </c>
      <c r="E5313" t="s">
        <v>57</v>
      </c>
    </row>
    <row r="5314" spans="1:5">
      <c r="A5314" t="s">
        <v>39</v>
      </c>
      <c r="B5314" s="11" t="s">
        <v>66</v>
      </c>
      <c r="C5314">
        <v>4021</v>
      </c>
      <c r="D5314" s="9">
        <v>141</v>
      </c>
      <c r="E5314" t="s">
        <v>57</v>
      </c>
    </row>
    <row r="5315" spans="1:5">
      <c r="A5315" t="s">
        <v>39</v>
      </c>
      <c r="B5315" s="11" t="s">
        <v>67</v>
      </c>
      <c r="C5315">
        <v>4021</v>
      </c>
      <c r="D5315" s="9">
        <v>102</v>
      </c>
      <c r="E5315" t="s">
        <v>57</v>
      </c>
    </row>
    <row r="5316" spans="1:5">
      <c r="A5316" t="s">
        <v>39</v>
      </c>
      <c r="B5316" s="11" t="s">
        <v>77</v>
      </c>
      <c r="C5316">
        <v>4021</v>
      </c>
      <c r="D5316" s="9">
        <v>84</v>
      </c>
      <c r="E5316" t="s">
        <v>58</v>
      </c>
    </row>
    <row r="5317" spans="1:5">
      <c r="A5317" t="s">
        <v>39</v>
      </c>
      <c r="B5317" s="11" t="s">
        <v>70</v>
      </c>
      <c r="C5317">
        <v>4021</v>
      </c>
      <c r="D5317" s="9">
        <v>463</v>
      </c>
      <c r="E5317" t="s">
        <v>59</v>
      </c>
    </row>
    <row r="5318" spans="1:5">
      <c r="A5318" t="s">
        <v>39</v>
      </c>
      <c r="B5318" s="11" t="s">
        <v>71</v>
      </c>
      <c r="C5318">
        <v>4021</v>
      </c>
      <c r="D5318" s="9">
        <v>401</v>
      </c>
      <c r="E5318" t="s">
        <v>59</v>
      </c>
    </row>
    <row r="5319" spans="1:5">
      <c r="A5319" t="s">
        <v>39</v>
      </c>
      <c r="B5319" s="11" t="s">
        <v>72</v>
      </c>
      <c r="C5319">
        <v>4021</v>
      </c>
      <c r="D5319" s="9">
        <v>546</v>
      </c>
      <c r="E5319" t="s">
        <v>59</v>
      </c>
    </row>
    <row r="5320" spans="1:5">
      <c r="A5320" t="s">
        <v>39</v>
      </c>
      <c r="B5320" s="11" t="s">
        <v>78</v>
      </c>
      <c r="C5320">
        <v>4021</v>
      </c>
      <c r="D5320" s="9">
        <v>123</v>
      </c>
      <c r="E5320" t="s">
        <v>59</v>
      </c>
    </row>
    <row r="5321" spans="1:5">
      <c r="A5321" t="s">
        <v>39</v>
      </c>
      <c r="B5321" s="11" t="s">
        <v>73</v>
      </c>
      <c r="C5321">
        <v>4021</v>
      </c>
      <c r="D5321" s="9">
        <v>85</v>
      </c>
      <c r="E5321" t="s">
        <v>60</v>
      </c>
    </row>
    <row r="5322" spans="1:5">
      <c r="A5322" t="s">
        <v>39</v>
      </c>
      <c r="B5322" s="11" t="s">
        <v>74</v>
      </c>
      <c r="C5322">
        <v>4021</v>
      </c>
      <c r="D5322" s="9">
        <v>185</v>
      </c>
      <c r="E5322" t="s">
        <v>60</v>
      </c>
    </row>
    <row r="5323" spans="1:5">
      <c r="A5323" t="s">
        <v>28</v>
      </c>
      <c r="B5323" s="11" t="s">
        <v>63</v>
      </c>
      <c r="C5323">
        <v>4014</v>
      </c>
      <c r="D5323" s="9">
        <v>278</v>
      </c>
      <c r="E5323" t="s">
        <v>56</v>
      </c>
    </row>
    <row r="5324" spans="1:5">
      <c r="A5324" t="s">
        <v>28</v>
      </c>
      <c r="B5324" s="11" t="s">
        <v>75</v>
      </c>
      <c r="C5324">
        <v>4014</v>
      </c>
      <c r="D5324" s="9">
        <v>106</v>
      </c>
      <c r="E5324" t="s">
        <v>56</v>
      </c>
    </row>
    <row r="5325" spans="1:5">
      <c r="A5325" t="s">
        <v>28</v>
      </c>
      <c r="B5325" s="11" t="s">
        <v>64</v>
      </c>
      <c r="C5325">
        <v>4014</v>
      </c>
      <c r="D5325" s="9">
        <v>23</v>
      </c>
      <c r="E5325" t="s">
        <v>57</v>
      </c>
    </row>
    <row r="5326" spans="1:5">
      <c r="A5326" t="s">
        <v>28</v>
      </c>
      <c r="B5326" s="11" t="s">
        <v>65</v>
      </c>
      <c r="C5326">
        <v>4014</v>
      </c>
      <c r="D5326" s="9">
        <v>29.5</v>
      </c>
      <c r="E5326" t="s">
        <v>57</v>
      </c>
    </row>
    <row r="5327" spans="1:5">
      <c r="A5327" t="s">
        <v>28</v>
      </c>
      <c r="B5327" s="11" t="s">
        <v>66</v>
      </c>
      <c r="C5327">
        <v>4014</v>
      </c>
      <c r="D5327" s="9">
        <v>71.5</v>
      </c>
      <c r="E5327" t="s">
        <v>57</v>
      </c>
    </row>
    <row r="5328" spans="1:5">
      <c r="A5328" t="s">
        <v>28</v>
      </c>
      <c r="B5328" s="11" t="s">
        <v>67</v>
      </c>
      <c r="C5328">
        <v>4014</v>
      </c>
      <c r="D5328" s="9">
        <v>57</v>
      </c>
      <c r="E5328" t="s">
        <v>57</v>
      </c>
    </row>
    <row r="5329" spans="1:5">
      <c r="A5329" t="s">
        <v>28</v>
      </c>
      <c r="B5329" s="11" t="s">
        <v>77</v>
      </c>
      <c r="C5329">
        <v>4014</v>
      </c>
      <c r="D5329" s="9">
        <v>45</v>
      </c>
      <c r="E5329" t="s">
        <v>58</v>
      </c>
    </row>
    <row r="5330" spans="1:5">
      <c r="A5330" t="s">
        <v>28</v>
      </c>
      <c r="B5330" s="11" t="s">
        <v>70</v>
      </c>
      <c r="C5330">
        <v>4014</v>
      </c>
      <c r="D5330" s="9">
        <v>237</v>
      </c>
      <c r="E5330" t="s">
        <v>59</v>
      </c>
    </row>
    <row r="5331" spans="1:5">
      <c r="A5331" t="s">
        <v>28</v>
      </c>
      <c r="B5331" s="11" t="s">
        <v>71</v>
      </c>
      <c r="C5331">
        <v>4014</v>
      </c>
      <c r="D5331" s="9">
        <v>221</v>
      </c>
      <c r="E5331" t="s">
        <v>59</v>
      </c>
    </row>
    <row r="5332" spans="1:5">
      <c r="A5332" t="s">
        <v>28</v>
      </c>
      <c r="B5332" s="11" t="s">
        <v>72</v>
      </c>
      <c r="C5332">
        <v>4014</v>
      </c>
      <c r="D5332" s="9">
        <v>288</v>
      </c>
      <c r="E5332" t="s">
        <v>59</v>
      </c>
    </row>
    <row r="5333" spans="1:5">
      <c r="A5333" t="s">
        <v>28</v>
      </c>
      <c r="B5333" s="11" t="s">
        <v>78</v>
      </c>
      <c r="C5333">
        <v>4014</v>
      </c>
      <c r="D5333" s="9">
        <v>59.5</v>
      </c>
      <c r="E5333" t="s">
        <v>59</v>
      </c>
    </row>
    <row r="5334" spans="1:5">
      <c r="A5334" t="s">
        <v>28</v>
      </c>
      <c r="B5334" s="11" t="s">
        <v>73</v>
      </c>
      <c r="C5334">
        <v>4014</v>
      </c>
      <c r="D5334" s="9">
        <v>43</v>
      </c>
      <c r="E5334" t="s">
        <v>60</v>
      </c>
    </row>
    <row r="5335" spans="1:5">
      <c r="A5335" t="s">
        <v>28</v>
      </c>
      <c r="B5335" s="11" t="s">
        <v>74</v>
      </c>
      <c r="C5335">
        <v>4014</v>
      </c>
      <c r="D5335" s="9">
        <v>93</v>
      </c>
      <c r="E5335" t="s">
        <v>60</v>
      </c>
    </row>
    <row r="5336" spans="1:5">
      <c r="A5336" t="s">
        <v>29</v>
      </c>
      <c r="B5336" s="11" t="s">
        <v>63</v>
      </c>
      <c r="C5336">
        <v>4014</v>
      </c>
      <c r="D5336" s="9">
        <v>254</v>
      </c>
      <c r="E5336" t="s">
        <v>56</v>
      </c>
    </row>
    <row r="5337" spans="1:5">
      <c r="A5337" t="s">
        <v>29</v>
      </c>
      <c r="B5337" s="11" t="s">
        <v>75</v>
      </c>
      <c r="C5337">
        <v>4014</v>
      </c>
      <c r="D5337" s="9">
        <v>97</v>
      </c>
      <c r="E5337" t="s">
        <v>56</v>
      </c>
    </row>
    <row r="5338" spans="1:5">
      <c r="A5338" t="s">
        <v>29</v>
      </c>
      <c r="B5338" s="11" t="s">
        <v>64</v>
      </c>
      <c r="C5338">
        <v>4014</v>
      </c>
      <c r="D5338" s="9">
        <v>20</v>
      </c>
      <c r="E5338" t="s">
        <v>57</v>
      </c>
    </row>
    <row r="5339" spans="1:5">
      <c r="A5339" t="s">
        <v>29</v>
      </c>
      <c r="B5339" s="11" t="s">
        <v>65</v>
      </c>
      <c r="C5339">
        <v>4014</v>
      </c>
      <c r="D5339" s="9">
        <v>30.5</v>
      </c>
      <c r="E5339" t="s">
        <v>57</v>
      </c>
    </row>
    <row r="5340" spans="1:5">
      <c r="A5340" t="s">
        <v>29</v>
      </c>
      <c r="B5340" s="11" t="s">
        <v>66</v>
      </c>
      <c r="C5340">
        <v>4014</v>
      </c>
      <c r="D5340" s="9">
        <v>68.5</v>
      </c>
      <c r="E5340" t="s">
        <v>57</v>
      </c>
    </row>
    <row r="5341" spans="1:5">
      <c r="A5341" t="s">
        <v>29</v>
      </c>
      <c r="B5341" s="11" t="s">
        <v>67</v>
      </c>
      <c r="C5341">
        <v>4014</v>
      </c>
      <c r="D5341" s="9">
        <v>53</v>
      </c>
      <c r="E5341" t="s">
        <v>57</v>
      </c>
    </row>
    <row r="5342" spans="1:5">
      <c r="A5342" t="s">
        <v>29</v>
      </c>
      <c r="B5342" s="11" t="s">
        <v>77</v>
      </c>
      <c r="C5342">
        <v>4014</v>
      </c>
      <c r="D5342" s="9">
        <v>45.5</v>
      </c>
      <c r="E5342" t="s">
        <v>58</v>
      </c>
    </row>
    <row r="5343" spans="1:5">
      <c r="A5343" t="s">
        <v>29</v>
      </c>
      <c r="B5343" s="11" t="s">
        <v>70</v>
      </c>
      <c r="C5343">
        <v>4014</v>
      </c>
      <c r="D5343" s="9">
        <v>220.5</v>
      </c>
      <c r="E5343" t="s">
        <v>59</v>
      </c>
    </row>
    <row r="5344" spans="1:5">
      <c r="A5344" t="s">
        <v>29</v>
      </c>
      <c r="B5344" s="11" t="s">
        <v>71</v>
      </c>
      <c r="C5344">
        <v>4014</v>
      </c>
      <c r="D5344" s="9">
        <v>192.5</v>
      </c>
      <c r="E5344" t="s">
        <v>59</v>
      </c>
    </row>
    <row r="5345" spans="1:5">
      <c r="A5345" t="s">
        <v>29</v>
      </c>
      <c r="B5345" s="11" t="s">
        <v>72</v>
      </c>
      <c r="C5345">
        <v>4014</v>
      </c>
      <c r="D5345" s="9">
        <v>268.5</v>
      </c>
      <c r="E5345" t="s">
        <v>59</v>
      </c>
    </row>
    <row r="5346" spans="1:5">
      <c r="A5346" t="s">
        <v>29</v>
      </c>
      <c r="B5346" s="11" t="s">
        <v>78</v>
      </c>
      <c r="C5346">
        <v>4014</v>
      </c>
      <c r="D5346" s="9">
        <v>59.5</v>
      </c>
      <c r="E5346" t="s">
        <v>59</v>
      </c>
    </row>
    <row r="5347" spans="1:5">
      <c r="A5347" t="s">
        <v>29</v>
      </c>
      <c r="B5347" s="11" t="s">
        <v>73</v>
      </c>
      <c r="C5347">
        <v>4014</v>
      </c>
      <c r="D5347" s="9">
        <v>43</v>
      </c>
      <c r="E5347" t="s">
        <v>60</v>
      </c>
    </row>
    <row r="5348" spans="1:5">
      <c r="A5348" t="s">
        <v>29</v>
      </c>
      <c r="B5348" s="11" t="s">
        <v>74</v>
      </c>
      <c r="C5348">
        <v>4014</v>
      </c>
      <c r="D5348" s="9">
        <v>87</v>
      </c>
      <c r="E5348" t="s">
        <v>60</v>
      </c>
    </row>
    <row r="5349" spans="1:5">
      <c r="A5349" t="s">
        <v>30</v>
      </c>
      <c r="B5349" s="11" t="s">
        <v>63</v>
      </c>
      <c r="C5349">
        <v>4014</v>
      </c>
      <c r="D5349" s="9">
        <v>267</v>
      </c>
      <c r="E5349" t="s">
        <v>56</v>
      </c>
    </row>
    <row r="5350" spans="1:5">
      <c r="A5350" t="s">
        <v>30</v>
      </c>
      <c r="B5350" s="11" t="s">
        <v>75</v>
      </c>
      <c r="C5350">
        <v>4014</v>
      </c>
      <c r="D5350" s="9">
        <v>114</v>
      </c>
      <c r="E5350" t="s">
        <v>56</v>
      </c>
    </row>
    <row r="5351" spans="1:5">
      <c r="A5351" t="s">
        <v>30</v>
      </c>
      <c r="B5351" s="11" t="s">
        <v>64</v>
      </c>
      <c r="C5351">
        <v>4014</v>
      </c>
      <c r="D5351" s="9">
        <v>22.5</v>
      </c>
      <c r="E5351" t="s">
        <v>57</v>
      </c>
    </row>
    <row r="5352" spans="1:5">
      <c r="A5352" t="s">
        <v>30</v>
      </c>
      <c r="B5352" s="11" t="s">
        <v>65</v>
      </c>
      <c r="C5352">
        <v>4014</v>
      </c>
      <c r="D5352" s="9">
        <v>37</v>
      </c>
      <c r="E5352" t="s">
        <v>57</v>
      </c>
    </row>
    <row r="5353" spans="1:5">
      <c r="A5353" t="s">
        <v>30</v>
      </c>
      <c r="B5353" s="11" t="s">
        <v>66</v>
      </c>
      <c r="C5353">
        <v>4014</v>
      </c>
      <c r="D5353" s="9">
        <v>80</v>
      </c>
      <c r="E5353" t="s">
        <v>57</v>
      </c>
    </row>
    <row r="5354" spans="1:5">
      <c r="A5354" t="s">
        <v>30</v>
      </c>
      <c r="B5354" s="11" t="s">
        <v>67</v>
      </c>
      <c r="C5354">
        <v>4014</v>
      </c>
      <c r="D5354" s="9">
        <v>64</v>
      </c>
      <c r="E5354" t="s">
        <v>57</v>
      </c>
    </row>
    <row r="5355" spans="1:5">
      <c r="A5355" t="s">
        <v>30</v>
      </c>
      <c r="B5355" s="11" t="s">
        <v>77</v>
      </c>
      <c r="C5355">
        <v>4014</v>
      </c>
      <c r="D5355" s="9">
        <v>53.5</v>
      </c>
      <c r="E5355" t="s">
        <v>58</v>
      </c>
    </row>
    <row r="5356" spans="1:5">
      <c r="A5356" t="s">
        <v>30</v>
      </c>
      <c r="B5356" s="11" t="s">
        <v>70</v>
      </c>
      <c r="C5356">
        <v>4014</v>
      </c>
      <c r="D5356" s="9">
        <v>240.5</v>
      </c>
      <c r="E5356" t="s">
        <v>59</v>
      </c>
    </row>
    <row r="5357" spans="1:5">
      <c r="A5357" t="s">
        <v>30</v>
      </c>
      <c r="B5357" s="11" t="s">
        <v>71</v>
      </c>
      <c r="C5357">
        <v>4014</v>
      </c>
      <c r="D5357" s="9">
        <v>228</v>
      </c>
      <c r="E5357" t="s">
        <v>59</v>
      </c>
    </row>
    <row r="5358" spans="1:5">
      <c r="A5358" t="s">
        <v>30</v>
      </c>
      <c r="B5358" s="11" t="s">
        <v>72</v>
      </c>
      <c r="C5358">
        <v>4014</v>
      </c>
      <c r="D5358" s="9">
        <v>336</v>
      </c>
      <c r="E5358" t="s">
        <v>59</v>
      </c>
    </row>
    <row r="5359" spans="1:5">
      <c r="A5359" t="s">
        <v>30</v>
      </c>
      <c r="B5359" s="11" t="s">
        <v>78</v>
      </c>
      <c r="C5359">
        <v>4014</v>
      </c>
      <c r="D5359" s="9">
        <v>59.5</v>
      </c>
      <c r="E5359" t="s">
        <v>59</v>
      </c>
    </row>
    <row r="5360" spans="1:5">
      <c r="A5360" t="s">
        <v>30</v>
      </c>
      <c r="B5360" s="11" t="s">
        <v>73</v>
      </c>
      <c r="C5360">
        <v>4014</v>
      </c>
      <c r="D5360" s="9">
        <v>50.5</v>
      </c>
      <c r="E5360" t="s">
        <v>60</v>
      </c>
    </row>
    <row r="5361" spans="1:5">
      <c r="A5361" t="s">
        <v>30</v>
      </c>
      <c r="B5361" s="11" t="s">
        <v>74</v>
      </c>
      <c r="C5361">
        <v>4014</v>
      </c>
      <c r="D5361" s="9">
        <v>113.5</v>
      </c>
      <c r="E5361" t="s">
        <v>60</v>
      </c>
    </row>
    <row r="5362" spans="1:5">
      <c r="A5362" t="s">
        <v>31</v>
      </c>
      <c r="B5362" s="11" t="s">
        <v>63</v>
      </c>
      <c r="C5362">
        <v>4014</v>
      </c>
      <c r="D5362" s="9">
        <v>272.5</v>
      </c>
      <c r="E5362" t="s">
        <v>56</v>
      </c>
    </row>
    <row r="5363" spans="1:5">
      <c r="A5363" t="s">
        <v>31</v>
      </c>
      <c r="B5363" s="11" t="s">
        <v>75</v>
      </c>
      <c r="C5363">
        <v>4014</v>
      </c>
      <c r="D5363" s="9">
        <v>113.5</v>
      </c>
      <c r="E5363" t="s">
        <v>56</v>
      </c>
    </row>
    <row r="5364" spans="1:5">
      <c r="A5364" t="s">
        <v>31</v>
      </c>
      <c r="B5364" s="11" t="s">
        <v>64</v>
      </c>
      <c r="C5364">
        <v>4014</v>
      </c>
      <c r="D5364" s="9">
        <v>22</v>
      </c>
      <c r="E5364" t="s">
        <v>57</v>
      </c>
    </row>
    <row r="5365" spans="1:5">
      <c r="A5365" t="s">
        <v>31</v>
      </c>
      <c r="B5365" s="11" t="s">
        <v>65</v>
      </c>
      <c r="C5365">
        <v>4014</v>
      </c>
      <c r="D5365" s="9">
        <v>35.5</v>
      </c>
      <c r="E5365" t="s">
        <v>57</v>
      </c>
    </row>
    <row r="5366" spans="1:5">
      <c r="A5366" t="s">
        <v>31</v>
      </c>
      <c r="B5366" s="11" t="s">
        <v>66</v>
      </c>
      <c r="C5366">
        <v>4014</v>
      </c>
      <c r="D5366" s="9">
        <v>75</v>
      </c>
      <c r="E5366" t="s">
        <v>57</v>
      </c>
    </row>
    <row r="5367" spans="1:5">
      <c r="A5367" t="s">
        <v>31</v>
      </c>
      <c r="B5367" s="11" t="s">
        <v>67</v>
      </c>
      <c r="C5367">
        <v>4014</v>
      </c>
      <c r="D5367" s="9">
        <v>58</v>
      </c>
      <c r="E5367" t="s">
        <v>57</v>
      </c>
    </row>
    <row r="5368" spans="1:5">
      <c r="A5368" t="s">
        <v>31</v>
      </c>
      <c r="B5368" s="11" t="s">
        <v>77</v>
      </c>
      <c r="C5368">
        <v>4014</v>
      </c>
      <c r="D5368" s="9">
        <v>49.5</v>
      </c>
      <c r="E5368" t="s">
        <v>58</v>
      </c>
    </row>
    <row r="5369" spans="1:5">
      <c r="A5369" t="s">
        <v>31</v>
      </c>
      <c r="B5369" s="11" t="s">
        <v>70</v>
      </c>
      <c r="C5369">
        <v>4014</v>
      </c>
      <c r="D5369" s="9">
        <v>226</v>
      </c>
      <c r="E5369" t="s">
        <v>59</v>
      </c>
    </row>
    <row r="5370" spans="1:5">
      <c r="A5370" t="s">
        <v>31</v>
      </c>
      <c r="B5370" s="11" t="s">
        <v>71</v>
      </c>
      <c r="C5370">
        <v>4014</v>
      </c>
      <c r="D5370" s="9">
        <v>232.5</v>
      </c>
      <c r="E5370" t="s">
        <v>59</v>
      </c>
    </row>
    <row r="5371" spans="1:5">
      <c r="A5371" t="s">
        <v>31</v>
      </c>
      <c r="B5371" s="11" t="s">
        <v>72</v>
      </c>
      <c r="C5371">
        <v>4014</v>
      </c>
      <c r="D5371" s="9">
        <v>310</v>
      </c>
      <c r="E5371" t="s">
        <v>59</v>
      </c>
    </row>
    <row r="5372" spans="1:5">
      <c r="A5372" t="s">
        <v>31</v>
      </c>
      <c r="B5372" s="11" t="s">
        <v>78</v>
      </c>
      <c r="C5372">
        <v>4014</v>
      </c>
      <c r="D5372" s="9">
        <v>63.5</v>
      </c>
      <c r="E5372" t="s">
        <v>59</v>
      </c>
    </row>
    <row r="5373" spans="1:5">
      <c r="A5373" t="s">
        <v>31</v>
      </c>
      <c r="B5373" s="11" t="s">
        <v>73</v>
      </c>
      <c r="C5373">
        <v>4014</v>
      </c>
      <c r="D5373" s="9">
        <v>47</v>
      </c>
      <c r="E5373" t="s">
        <v>60</v>
      </c>
    </row>
    <row r="5374" spans="1:5">
      <c r="A5374" t="s">
        <v>31</v>
      </c>
      <c r="B5374" s="11" t="s">
        <v>74</v>
      </c>
      <c r="C5374">
        <v>4014</v>
      </c>
      <c r="D5374" s="9">
        <v>92</v>
      </c>
      <c r="E5374" t="s">
        <v>60</v>
      </c>
    </row>
    <row r="5375" spans="1:5">
      <c r="A5375" t="s">
        <v>32</v>
      </c>
      <c r="B5375" s="11" t="s">
        <v>63</v>
      </c>
      <c r="C5375">
        <v>4014</v>
      </c>
      <c r="D5375" s="9">
        <v>267.5</v>
      </c>
      <c r="E5375" t="s">
        <v>56</v>
      </c>
    </row>
    <row r="5376" spans="1:5">
      <c r="A5376" t="s">
        <v>32</v>
      </c>
      <c r="B5376" s="11" t="s">
        <v>75</v>
      </c>
      <c r="C5376">
        <v>4014</v>
      </c>
      <c r="D5376" s="9">
        <v>97.5</v>
      </c>
      <c r="E5376" t="s">
        <v>56</v>
      </c>
    </row>
    <row r="5377" spans="1:5">
      <c r="A5377" t="s">
        <v>32</v>
      </c>
      <c r="B5377" s="11" t="s">
        <v>64</v>
      </c>
      <c r="C5377">
        <v>4014</v>
      </c>
      <c r="D5377" s="9">
        <v>20</v>
      </c>
      <c r="E5377" t="s">
        <v>57</v>
      </c>
    </row>
    <row r="5378" spans="1:5">
      <c r="A5378" t="s">
        <v>32</v>
      </c>
      <c r="B5378" s="11" t="s">
        <v>65</v>
      </c>
      <c r="C5378">
        <v>4014</v>
      </c>
      <c r="D5378" s="9">
        <v>33</v>
      </c>
      <c r="E5378" t="s">
        <v>57</v>
      </c>
    </row>
    <row r="5379" spans="1:5">
      <c r="A5379" t="s">
        <v>32</v>
      </c>
      <c r="B5379" s="11" t="s">
        <v>66</v>
      </c>
      <c r="C5379">
        <v>4014</v>
      </c>
      <c r="D5379" s="9">
        <v>65.5</v>
      </c>
      <c r="E5379" t="s">
        <v>57</v>
      </c>
    </row>
    <row r="5380" spans="1:5">
      <c r="A5380" t="s">
        <v>32</v>
      </c>
      <c r="B5380" s="11" t="s">
        <v>67</v>
      </c>
      <c r="C5380">
        <v>4014</v>
      </c>
      <c r="D5380" s="9">
        <v>53</v>
      </c>
      <c r="E5380" t="s">
        <v>57</v>
      </c>
    </row>
    <row r="5381" spans="1:5">
      <c r="A5381" t="s">
        <v>32</v>
      </c>
      <c r="B5381" s="11" t="s">
        <v>77</v>
      </c>
      <c r="C5381">
        <v>4014</v>
      </c>
      <c r="D5381" s="9">
        <v>45.5</v>
      </c>
      <c r="E5381" t="s">
        <v>58</v>
      </c>
    </row>
    <row r="5382" spans="1:5">
      <c r="A5382" t="s">
        <v>32</v>
      </c>
      <c r="B5382" s="11" t="s">
        <v>70</v>
      </c>
      <c r="C5382">
        <v>4014</v>
      </c>
      <c r="D5382" s="9">
        <v>223.5</v>
      </c>
      <c r="E5382" t="s">
        <v>59</v>
      </c>
    </row>
    <row r="5383" spans="1:5">
      <c r="A5383" t="s">
        <v>32</v>
      </c>
      <c r="B5383" s="11" t="s">
        <v>71</v>
      </c>
      <c r="C5383">
        <v>4014</v>
      </c>
      <c r="D5383" s="9">
        <v>217.5</v>
      </c>
      <c r="E5383" t="s">
        <v>59</v>
      </c>
    </row>
    <row r="5384" spans="1:5">
      <c r="A5384" t="s">
        <v>32</v>
      </c>
      <c r="B5384" s="11" t="s">
        <v>72</v>
      </c>
      <c r="C5384">
        <v>4014</v>
      </c>
      <c r="D5384" s="9">
        <v>253.5</v>
      </c>
      <c r="E5384" t="s">
        <v>59</v>
      </c>
    </row>
    <row r="5385" spans="1:5">
      <c r="A5385" t="s">
        <v>32</v>
      </c>
      <c r="B5385" s="11" t="s">
        <v>78</v>
      </c>
      <c r="C5385">
        <v>4014</v>
      </c>
      <c r="D5385" s="9">
        <v>56.5</v>
      </c>
      <c r="E5385" t="s">
        <v>59</v>
      </c>
    </row>
    <row r="5386" spans="1:5">
      <c r="A5386" t="s">
        <v>32</v>
      </c>
      <c r="B5386" s="11" t="s">
        <v>73</v>
      </c>
      <c r="C5386">
        <v>4014</v>
      </c>
      <c r="D5386" s="9">
        <v>40.5</v>
      </c>
      <c r="E5386" t="s">
        <v>60</v>
      </c>
    </row>
    <row r="5387" spans="1:5">
      <c r="A5387" t="s">
        <v>32</v>
      </c>
      <c r="B5387" s="11" t="s">
        <v>74</v>
      </c>
      <c r="C5387">
        <v>4014</v>
      </c>
      <c r="D5387" s="9">
        <v>84</v>
      </c>
      <c r="E5387" t="s">
        <v>60</v>
      </c>
    </row>
    <row r="5388" spans="1:5">
      <c r="A5388" t="s">
        <v>33</v>
      </c>
      <c r="B5388" s="11" t="s">
        <v>63</v>
      </c>
      <c r="C5388">
        <v>4014</v>
      </c>
      <c r="D5388" s="9">
        <v>275</v>
      </c>
      <c r="E5388" t="s">
        <v>56</v>
      </c>
    </row>
    <row r="5389" spans="1:5">
      <c r="A5389" t="s">
        <v>33</v>
      </c>
      <c r="B5389" s="11" t="s">
        <v>75</v>
      </c>
      <c r="C5389">
        <v>4014</v>
      </c>
      <c r="D5389" s="9">
        <v>97.5</v>
      </c>
      <c r="E5389" t="s">
        <v>56</v>
      </c>
    </row>
    <row r="5390" spans="1:5">
      <c r="A5390" t="s">
        <v>33</v>
      </c>
      <c r="B5390" s="11" t="s">
        <v>64</v>
      </c>
      <c r="C5390">
        <v>4014</v>
      </c>
      <c r="D5390" s="9">
        <v>18.5</v>
      </c>
      <c r="E5390" t="s">
        <v>57</v>
      </c>
    </row>
    <row r="5391" spans="1:5">
      <c r="A5391" t="s">
        <v>33</v>
      </c>
      <c r="B5391" s="11" t="s">
        <v>65</v>
      </c>
      <c r="C5391">
        <v>4014</v>
      </c>
      <c r="D5391" s="9">
        <v>34</v>
      </c>
      <c r="E5391" t="s">
        <v>57</v>
      </c>
    </row>
    <row r="5392" spans="1:5">
      <c r="A5392" t="s">
        <v>33</v>
      </c>
      <c r="B5392" s="11" t="s">
        <v>66</v>
      </c>
      <c r="C5392">
        <v>4014</v>
      </c>
      <c r="D5392" s="9">
        <v>69.5</v>
      </c>
      <c r="E5392" t="s">
        <v>57</v>
      </c>
    </row>
    <row r="5393" spans="1:5">
      <c r="A5393" t="s">
        <v>33</v>
      </c>
      <c r="B5393" s="11" t="s">
        <v>67</v>
      </c>
      <c r="C5393">
        <v>4014</v>
      </c>
      <c r="D5393" s="9">
        <v>52.5</v>
      </c>
      <c r="E5393" t="s">
        <v>57</v>
      </c>
    </row>
    <row r="5394" spans="1:5">
      <c r="A5394" t="s">
        <v>33</v>
      </c>
      <c r="B5394" s="11" t="s">
        <v>77</v>
      </c>
      <c r="C5394">
        <v>4014</v>
      </c>
      <c r="D5394" s="9">
        <v>48</v>
      </c>
      <c r="E5394" t="s">
        <v>58</v>
      </c>
    </row>
    <row r="5395" spans="1:5">
      <c r="A5395" t="s">
        <v>33</v>
      </c>
      <c r="B5395" s="11" t="s">
        <v>70</v>
      </c>
      <c r="C5395">
        <v>4014</v>
      </c>
      <c r="D5395" s="9">
        <v>218.5</v>
      </c>
      <c r="E5395" t="s">
        <v>59</v>
      </c>
    </row>
    <row r="5396" spans="1:5">
      <c r="A5396" t="s">
        <v>33</v>
      </c>
      <c r="B5396" s="11" t="s">
        <v>71</v>
      </c>
      <c r="C5396">
        <v>4014</v>
      </c>
      <c r="D5396" s="9">
        <v>218.5</v>
      </c>
      <c r="E5396" t="s">
        <v>59</v>
      </c>
    </row>
    <row r="5397" spans="1:5">
      <c r="A5397" t="s">
        <v>33</v>
      </c>
      <c r="B5397" s="11" t="s">
        <v>72</v>
      </c>
      <c r="C5397">
        <v>4014</v>
      </c>
      <c r="D5397" s="9">
        <v>232.5</v>
      </c>
      <c r="E5397" t="s">
        <v>59</v>
      </c>
    </row>
    <row r="5398" spans="1:5">
      <c r="A5398" t="s">
        <v>33</v>
      </c>
      <c r="B5398" s="11" t="s">
        <v>78</v>
      </c>
      <c r="C5398">
        <v>4014</v>
      </c>
      <c r="D5398" s="9">
        <v>50.5</v>
      </c>
      <c r="E5398" t="s">
        <v>59</v>
      </c>
    </row>
    <row r="5399" spans="1:5">
      <c r="A5399" t="s">
        <v>33</v>
      </c>
      <c r="B5399" s="11" t="s">
        <v>73</v>
      </c>
      <c r="C5399">
        <v>4014</v>
      </c>
      <c r="D5399" s="9">
        <v>40.5</v>
      </c>
      <c r="E5399" t="s">
        <v>60</v>
      </c>
    </row>
    <row r="5400" spans="1:5">
      <c r="A5400" t="s">
        <v>33</v>
      </c>
      <c r="B5400" s="11" t="s">
        <v>74</v>
      </c>
      <c r="C5400">
        <v>4014</v>
      </c>
      <c r="D5400" s="9">
        <v>91</v>
      </c>
      <c r="E5400" t="s">
        <v>60</v>
      </c>
    </row>
    <row r="5401" spans="1:5">
      <c r="A5401" t="s">
        <v>34</v>
      </c>
      <c r="B5401" s="11" t="s">
        <v>63</v>
      </c>
      <c r="C5401">
        <v>4014</v>
      </c>
      <c r="D5401" s="9">
        <v>272.5</v>
      </c>
      <c r="E5401" t="s">
        <v>56</v>
      </c>
    </row>
    <row r="5402" spans="1:5">
      <c r="A5402" t="s">
        <v>34</v>
      </c>
      <c r="B5402" s="11" t="s">
        <v>75</v>
      </c>
      <c r="C5402">
        <v>4014</v>
      </c>
      <c r="D5402" s="9">
        <v>99.5</v>
      </c>
      <c r="E5402" t="s">
        <v>56</v>
      </c>
    </row>
    <row r="5403" spans="1:5">
      <c r="A5403" t="s">
        <v>34</v>
      </c>
      <c r="B5403" s="11" t="s">
        <v>64</v>
      </c>
      <c r="C5403">
        <v>4014</v>
      </c>
      <c r="D5403" s="9">
        <v>18</v>
      </c>
      <c r="E5403" t="s">
        <v>57</v>
      </c>
    </row>
    <row r="5404" spans="1:5">
      <c r="A5404" t="s">
        <v>34</v>
      </c>
      <c r="B5404" s="11" t="s">
        <v>65</v>
      </c>
      <c r="C5404">
        <v>4014</v>
      </c>
      <c r="D5404" s="9">
        <v>35.5</v>
      </c>
      <c r="E5404" t="s">
        <v>57</v>
      </c>
    </row>
    <row r="5405" spans="1:5">
      <c r="A5405" t="s">
        <v>34</v>
      </c>
      <c r="B5405" s="11" t="s">
        <v>66</v>
      </c>
      <c r="C5405">
        <v>4014</v>
      </c>
      <c r="D5405" s="9">
        <v>68.5</v>
      </c>
      <c r="E5405" t="s">
        <v>57</v>
      </c>
    </row>
    <row r="5406" spans="1:5">
      <c r="A5406" t="s">
        <v>34</v>
      </c>
      <c r="B5406" s="11" t="s">
        <v>67</v>
      </c>
      <c r="C5406">
        <v>4014</v>
      </c>
      <c r="D5406" s="9">
        <v>48.5</v>
      </c>
      <c r="E5406" t="s">
        <v>57</v>
      </c>
    </row>
    <row r="5407" spans="1:5">
      <c r="A5407" t="s">
        <v>34</v>
      </c>
      <c r="B5407" s="11" t="s">
        <v>77</v>
      </c>
      <c r="C5407">
        <v>4014</v>
      </c>
      <c r="D5407" s="9">
        <v>44</v>
      </c>
      <c r="E5407" t="s">
        <v>58</v>
      </c>
    </row>
    <row r="5408" spans="1:5">
      <c r="A5408" t="s">
        <v>34</v>
      </c>
      <c r="B5408" s="11" t="s">
        <v>70</v>
      </c>
      <c r="C5408">
        <v>4014</v>
      </c>
      <c r="D5408" s="9">
        <v>224.5</v>
      </c>
      <c r="E5408" t="s">
        <v>59</v>
      </c>
    </row>
    <row r="5409" spans="1:5">
      <c r="A5409" t="s">
        <v>34</v>
      </c>
      <c r="B5409" s="11" t="s">
        <v>71</v>
      </c>
      <c r="C5409">
        <v>4014</v>
      </c>
      <c r="D5409" s="9">
        <v>216.5</v>
      </c>
      <c r="E5409" t="s">
        <v>59</v>
      </c>
    </row>
    <row r="5410" spans="1:5">
      <c r="A5410" t="s">
        <v>34</v>
      </c>
      <c r="B5410" s="11" t="s">
        <v>72</v>
      </c>
      <c r="C5410">
        <v>4014</v>
      </c>
      <c r="D5410" s="9">
        <v>239</v>
      </c>
      <c r="E5410" t="s">
        <v>59</v>
      </c>
    </row>
    <row r="5411" spans="1:5">
      <c r="A5411" t="s">
        <v>34</v>
      </c>
      <c r="B5411" s="11" t="s">
        <v>78</v>
      </c>
      <c r="C5411">
        <v>4014</v>
      </c>
      <c r="D5411" s="9">
        <v>50.5</v>
      </c>
      <c r="E5411" t="s">
        <v>59</v>
      </c>
    </row>
    <row r="5412" spans="1:5">
      <c r="A5412" t="s">
        <v>34</v>
      </c>
      <c r="B5412" s="11" t="s">
        <v>73</v>
      </c>
      <c r="C5412">
        <v>4014</v>
      </c>
      <c r="D5412" s="9">
        <v>39.5</v>
      </c>
      <c r="E5412" t="s">
        <v>60</v>
      </c>
    </row>
    <row r="5413" spans="1:5">
      <c r="A5413" t="s">
        <v>34</v>
      </c>
      <c r="B5413" s="11" t="s">
        <v>74</v>
      </c>
      <c r="C5413">
        <v>4014</v>
      </c>
      <c r="D5413" s="9">
        <v>87.5</v>
      </c>
      <c r="E5413" t="s">
        <v>60</v>
      </c>
    </row>
    <row r="5414" spans="1:5">
      <c r="A5414" t="s">
        <v>35</v>
      </c>
      <c r="B5414" s="11" t="s">
        <v>63</v>
      </c>
      <c r="C5414">
        <v>4014</v>
      </c>
      <c r="D5414" s="9">
        <v>271.5</v>
      </c>
      <c r="E5414" t="s">
        <v>56</v>
      </c>
    </row>
    <row r="5415" spans="1:5">
      <c r="A5415" t="s">
        <v>35</v>
      </c>
      <c r="B5415" s="11" t="s">
        <v>75</v>
      </c>
      <c r="C5415">
        <v>4014</v>
      </c>
      <c r="D5415" s="9">
        <v>94.5</v>
      </c>
      <c r="E5415" t="s">
        <v>56</v>
      </c>
    </row>
    <row r="5416" spans="1:5">
      <c r="A5416" t="s">
        <v>35</v>
      </c>
      <c r="B5416" s="11" t="s">
        <v>64</v>
      </c>
      <c r="C5416">
        <v>4014</v>
      </c>
      <c r="D5416" s="9">
        <v>18.5</v>
      </c>
      <c r="E5416" t="s">
        <v>57</v>
      </c>
    </row>
    <row r="5417" spans="1:5">
      <c r="A5417" t="s">
        <v>35</v>
      </c>
      <c r="B5417" s="11" t="s">
        <v>65</v>
      </c>
      <c r="C5417">
        <v>4014</v>
      </c>
      <c r="D5417" s="9">
        <v>35.5</v>
      </c>
      <c r="E5417" t="s">
        <v>57</v>
      </c>
    </row>
    <row r="5418" spans="1:5">
      <c r="A5418" t="s">
        <v>35</v>
      </c>
      <c r="B5418" s="11" t="s">
        <v>66</v>
      </c>
      <c r="C5418">
        <v>4014</v>
      </c>
      <c r="D5418" s="9">
        <v>68</v>
      </c>
      <c r="E5418" t="s">
        <v>57</v>
      </c>
    </row>
    <row r="5419" spans="1:5">
      <c r="A5419" t="s">
        <v>35</v>
      </c>
      <c r="B5419" s="11" t="s">
        <v>67</v>
      </c>
      <c r="C5419">
        <v>4014</v>
      </c>
      <c r="D5419" s="9">
        <v>52</v>
      </c>
      <c r="E5419" t="s">
        <v>57</v>
      </c>
    </row>
    <row r="5420" spans="1:5">
      <c r="A5420" t="s">
        <v>35</v>
      </c>
      <c r="B5420" s="11" t="s">
        <v>77</v>
      </c>
      <c r="C5420">
        <v>4014</v>
      </c>
      <c r="D5420" s="9">
        <v>45</v>
      </c>
      <c r="E5420" t="s">
        <v>58</v>
      </c>
    </row>
    <row r="5421" spans="1:5">
      <c r="A5421" t="s">
        <v>35</v>
      </c>
      <c r="B5421" s="11" t="s">
        <v>70</v>
      </c>
      <c r="C5421">
        <v>4014</v>
      </c>
      <c r="D5421" s="9">
        <v>217</v>
      </c>
      <c r="E5421" t="s">
        <v>59</v>
      </c>
    </row>
    <row r="5422" spans="1:5">
      <c r="A5422" t="s">
        <v>35</v>
      </c>
      <c r="B5422" s="11" t="s">
        <v>71</v>
      </c>
      <c r="C5422">
        <v>4014</v>
      </c>
      <c r="D5422" s="9">
        <v>220</v>
      </c>
      <c r="E5422" t="s">
        <v>59</v>
      </c>
    </row>
    <row r="5423" spans="1:5">
      <c r="A5423" t="s">
        <v>35</v>
      </c>
      <c r="B5423" s="11" t="s">
        <v>72</v>
      </c>
      <c r="C5423">
        <v>4014</v>
      </c>
      <c r="D5423" s="9">
        <v>242</v>
      </c>
      <c r="E5423" t="s">
        <v>59</v>
      </c>
    </row>
    <row r="5424" spans="1:5">
      <c r="A5424" t="s">
        <v>35</v>
      </c>
      <c r="B5424" s="11" t="s">
        <v>78</v>
      </c>
      <c r="C5424">
        <v>4014</v>
      </c>
      <c r="D5424" s="9">
        <v>53</v>
      </c>
      <c r="E5424" t="s">
        <v>59</v>
      </c>
    </row>
    <row r="5425" spans="1:5">
      <c r="A5425" t="s">
        <v>35</v>
      </c>
      <c r="B5425" s="11" t="s">
        <v>73</v>
      </c>
      <c r="C5425">
        <v>4014</v>
      </c>
      <c r="D5425" s="9">
        <v>41</v>
      </c>
      <c r="E5425" t="s">
        <v>60</v>
      </c>
    </row>
    <row r="5426" spans="1:5">
      <c r="A5426" t="s">
        <v>35</v>
      </c>
      <c r="B5426" s="11" t="s">
        <v>74</v>
      </c>
      <c r="C5426">
        <v>4014</v>
      </c>
      <c r="D5426" s="9">
        <v>87.5</v>
      </c>
      <c r="E5426" t="s">
        <v>60</v>
      </c>
    </row>
    <row r="5427" spans="1:5">
      <c r="A5427" t="s">
        <v>36</v>
      </c>
      <c r="B5427" s="11" t="s">
        <v>63</v>
      </c>
      <c r="C5427">
        <v>4014</v>
      </c>
      <c r="D5427" s="9">
        <v>270.5</v>
      </c>
      <c r="E5427" t="s">
        <v>56</v>
      </c>
    </row>
    <row r="5428" spans="1:5">
      <c r="A5428" t="s">
        <v>36</v>
      </c>
      <c r="B5428" s="11" t="s">
        <v>75</v>
      </c>
      <c r="C5428">
        <v>4014</v>
      </c>
      <c r="D5428" s="9">
        <v>91.5</v>
      </c>
      <c r="E5428" t="s">
        <v>56</v>
      </c>
    </row>
    <row r="5429" spans="1:5">
      <c r="A5429" t="s">
        <v>36</v>
      </c>
      <c r="B5429" s="11" t="s">
        <v>64</v>
      </c>
      <c r="C5429">
        <v>4014</v>
      </c>
      <c r="D5429" s="9">
        <v>16.5</v>
      </c>
      <c r="E5429" t="s">
        <v>57</v>
      </c>
    </row>
    <row r="5430" spans="1:5">
      <c r="A5430" t="s">
        <v>36</v>
      </c>
      <c r="B5430" s="11" t="s">
        <v>65</v>
      </c>
      <c r="C5430">
        <v>4014</v>
      </c>
      <c r="D5430" s="9">
        <v>34</v>
      </c>
      <c r="E5430" t="s">
        <v>57</v>
      </c>
    </row>
    <row r="5431" spans="1:5">
      <c r="A5431" t="s">
        <v>36</v>
      </c>
      <c r="B5431" s="11" t="s">
        <v>66</v>
      </c>
      <c r="C5431">
        <v>4014</v>
      </c>
      <c r="D5431" s="9">
        <v>59.5</v>
      </c>
      <c r="E5431" t="s">
        <v>57</v>
      </c>
    </row>
    <row r="5432" spans="1:5">
      <c r="A5432" t="s">
        <v>36</v>
      </c>
      <c r="B5432" s="11" t="s">
        <v>67</v>
      </c>
      <c r="C5432">
        <v>4014</v>
      </c>
      <c r="D5432" s="9">
        <v>48</v>
      </c>
      <c r="E5432" t="s">
        <v>57</v>
      </c>
    </row>
    <row r="5433" spans="1:5">
      <c r="A5433" t="s">
        <v>36</v>
      </c>
      <c r="B5433" s="11" t="s">
        <v>77</v>
      </c>
      <c r="C5433">
        <v>4014</v>
      </c>
      <c r="D5433" s="9">
        <v>39.5</v>
      </c>
      <c r="E5433" t="s">
        <v>58</v>
      </c>
    </row>
    <row r="5434" spans="1:5">
      <c r="A5434" t="s">
        <v>36</v>
      </c>
      <c r="B5434" s="11" t="s">
        <v>70</v>
      </c>
      <c r="C5434">
        <v>4014</v>
      </c>
      <c r="D5434" s="9">
        <v>193</v>
      </c>
      <c r="E5434" t="s">
        <v>59</v>
      </c>
    </row>
    <row r="5435" spans="1:5">
      <c r="A5435" t="s">
        <v>36</v>
      </c>
      <c r="B5435" s="11" t="s">
        <v>71</v>
      </c>
      <c r="C5435">
        <v>4014</v>
      </c>
      <c r="D5435" s="9">
        <v>194.5</v>
      </c>
      <c r="E5435" t="s">
        <v>59</v>
      </c>
    </row>
    <row r="5436" spans="1:5">
      <c r="A5436" t="s">
        <v>36</v>
      </c>
      <c r="B5436" s="11" t="s">
        <v>72</v>
      </c>
      <c r="C5436">
        <v>4014</v>
      </c>
      <c r="D5436" s="9">
        <v>219.5</v>
      </c>
      <c r="E5436" t="s">
        <v>59</v>
      </c>
    </row>
    <row r="5437" spans="1:5">
      <c r="A5437" t="s">
        <v>36</v>
      </c>
      <c r="B5437" s="11" t="s">
        <v>78</v>
      </c>
      <c r="C5437">
        <v>4014</v>
      </c>
      <c r="D5437" s="9">
        <v>45</v>
      </c>
      <c r="E5437" t="s">
        <v>59</v>
      </c>
    </row>
    <row r="5438" spans="1:5">
      <c r="A5438" t="s">
        <v>36</v>
      </c>
      <c r="B5438" s="11" t="s">
        <v>73</v>
      </c>
      <c r="C5438">
        <v>4014</v>
      </c>
      <c r="D5438" s="9">
        <v>38</v>
      </c>
      <c r="E5438" t="s">
        <v>60</v>
      </c>
    </row>
    <row r="5439" spans="1:5">
      <c r="A5439" t="s">
        <v>36</v>
      </c>
      <c r="B5439" s="11" t="s">
        <v>74</v>
      </c>
      <c r="C5439">
        <v>4014</v>
      </c>
      <c r="D5439" s="9">
        <v>81</v>
      </c>
      <c r="E5439" t="s">
        <v>60</v>
      </c>
    </row>
    <row r="5440" spans="1:5">
      <c r="A5440" t="s">
        <v>37</v>
      </c>
      <c r="B5440" s="11" t="s">
        <v>63</v>
      </c>
      <c r="C5440">
        <v>4014</v>
      </c>
      <c r="D5440" s="9">
        <v>258.5</v>
      </c>
      <c r="E5440" t="s">
        <v>56</v>
      </c>
    </row>
    <row r="5441" spans="1:5">
      <c r="A5441" t="s">
        <v>37</v>
      </c>
      <c r="B5441" s="11" t="s">
        <v>75</v>
      </c>
      <c r="C5441">
        <v>4014</v>
      </c>
      <c r="D5441" s="9">
        <v>93.5</v>
      </c>
      <c r="E5441" t="s">
        <v>56</v>
      </c>
    </row>
    <row r="5442" spans="1:5">
      <c r="A5442" t="s">
        <v>37</v>
      </c>
      <c r="B5442" s="11" t="s">
        <v>64</v>
      </c>
      <c r="C5442">
        <v>4014</v>
      </c>
      <c r="D5442" s="9">
        <v>16.5</v>
      </c>
      <c r="E5442" t="s">
        <v>57</v>
      </c>
    </row>
    <row r="5443" spans="1:5">
      <c r="A5443" t="s">
        <v>37</v>
      </c>
      <c r="B5443" s="11" t="s">
        <v>65</v>
      </c>
      <c r="C5443">
        <v>4014</v>
      </c>
      <c r="D5443" s="9">
        <v>32</v>
      </c>
      <c r="E5443" t="s">
        <v>57</v>
      </c>
    </row>
    <row r="5444" spans="1:5">
      <c r="A5444" t="s">
        <v>37</v>
      </c>
      <c r="B5444" s="11" t="s">
        <v>66</v>
      </c>
      <c r="C5444">
        <v>4014</v>
      </c>
      <c r="D5444" s="9">
        <v>61.5</v>
      </c>
      <c r="E5444" t="s">
        <v>57</v>
      </c>
    </row>
    <row r="5445" spans="1:5">
      <c r="A5445" t="s">
        <v>37</v>
      </c>
      <c r="B5445" s="11" t="s">
        <v>67</v>
      </c>
      <c r="C5445">
        <v>4014</v>
      </c>
      <c r="D5445" s="9">
        <v>50</v>
      </c>
      <c r="E5445" t="s">
        <v>57</v>
      </c>
    </row>
    <row r="5446" spans="1:5">
      <c r="A5446" t="s">
        <v>37</v>
      </c>
      <c r="B5446" s="11" t="s">
        <v>77</v>
      </c>
      <c r="C5446">
        <v>4014</v>
      </c>
      <c r="D5446" s="9">
        <v>39.5</v>
      </c>
      <c r="E5446" t="s">
        <v>58</v>
      </c>
    </row>
    <row r="5447" spans="1:5">
      <c r="A5447" t="s">
        <v>37</v>
      </c>
      <c r="B5447" s="11" t="s">
        <v>70</v>
      </c>
      <c r="C5447">
        <v>4014</v>
      </c>
      <c r="D5447" s="9">
        <v>196.5</v>
      </c>
      <c r="E5447" t="s">
        <v>59</v>
      </c>
    </row>
    <row r="5448" spans="1:5">
      <c r="A5448" t="s">
        <v>37</v>
      </c>
      <c r="B5448" s="11" t="s">
        <v>71</v>
      </c>
      <c r="C5448">
        <v>4014</v>
      </c>
      <c r="D5448" s="9">
        <v>205.5</v>
      </c>
      <c r="E5448" t="s">
        <v>59</v>
      </c>
    </row>
    <row r="5449" spans="1:5">
      <c r="A5449" t="s">
        <v>37</v>
      </c>
      <c r="B5449" s="11" t="s">
        <v>72</v>
      </c>
      <c r="C5449">
        <v>4014</v>
      </c>
      <c r="D5449" s="9">
        <v>227</v>
      </c>
      <c r="E5449" t="s">
        <v>59</v>
      </c>
    </row>
    <row r="5450" spans="1:5">
      <c r="A5450" t="s">
        <v>37</v>
      </c>
      <c r="B5450" s="11" t="s">
        <v>78</v>
      </c>
      <c r="C5450">
        <v>4014</v>
      </c>
      <c r="D5450" s="9">
        <v>50.5</v>
      </c>
      <c r="E5450" t="s">
        <v>59</v>
      </c>
    </row>
    <row r="5451" spans="1:5">
      <c r="A5451" t="s">
        <v>37</v>
      </c>
      <c r="B5451" s="11" t="s">
        <v>73</v>
      </c>
      <c r="C5451">
        <v>4014</v>
      </c>
      <c r="D5451" s="9">
        <v>37.5</v>
      </c>
      <c r="E5451" t="s">
        <v>60</v>
      </c>
    </row>
    <row r="5452" spans="1:5">
      <c r="A5452" t="s">
        <v>37</v>
      </c>
      <c r="B5452" s="11" t="s">
        <v>74</v>
      </c>
      <c r="C5452">
        <v>4014</v>
      </c>
      <c r="D5452" s="9">
        <v>79</v>
      </c>
      <c r="E5452" t="s">
        <v>60</v>
      </c>
    </row>
    <row r="5453" spans="1:5">
      <c r="A5453" t="s">
        <v>38</v>
      </c>
      <c r="B5453" s="11" t="s">
        <v>63</v>
      </c>
      <c r="C5453">
        <v>4014</v>
      </c>
      <c r="D5453" s="9">
        <v>248.5</v>
      </c>
      <c r="E5453" t="s">
        <v>56</v>
      </c>
    </row>
    <row r="5454" spans="1:5">
      <c r="A5454" t="s">
        <v>38</v>
      </c>
      <c r="B5454" s="11" t="s">
        <v>75</v>
      </c>
      <c r="C5454">
        <v>4014</v>
      </c>
      <c r="D5454" s="9">
        <v>99.5</v>
      </c>
      <c r="E5454" t="s">
        <v>56</v>
      </c>
    </row>
    <row r="5455" spans="1:5">
      <c r="A5455" t="s">
        <v>38</v>
      </c>
      <c r="B5455" s="11" t="s">
        <v>64</v>
      </c>
      <c r="C5455">
        <v>4014</v>
      </c>
      <c r="D5455" s="9">
        <v>17</v>
      </c>
      <c r="E5455" t="s">
        <v>57</v>
      </c>
    </row>
    <row r="5456" spans="1:5">
      <c r="A5456" t="s">
        <v>38</v>
      </c>
      <c r="B5456" s="11" t="s">
        <v>65</v>
      </c>
      <c r="C5456">
        <v>4014</v>
      </c>
      <c r="D5456" s="9">
        <v>32.5</v>
      </c>
      <c r="E5456" t="s">
        <v>57</v>
      </c>
    </row>
    <row r="5457" spans="1:5">
      <c r="A5457" t="s">
        <v>38</v>
      </c>
      <c r="B5457" s="11" t="s">
        <v>66</v>
      </c>
      <c r="C5457">
        <v>4014</v>
      </c>
      <c r="D5457" s="9">
        <v>63.5</v>
      </c>
      <c r="E5457" t="s">
        <v>57</v>
      </c>
    </row>
    <row r="5458" spans="1:5">
      <c r="A5458" t="s">
        <v>38</v>
      </c>
      <c r="B5458" s="11" t="s">
        <v>67</v>
      </c>
      <c r="C5458">
        <v>4014</v>
      </c>
      <c r="D5458" s="9">
        <v>48</v>
      </c>
      <c r="E5458" t="s">
        <v>57</v>
      </c>
    </row>
    <row r="5459" spans="1:5">
      <c r="A5459" t="s">
        <v>38</v>
      </c>
      <c r="B5459" s="11" t="s">
        <v>77</v>
      </c>
      <c r="C5459">
        <v>4014</v>
      </c>
      <c r="D5459" s="9">
        <v>44</v>
      </c>
      <c r="E5459" t="s">
        <v>58</v>
      </c>
    </row>
    <row r="5460" spans="1:5">
      <c r="A5460" t="s">
        <v>38</v>
      </c>
      <c r="B5460" s="11" t="s">
        <v>70</v>
      </c>
      <c r="C5460">
        <v>4014</v>
      </c>
      <c r="D5460" s="9">
        <v>210</v>
      </c>
      <c r="E5460" t="s">
        <v>59</v>
      </c>
    </row>
    <row r="5461" spans="1:5">
      <c r="A5461" t="s">
        <v>38</v>
      </c>
      <c r="B5461" s="11" t="s">
        <v>71</v>
      </c>
      <c r="C5461">
        <v>4014</v>
      </c>
      <c r="D5461" s="9">
        <v>204</v>
      </c>
      <c r="E5461" t="s">
        <v>59</v>
      </c>
    </row>
    <row r="5462" spans="1:5">
      <c r="A5462" t="s">
        <v>38</v>
      </c>
      <c r="B5462" s="11" t="s">
        <v>72</v>
      </c>
      <c r="C5462">
        <v>4014</v>
      </c>
      <c r="D5462" s="9">
        <v>242.5</v>
      </c>
      <c r="E5462" t="s">
        <v>59</v>
      </c>
    </row>
    <row r="5463" spans="1:5">
      <c r="A5463" t="s">
        <v>38</v>
      </c>
      <c r="B5463" s="11" t="s">
        <v>78</v>
      </c>
      <c r="C5463">
        <v>4014</v>
      </c>
      <c r="D5463" s="9">
        <v>53</v>
      </c>
      <c r="E5463" t="s">
        <v>59</v>
      </c>
    </row>
    <row r="5464" spans="1:5">
      <c r="A5464" t="s">
        <v>38</v>
      </c>
      <c r="B5464" s="11" t="s">
        <v>73</v>
      </c>
      <c r="C5464">
        <v>4014</v>
      </c>
      <c r="D5464" s="9">
        <v>40.5</v>
      </c>
      <c r="E5464" t="s">
        <v>60</v>
      </c>
    </row>
    <row r="5465" spans="1:5">
      <c r="A5465" t="s">
        <v>38</v>
      </c>
      <c r="B5465" s="11" t="s">
        <v>74</v>
      </c>
      <c r="C5465">
        <v>4014</v>
      </c>
      <c r="D5465" s="9">
        <v>80</v>
      </c>
      <c r="E5465" t="s">
        <v>60</v>
      </c>
    </row>
    <row r="5466" spans="1:5">
      <c r="A5466" t="s">
        <v>39</v>
      </c>
      <c r="B5466" s="11" t="s">
        <v>63</v>
      </c>
      <c r="C5466">
        <v>4014</v>
      </c>
      <c r="D5466" s="9">
        <v>274</v>
      </c>
      <c r="E5466" t="s">
        <v>56</v>
      </c>
    </row>
    <row r="5467" spans="1:5">
      <c r="A5467" t="s">
        <v>39</v>
      </c>
      <c r="B5467" s="11" t="s">
        <v>75</v>
      </c>
      <c r="C5467">
        <v>4014</v>
      </c>
      <c r="D5467" s="9">
        <v>101.5</v>
      </c>
      <c r="E5467" t="s">
        <v>56</v>
      </c>
    </row>
    <row r="5468" spans="1:5">
      <c r="A5468" t="s">
        <v>39</v>
      </c>
      <c r="B5468" s="11" t="s">
        <v>64</v>
      </c>
      <c r="C5468">
        <v>4014</v>
      </c>
      <c r="D5468" s="9">
        <v>21</v>
      </c>
      <c r="E5468" t="s">
        <v>57</v>
      </c>
    </row>
    <row r="5469" spans="1:5">
      <c r="A5469" t="s">
        <v>39</v>
      </c>
      <c r="B5469" s="11" t="s">
        <v>65</v>
      </c>
      <c r="C5469">
        <v>4014</v>
      </c>
      <c r="D5469" s="9">
        <v>29</v>
      </c>
      <c r="E5469" t="s">
        <v>57</v>
      </c>
    </row>
    <row r="5470" spans="1:5">
      <c r="A5470" t="s">
        <v>39</v>
      </c>
      <c r="B5470" s="11" t="s">
        <v>66</v>
      </c>
      <c r="C5470">
        <v>4014</v>
      </c>
      <c r="D5470" s="9">
        <v>70.5</v>
      </c>
      <c r="E5470" t="s">
        <v>57</v>
      </c>
    </row>
    <row r="5471" spans="1:5">
      <c r="A5471" t="s">
        <v>39</v>
      </c>
      <c r="B5471" s="11" t="s">
        <v>67</v>
      </c>
      <c r="C5471">
        <v>4014</v>
      </c>
      <c r="D5471" s="9">
        <v>51</v>
      </c>
      <c r="E5471" t="s">
        <v>57</v>
      </c>
    </row>
    <row r="5472" spans="1:5">
      <c r="A5472" t="s">
        <v>39</v>
      </c>
      <c r="B5472" s="11" t="s">
        <v>77</v>
      </c>
      <c r="C5472">
        <v>4014</v>
      </c>
      <c r="D5472" s="9">
        <v>42</v>
      </c>
      <c r="E5472" t="s">
        <v>58</v>
      </c>
    </row>
    <row r="5473" spans="1:5">
      <c r="A5473" t="s">
        <v>39</v>
      </c>
      <c r="B5473" s="11" t="s">
        <v>70</v>
      </c>
      <c r="C5473">
        <v>4014</v>
      </c>
      <c r="D5473" s="9">
        <v>231.5</v>
      </c>
      <c r="E5473" t="s">
        <v>59</v>
      </c>
    </row>
    <row r="5474" spans="1:5">
      <c r="A5474" t="s">
        <v>39</v>
      </c>
      <c r="B5474" s="11" t="s">
        <v>71</v>
      </c>
      <c r="C5474">
        <v>4014</v>
      </c>
      <c r="D5474" s="9">
        <v>200.5</v>
      </c>
      <c r="E5474" t="s">
        <v>59</v>
      </c>
    </row>
    <row r="5475" spans="1:5">
      <c r="A5475" t="s">
        <v>39</v>
      </c>
      <c r="B5475" s="11" t="s">
        <v>72</v>
      </c>
      <c r="C5475">
        <v>4014</v>
      </c>
      <c r="D5475" s="9">
        <v>273</v>
      </c>
      <c r="E5475" t="s">
        <v>59</v>
      </c>
    </row>
    <row r="5476" spans="1:5">
      <c r="A5476" t="s">
        <v>39</v>
      </c>
      <c r="B5476" s="11" t="s">
        <v>78</v>
      </c>
      <c r="C5476">
        <v>4014</v>
      </c>
      <c r="D5476" s="9">
        <v>61.5</v>
      </c>
      <c r="E5476" t="s">
        <v>59</v>
      </c>
    </row>
    <row r="5477" spans="1:5">
      <c r="A5477" t="s">
        <v>39</v>
      </c>
      <c r="B5477" s="11" t="s">
        <v>73</v>
      </c>
      <c r="C5477">
        <v>4014</v>
      </c>
      <c r="D5477" s="9">
        <v>42.5</v>
      </c>
      <c r="E5477" t="s">
        <v>60</v>
      </c>
    </row>
    <row r="5478" spans="1:5">
      <c r="A5478" t="s">
        <v>39</v>
      </c>
      <c r="B5478" s="11" t="s">
        <v>74</v>
      </c>
      <c r="C5478">
        <v>4014</v>
      </c>
      <c r="D5478" s="9">
        <v>92.5</v>
      </c>
      <c r="E5478" t="s">
        <v>60</v>
      </c>
    </row>
    <row r="5479" spans="1:5">
      <c r="A5479" t="s">
        <v>28</v>
      </c>
      <c r="B5479" s="11" t="s">
        <v>63</v>
      </c>
      <c r="C5479">
        <v>4020</v>
      </c>
      <c r="D5479" s="9">
        <v>253</v>
      </c>
      <c r="E5479" t="s">
        <v>56</v>
      </c>
    </row>
    <row r="5480" spans="1:5">
      <c r="A5480" t="s">
        <v>28</v>
      </c>
      <c r="B5480" s="11" t="s">
        <v>75</v>
      </c>
      <c r="C5480">
        <v>4020</v>
      </c>
      <c r="D5480" s="9">
        <v>96</v>
      </c>
      <c r="E5480" t="s">
        <v>56</v>
      </c>
    </row>
    <row r="5481" spans="1:5">
      <c r="A5481" t="s">
        <v>28</v>
      </c>
      <c r="B5481" s="11" t="s">
        <v>64</v>
      </c>
      <c r="C5481">
        <v>4020</v>
      </c>
      <c r="D5481" s="9">
        <v>21</v>
      </c>
      <c r="E5481" t="s">
        <v>57</v>
      </c>
    </row>
    <row r="5482" spans="1:5">
      <c r="A5482" t="s">
        <v>28</v>
      </c>
      <c r="B5482" s="11" t="s">
        <v>65</v>
      </c>
      <c r="C5482">
        <v>4020</v>
      </c>
      <c r="D5482" s="9">
        <v>27</v>
      </c>
      <c r="E5482" t="s">
        <v>57</v>
      </c>
    </row>
    <row r="5483" spans="1:5">
      <c r="A5483" t="s">
        <v>28</v>
      </c>
      <c r="B5483" s="11" t="s">
        <v>66</v>
      </c>
      <c r="C5483">
        <v>4020</v>
      </c>
      <c r="D5483" s="9">
        <v>65</v>
      </c>
      <c r="E5483" t="s">
        <v>57</v>
      </c>
    </row>
    <row r="5484" spans="1:5">
      <c r="A5484" t="s">
        <v>28</v>
      </c>
      <c r="B5484" s="11" t="s">
        <v>67</v>
      </c>
      <c r="C5484">
        <v>4020</v>
      </c>
      <c r="D5484" s="9">
        <v>52</v>
      </c>
      <c r="E5484" t="s">
        <v>57</v>
      </c>
    </row>
    <row r="5485" spans="1:5">
      <c r="A5485" t="s">
        <v>28</v>
      </c>
      <c r="B5485" s="11" t="s">
        <v>77</v>
      </c>
      <c r="C5485">
        <v>4020</v>
      </c>
      <c r="D5485" s="9">
        <v>41</v>
      </c>
      <c r="E5485" t="s">
        <v>58</v>
      </c>
    </row>
    <row r="5486" spans="1:5">
      <c r="A5486" t="s">
        <v>28</v>
      </c>
      <c r="B5486" s="11" t="s">
        <v>70</v>
      </c>
      <c r="C5486">
        <v>4020</v>
      </c>
      <c r="D5486" s="9">
        <v>216</v>
      </c>
      <c r="E5486" t="s">
        <v>59</v>
      </c>
    </row>
    <row r="5487" spans="1:5">
      <c r="A5487" t="s">
        <v>28</v>
      </c>
      <c r="B5487" s="11" t="s">
        <v>71</v>
      </c>
      <c r="C5487">
        <v>4020</v>
      </c>
      <c r="D5487" s="9">
        <v>201</v>
      </c>
      <c r="E5487" t="s">
        <v>59</v>
      </c>
    </row>
    <row r="5488" spans="1:5">
      <c r="A5488" t="s">
        <v>28</v>
      </c>
      <c r="B5488" s="11" t="s">
        <v>72</v>
      </c>
      <c r="C5488">
        <v>4020</v>
      </c>
      <c r="D5488" s="9">
        <v>262</v>
      </c>
      <c r="E5488" t="s">
        <v>59</v>
      </c>
    </row>
    <row r="5489" spans="1:5">
      <c r="A5489" t="s">
        <v>28</v>
      </c>
      <c r="B5489" s="11" t="s">
        <v>78</v>
      </c>
      <c r="C5489">
        <v>4020</v>
      </c>
      <c r="D5489" s="9">
        <v>54</v>
      </c>
      <c r="E5489" t="s">
        <v>59</v>
      </c>
    </row>
    <row r="5490" spans="1:5">
      <c r="A5490" t="s">
        <v>28</v>
      </c>
      <c r="B5490" s="11" t="s">
        <v>73</v>
      </c>
      <c r="C5490">
        <v>4020</v>
      </c>
      <c r="D5490" s="9">
        <v>39</v>
      </c>
      <c r="E5490" t="s">
        <v>60</v>
      </c>
    </row>
    <row r="5491" spans="1:5">
      <c r="A5491" t="s">
        <v>28</v>
      </c>
      <c r="B5491" s="11" t="s">
        <v>74</v>
      </c>
      <c r="C5491">
        <v>4020</v>
      </c>
      <c r="D5491" s="9">
        <v>85</v>
      </c>
      <c r="E5491" t="s">
        <v>60</v>
      </c>
    </row>
    <row r="5492" spans="1:5">
      <c r="A5492" t="s">
        <v>29</v>
      </c>
      <c r="B5492" s="11" t="s">
        <v>63</v>
      </c>
      <c r="C5492">
        <v>4020</v>
      </c>
      <c r="D5492" s="9">
        <v>231</v>
      </c>
      <c r="E5492" t="s">
        <v>56</v>
      </c>
    </row>
    <row r="5493" spans="1:5">
      <c r="A5493" t="s">
        <v>29</v>
      </c>
      <c r="B5493" s="11" t="s">
        <v>75</v>
      </c>
      <c r="C5493">
        <v>4020</v>
      </c>
      <c r="D5493" s="9">
        <v>88</v>
      </c>
      <c r="E5493" t="s">
        <v>56</v>
      </c>
    </row>
    <row r="5494" spans="1:5">
      <c r="A5494" t="s">
        <v>29</v>
      </c>
      <c r="B5494" s="11" t="s">
        <v>64</v>
      </c>
      <c r="C5494">
        <v>4020</v>
      </c>
      <c r="D5494" s="9">
        <v>18</v>
      </c>
      <c r="E5494" t="s">
        <v>57</v>
      </c>
    </row>
    <row r="5495" spans="1:5">
      <c r="A5495" t="s">
        <v>29</v>
      </c>
      <c r="B5495" s="11" t="s">
        <v>65</v>
      </c>
      <c r="C5495">
        <v>4020</v>
      </c>
      <c r="D5495" s="9">
        <v>28</v>
      </c>
      <c r="E5495" t="s">
        <v>57</v>
      </c>
    </row>
    <row r="5496" spans="1:5">
      <c r="A5496" t="s">
        <v>29</v>
      </c>
      <c r="B5496" s="11" t="s">
        <v>66</v>
      </c>
      <c r="C5496">
        <v>4020</v>
      </c>
      <c r="D5496" s="9">
        <v>62</v>
      </c>
      <c r="E5496" t="s">
        <v>57</v>
      </c>
    </row>
    <row r="5497" spans="1:5">
      <c r="A5497" t="s">
        <v>29</v>
      </c>
      <c r="B5497" s="11" t="s">
        <v>67</v>
      </c>
      <c r="C5497">
        <v>4020</v>
      </c>
      <c r="D5497" s="9">
        <v>48</v>
      </c>
      <c r="E5497" t="s">
        <v>57</v>
      </c>
    </row>
    <row r="5498" spans="1:5">
      <c r="A5498" t="s">
        <v>29</v>
      </c>
      <c r="B5498" s="11" t="s">
        <v>77</v>
      </c>
      <c r="C5498">
        <v>4020</v>
      </c>
      <c r="D5498" s="9">
        <v>41</v>
      </c>
      <c r="E5498" t="s">
        <v>58</v>
      </c>
    </row>
    <row r="5499" spans="1:5">
      <c r="A5499" t="s">
        <v>29</v>
      </c>
      <c r="B5499" s="11" t="s">
        <v>70</v>
      </c>
      <c r="C5499">
        <v>4020</v>
      </c>
      <c r="D5499" s="9">
        <v>201</v>
      </c>
      <c r="E5499" t="s">
        <v>59</v>
      </c>
    </row>
    <row r="5500" spans="1:5">
      <c r="A5500" t="s">
        <v>29</v>
      </c>
      <c r="B5500" s="11" t="s">
        <v>71</v>
      </c>
      <c r="C5500">
        <v>4020</v>
      </c>
      <c r="D5500" s="9">
        <v>175</v>
      </c>
      <c r="E5500" t="s">
        <v>59</v>
      </c>
    </row>
    <row r="5501" spans="1:5">
      <c r="A5501" t="s">
        <v>29</v>
      </c>
      <c r="B5501" s="11" t="s">
        <v>72</v>
      </c>
      <c r="C5501">
        <v>4020</v>
      </c>
      <c r="D5501" s="9">
        <v>244</v>
      </c>
      <c r="E5501" t="s">
        <v>59</v>
      </c>
    </row>
    <row r="5502" spans="1:5">
      <c r="A5502" t="s">
        <v>29</v>
      </c>
      <c r="B5502" s="11" t="s">
        <v>78</v>
      </c>
      <c r="C5502">
        <v>4020</v>
      </c>
      <c r="D5502" s="9">
        <v>54</v>
      </c>
      <c r="E5502" t="s">
        <v>59</v>
      </c>
    </row>
    <row r="5503" spans="1:5">
      <c r="A5503" t="s">
        <v>29</v>
      </c>
      <c r="B5503" s="11" t="s">
        <v>73</v>
      </c>
      <c r="C5503">
        <v>4020</v>
      </c>
      <c r="D5503" s="9">
        <v>39</v>
      </c>
      <c r="E5503" t="s">
        <v>60</v>
      </c>
    </row>
    <row r="5504" spans="1:5">
      <c r="A5504" t="s">
        <v>29</v>
      </c>
      <c r="B5504" s="11" t="s">
        <v>74</v>
      </c>
      <c r="C5504">
        <v>4020</v>
      </c>
      <c r="D5504" s="9">
        <v>79</v>
      </c>
      <c r="E5504" t="s">
        <v>60</v>
      </c>
    </row>
    <row r="5505" spans="1:5">
      <c r="A5505" t="s">
        <v>30</v>
      </c>
      <c r="B5505" s="11" t="s">
        <v>63</v>
      </c>
      <c r="C5505">
        <v>4020</v>
      </c>
      <c r="D5505" s="9">
        <v>243</v>
      </c>
      <c r="E5505" t="s">
        <v>56</v>
      </c>
    </row>
    <row r="5506" spans="1:5">
      <c r="A5506" t="s">
        <v>30</v>
      </c>
      <c r="B5506" s="11" t="s">
        <v>75</v>
      </c>
      <c r="C5506">
        <v>4020</v>
      </c>
      <c r="D5506" s="9">
        <v>103</v>
      </c>
      <c r="E5506" t="s">
        <v>56</v>
      </c>
    </row>
    <row r="5507" spans="1:5">
      <c r="A5507" t="s">
        <v>30</v>
      </c>
      <c r="B5507" s="11" t="s">
        <v>64</v>
      </c>
      <c r="C5507">
        <v>4020</v>
      </c>
      <c r="D5507" s="9">
        <v>21</v>
      </c>
      <c r="E5507" t="s">
        <v>57</v>
      </c>
    </row>
    <row r="5508" spans="1:5">
      <c r="A5508" t="s">
        <v>30</v>
      </c>
      <c r="B5508" s="11" t="s">
        <v>65</v>
      </c>
      <c r="C5508">
        <v>4020</v>
      </c>
      <c r="D5508" s="9">
        <v>34</v>
      </c>
      <c r="E5508" t="s">
        <v>57</v>
      </c>
    </row>
    <row r="5509" spans="1:5">
      <c r="A5509" t="s">
        <v>30</v>
      </c>
      <c r="B5509" s="11" t="s">
        <v>66</v>
      </c>
      <c r="C5509">
        <v>4020</v>
      </c>
      <c r="D5509" s="9">
        <v>73</v>
      </c>
      <c r="E5509" t="s">
        <v>57</v>
      </c>
    </row>
    <row r="5510" spans="1:5">
      <c r="A5510" t="s">
        <v>30</v>
      </c>
      <c r="B5510" s="11" t="s">
        <v>67</v>
      </c>
      <c r="C5510">
        <v>4020</v>
      </c>
      <c r="D5510" s="9">
        <v>58</v>
      </c>
      <c r="E5510" t="s">
        <v>57</v>
      </c>
    </row>
    <row r="5511" spans="1:5">
      <c r="A5511" t="s">
        <v>30</v>
      </c>
      <c r="B5511" s="11" t="s">
        <v>77</v>
      </c>
      <c r="C5511">
        <v>4020</v>
      </c>
      <c r="D5511" s="9">
        <v>49</v>
      </c>
      <c r="E5511" t="s">
        <v>58</v>
      </c>
    </row>
    <row r="5512" spans="1:5">
      <c r="A5512" t="s">
        <v>30</v>
      </c>
      <c r="B5512" s="11" t="s">
        <v>70</v>
      </c>
      <c r="C5512">
        <v>4020</v>
      </c>
      <c r="D5512" s="9">
        <v>219</v>
      </c>
      <c r="E5512" t="s">
        <v>59</v>
      </c>
    </row>
    <row r="5513" spans="1:5">
      <c r="A5513" t="s">
        <v>30</v>
      </c>
      <c r="B5513" s="11" t="s">
        <v>71</v>
      </c>
      <c r="C5513">
        <v>4020</v>
      </c>
      <c r="D5513" s="9">
        <v>207</v>
      </c>
      <c r="E5513" t="s">
        <v>59</v>
      </c>
    </row>
    <row r="5514" spans="1:5">
      <c r="A5514" t="s">
        <v>30</v>
      </c>
      <c r="B5514" s="11" t="s">
        <v>72</v>
      </c>
      <c r="C5514">
        <v>4020</v>
      </c>
      <c r="D5514" s="9">
        <v>305</v>
      </c>
      <c r="E5514" t="s">
        <v>59</v>
      </c>
    </row>
    <row r="5515" spans="1:5">
      <c r="A5515" t="s">
        <v>30</v>
      </c>
      <c r="B5515" s="11" t="s">
        <v>78</v>
      </c>
      <c r="C5515">
        <v>4020</v>
      </c>
      <c r="D5515" s="9">
        <v>54</v>
      </c>
      <c r="E5515" t="s">
        <v>59</v>
      </c>
    </row>
    <row r="5516" spans="1:5">
      <c r="A5516" t="s">
        <v>30</v>
      </c>
      <c r="B5516" s="11" t="s">
        <v>73</v>
      </c>
      <c r="C5516">
        <v>4020</v>
      </c>
      <c r="D5516" s="9">
        <v>46</v>
      </c>
      <c r="E5516" t="s">
        <v>60</v>
      </c>
    </row>
    <row r="5517" spans="1:5">
      <c r="A5517" t="s">
        <v>30</v>
      </c>
      <c r="B5517" s="11" t="s">
        <v>74</v>
      </c>
      <c r="C5517">
        <v>4020</v>
      </c>
      <c r="D5517" s="9">
        <v>103</v>
      </c>
      <c r="E5517" t="s">
        <v>60</v>
      </c>
    </row>
    <row r="5518" spans="1:5">
      <c r="A5518" t="s">
        <v>31</v>
      </c>
      <c r="B5518" s="11" t="s">
        <v>63</v>
      </c>
      <c r="C5518">
        <v>4020</v>
      </c>
      <c r="D5518" s="9">
        <v>248</v>
      </c>
      <c r="E5518" t="s">
        <v>56</v>
      </c>
    </row>
    <row r="5519" spans="1:5">
      <c r="A5519" t="s">
        <v>31</v>
      </c>
      <c r="B5519" s="11" t="s">
        <v>75</v>
      </c>
      <c r="C5519">
        <v>4020</v>
      </c>
      <c r="D5519" s="9">
        <v>103</v>
      </c>
      <c r="E5519" t="s">
        <v>56</v>
      </c>
    </row>
    <row r="5520" spans="1:5">
      <c r="A5520" t="s">
        <v>31</v>
      </c>
      <c r="B5520" s="11" t="s">
        <v>64</v>
      </c>
      <c r="C5520">
        <v>4020</v>
      </c>
      <c r="D5520" s="9">
        <v>20</v>
      </c>
      <c r="E5520" t="s">
        <v>57</v>
      </c>
    </row>
    <row r="5521" spans="1:5">
      <c r="A5521" t="s">
        <v>31</v>
      </c>
      <c r="B5521" s="11" t="s">
        <v>65</v>
      </c>
      <c r="C5521">
        <v>4020</v>
      </c>
      <c r="D5521" s="9">
        <v>32</v>
      </c>
      <c r="E5521" t="s">
        <v>57</v>
      </c>
    </row>
    <row r="5522" spans="1:5">
      <c r="A5522" t="s">
        <v>31</v>
      </c>
      <c r="B5522" s="11" t="s">
        <v>66</v>
      </c>
      <c r="C5522">
        <v>4020</v>
      </c>
      <c r="D5522" s="9">
        <v>68</v>
      </c>
      <c r="E5522" t="s">
        <v>57</v>
      </c>
    </row>
    <row r="5523" spans="1:5">
      <c r="A5523" t="s">
        <v>31</v>
      </c>
      <c r="B5523" s="11" t="s">
        <v>67</v>
      </c>
      <c r="C5523">
        <v>4020</v>
      </c>
      <c r="D5523" s="9">
        <v>53</v>
      </c>
      <c r="E5523" t="s">
        <v>57</v>
      </c>
    </row>
    <row r="5524" spans="1:5">
      <c r="A5524" t="s">
        <v>31</v>
      </c>
      <c r="B5524" s="11" t="s">
        <v>77</v>
      </c>
      <c r="C5524">
        <v>4020</v>
      </c>
      <c r="D5524" s="9">
        <v>45</v>
      </c>
      <c r="E5524" t="s">
        <v>58</v>
      </c>
    </row>
    <row r="5525" spans="1:5">
      <c r="A5525" t="s">
        <v>31</v>
      </c>
      <c r="B5525" s="11" t="s">
        <v>70</v>
      </c>
      <c r="C5525">
        <v>4020</v>
      </c>
      <c r="D5525" s="9">
        <v>206</v>
      </c>
      <c r="E5525" t="s">
        <v>59</v>
      </c>
    </row>
    <row r="5526" spans="1:5">
      <c r="A5526" t="s">
        <v>31</v>
      </c>
      <c r="B5526" s="11" t="s">
        <v>71</v>
      </c>
      <c r="C5526">
        <v>4020</v>
      </c>
      <c r="D5526" s="9">
        <v>212</v>
      </c>
      <c r="E5526" t="s">
        <v>59</v>
      </c>
    </row>
    <row r="5527" spans="1:5">
      <c r="A5527" t="s">
        <v>31</v>
      </c>
      <c r="B5527" s="11" t="s">
        <v>72</v>
      </c>
      <c r="C5527">
        <v>4020</v>
      </c>
      <c r="D5527" s="9">
        <v>282</v>
      </c>
      <c r="E5527" t="s">
        <v>59</v>
      </c>
    </row>
    <row r="5528" spans="1:5">
      <c r="A5528" t="s">
        <v>31</v>
      </c>
      <c r="B5528" s="11" t="s">
        <v>78</v>
      </c>
      <c r="C5528">
        <v>4020</v>
      </c>
      <c r="D5528" s="9">
        <v>58</v>
      </c>
      <c r="E5528" t="s">
        <v>59</v>
      </c>
    </row>
    <row r="5529" spans="1:5">
      <c r="A5529" t="s">
        <v>31</v>
      </c>
      <c r="B5529" s="11" t="s">
        <v>73</v>
      </c>
      <c r="C5529">
        <v>4020</v>
      </c>
      <c r="D5529" s="9">
        <v>43</v>
      </c>
      <c r="E5529" t="s">
        <v>60</v>
      </c>
    </row>
    <row r="5530" spans="1:5">
      <c r="A5530" t="s">
        <v>31</v>
      </c>
      <c r="B5530" s="11" t="s">
        <v>74</v>
      </c>
      <c r="C5530">
        <v>4020</v>
      </c>
      <c r="D5530" s="9">
        <v>83</v>
      </c>
      <c r="E5530" t="s">
        <v>60</v>
      </c>
    </row>
    <row r="5531" spans="1:5">
      <c r="A5531" t="s">
        <v>32</v>
      </c>
      <c r="B5531" s="11" t="s">
        <v>63</v>
      </c>
      <c r="C5531">
        <v>4020</v>
      </c>
      <c r="D5531" s="9">
        <v>243</v>
      </c>
      <c r="E5531" t="s">
        <v>56</v>
      </c>
    </row>
    <row r="5532" spans="1:5">
      <c r="A5532" t="s">
        <v>32</v>
      </c>
      <c r="B5532" s="11" t="s">
        <v>75</v>
      </c>
      <c r="C5532">
        <v>4020</v>
      </c>
      <c r="D5532" s="9">
        <v>89</v>
      </c>
      <c r="E5532" t="s">
        <v>56</v>
      </c>
    </row>
    <row r="5533" spans="1:5">
      <c r="A5533" t="s">
        <v>32</v>
      </c>
      <c r="B5533" s="11" t="s">
        <v>64</v>
      </c>
      <c r="C5533">
        <v>4020</v>
      </c>
      <c r="D5533" s="9">
        <v>18</v>
      </c>
      <c r="E5533" t="s">
        <v>57</v>
      </c>
    </row>
    <row r="5534" spans="1:5">
      <c r="A5534" t="s">
        <v>32</v>
      </c>
      <c r="B5534" s="11" t="s">
        <v>65</v>
      </c>
      <c r="C5534">
        <v>4020</v>
      </c>
      <c r="D5534" s="9">
        <v>30</v>
      </c>
      <c r="E5534" t="s">
        <v>57</v>
      </c>
    </row>
    <row r="5535" spans="1:5">
      <c r="A5535" t="s">
        <v>32</v>
      </c>
      <c r="B5535" s="11" t="s">
        <v>66</v>
      </c>
      <c r="C5535">
        <v>4020</v>
      </c>
      <c r="D5535" s="9">
        <v>60</v>
      </c>
      <c r="E5535" t="s">
        <v>57</v>
      </c>
    </row>
    <row r="5536" spans="1:5">
      <c r="A5536" t="s">
        <v>32</v>
      </c>
      <c r="B5536" s="11" t="s">
        <v>67</v>
      </c>
      <c r="C5536">
        <v>4020</v>
      </c>
      <c r="D5536" s="9">
        <v>48</v>
      </c>
      <c r="E5536" t="s">
        <v>57</v>
      </c>
    </row>
    <row r="5537" spans="1:5">
      <c r="A5537" t="s">
        <v>32</v>
      </c>
      <c r="B5537" s="11" t="s">
        <v>77</v>
      </c>
      <c r="C5537">
        <v>4020</v>
      </c>
      <c r="D5537" s="9">
        <v>42</v>
      </c>
      <c r="E5537" t="s">
        <v>58</v>
      </c>
    </row>
    <row r="5538" spans="1:5">
      <c r="A5538" t="s">
        <v>32</v>
      </c>
      <c r="B5538" s="11" t="s">
        <v>70</v>
      </c>
      <c r="C5538">
        <v>4020</v>
      </c>
      <c r="D5538" s="9">
        <v>203</v>
      </c>
      <c r="E5538" t="s">
        <v>59</v>
      </c>
    </row>
    <row r="5539" spans="1:5">
      <c r="A5539" t="s">
        <v>32</v>
      </c>
      <c r="B5539" s="11" t="s">
        <v>71</v>
      </c>
      <c r="C5539">
        <v>4020</v>
      </c>
      <c r="D5539" s="9">
        <v>198</v>
      </c>
      <c r="E5539" t="s">
        <v>59</v>
      </c>
    </row>
    <row r="5540" spans="1:5">
      <c r="A5540" t="s">
        <v>32</v>
      </c>
      <c r="B5540" s="11" t="s">
        <v>72</v>
      </c>
      <c r="C5540">
        <v>4020</v>
      </c>
      <c r="D5540" s="9">
        <v>231</v>
      </c>
      <c r="E5540" t="s">
        <v>59</v>
      </c>
    </row>
    <row r="5541" spans="1:5">
      <c r="A5541" t="s">
        <v>32</v>
      </c>
      <c r="B5541" s="11" t="s">
        <v>78</v>
      </c>
      <c r="C5541">
        <v>4020</v>
      </c>
      <c r="D5541" s="9">
        <v>51</v>
      </c>
      <c r="E5541" t="s">
        <v>59</v>
      </c>
    </row>
    <row r="5542" spans="1:5">
      <c r="A5542" t="s">
        <v>32</v>
      </c>
      <c r="B5542" s="11" t="s">
        <v>73</v>
      </c>
      <c r="C5542">
        <v>4020</v>
      </c>
      <c r="D5542" s="9">
        <v>37</v>
      </c>
      <c r="E5542" t="s">
        <v>60</v>
      </c>
    </row>
    <row r="5543" spans="1:5">
      <c r="A5543" t="s">
        <v>32</v>
      </c>
      <c r="B5543" s="11" t="s">
        <v>74</v>
      </c>
      <c r="C5543">
        <v>4020</v>
      </c>
      <c r="D5543" s="9">
        <v>76</v>
      </c>
      <c r="E5543" t="s">
        <v>60</v>
      </c>
    </row>
    <row r="5544" spans="1:5">
      <c r="A5544" t="s">
        <v>33</v>
      </c>
      <c r="B5544" s="11" t="s">
        <v>63</v>
      </c>
      <c r="C5544">
        <v>4020</v>
      </c>
      <c r="D5544" s="9">
        <v>250</v>
      </c>
      <c r="E5544" t="s">
        <v>56</v>
      </c>
    </row>
    <row r="5545" spans="1:5">
      <c r="A5545" t="s">
        <v>33</v>
      </c>
      <c r="B5545" s="11" t="s">
        <v>75</v>
      </c>
      <c r="C5545">
        <v>4020</v>
      </c>
      <c r="D5545" s="9">
        <v>89</v>
      </c>
      <c r="E5545" t="s">
        <v>56</v>
      </c>
    </row>
    <row r="5546" spans="1:5">
      <c r="A5546" t="s">
        <v>33</v>
      </c>
      <c r="B5546" s="11" t="s">
        <v>64</v>
      </c>
      <c r="C5546">
        <v>4020</v>
      </c>
      <c r="D5546" s="9">
        <v>17</v>
      </c>
      <c r="E5546" t="s">
        <v>57</v>
      </c>
    </row>
    <row r="5547" spans="1:5">
      <c r="A5547" t="s">
        <v>33</v>
      </c>
      <c r="B5547" s="11" t="s">
        <v>65</v>
      </c>
      <c r="C5547">
        <v>4020</v>
      </c>
      <c r="D5547" s="9">
        <v>31</v>
      </c>
      <c r="E5547" t="s">
        <v>57</v>
      </c>
    </row>
    <row r="5548" spans="1:5">
      <c r="A5548" t="s">
        <v>33</v>
      </c>
      <c r="B5548" s="11" t="s">
        <v>66</v>
      </c>
      <c r="C5548">
        <v>4020</v>
      </c>
      <c r="D5548" s="9">
        <v>63</v>
      </c>
      <c r="E5548" t="s">
        <v>57</v>
      </c>
    </row>
    <row r="5549" spans="1:5">
      <c r="A5549" t="s">
        <v>33</v>
      </c>
      <c r="B5549" s="11" t="s">
        <v>67</v>
      </c>
      <c r="C5549">
        <v>4020</v>
      </c>
      <c r="D5549" s="9">
        <v>48</v>
      </c>
      <c r="E5549" t="s">
        <v>57</v>
      </c>
    </row>
    <row r="5550" spans="1:5">
      <c r="A5550" t="s">
        <v>33</v>
      </c>
      <c r="B5550" s="11" t="s">
        <v>77</v>
      </c>
      <c r="C5550">
        <v>4020</v>
      </c>
      <c r="D5550" s="9">
        <v>44</v>
      </c>
      <c r="E5550" t="s">
        <v>58</v>
      </c>
    </row>
    <row r="5551" spans="1:5">
      <c r="A5551" t="s">
        <v>33</v>
      </c>
      <c r="B5551" s="11" t="s">
        <v>70</v>
      </c>
      <c r="C5551">
        <v>4020</v>
      </c>
      <c r="D5551" s="9">
        <v>199</v>
      </c>
      <c r="E5551" t="s">
        <v>59</v>
      </c>
    </row>
    <row r="5552" spans="1:5">
      <c r="A5552" t="s">
        <v>33</v>
      </c>
      <c r="B5552" s="11" t="s">
        <v>71</v>
      </c>
      <c r="C5552">
        <v>4020</v>
      </c>
      <c r="D5552" s="9">
        <v>199</v>
      </c>
      <c r="E5552" t="s">
        <v>59</v>
      </c>
    </row>
    <row r="5553" spans="1:5">
      <c r="A5553" t="s">
        <v>33</v>
      </c>
      <c r="B5553" s="11" t="s">
        <v>72</v>
      </c>
      <c r="C5553">
        <v>4020</v>
      </c>
      <c r="D5553" s="9">
        <v>211</v>
      </c>
      <c r="E5553" t="s">
        <v>59</v>
      </c>
    </row>
    <row r="5554" spans="1:5">
      <c r="A5554" t="s">
        <v>33</v>
      </c>
      <c r="B5554" s="11" t="s">
        <v>78</v>
      </c>
      <c r="C5554">
        <v>4020</v>
      </c>
      <c r="D5554" s="9">
        <v>46</v>
      </c>
      <c r="E5554" t="s">
        <v>59</v>
      </c>
    </row>
    <row r="5555" spans="1:5">
      <c r="A5555" t="s">
        <v>33</v>
      </c>
      <c r="B5555" s="11" t="s">
        <v>73</v>
      </c>
      <c r="C5555">
        <v>4020</v>
      </c>
      <c r="D5555" s="9">
        <v>37</v>
      </c>
      <c r="E5555" t="s">
        <v>60</v>
      </c>
    </row>
    <row r="5556" spans="1:5">
      <c r="A5556" t="s">
        <v>33</v>
      </c>
      <c r="B5556" s="11" t="s">
        <v>74</v>
      </c>
      <c r="C5556">
        <v>4020</v>
      </c>
      <c r="D5556" s="9">
        <v>83</v>
      </c>
      <c r="E5556" t="s">
        <v>60</v>
      </c>
    </row>
    <row r="5557" spans="1:5">
      <c r="A5557" t="s">
        <v>34</v>
      </c>
      <c r="B5557" s="11" t="s">
        <v>63</v>
      </c>
      <c r="C5557">
        <v>4020</v>
      </c>
      <c r="D5557" s="9">
        <v>248</v>
      </c>
      <c r="E5557" t="s">
        <v>56</v>
      </c>
    </row>
    <row r="5558" spans="1:5">
      <c r="A5558" t="s">
        <v>34</v>
      </c>
      <c r="B5558" s="11" t="s">
        <v>75</v>
      </c>
      <c r="C5558">
        <v>4020</v>
      </c>
      <c r="D5558" s="9">
        <v>90</v>
      </c>
      <c r="E5558" t="s">
        <v>56</v>
      </c>
    </row>
    <row r="5559" spans="1:5">
      <c r="A5559" t="s">
        <v>34</v>
      </c>
      <c r="B5559" s="11" t="s">
        <v>64</v>
      </c>
      <c r="C5559">
        <v>4020</v>
      </c>
      <c r="D5559" s="9">
        <v>16</v>
      </c>
      <c r="E5559" t="s">
        <v>57</v>
      </c>
    </row>
    <row r="5560" spans="1:5">
      <c r="A5560" t="s">
        <v>34</v>
      </c>
      <c r="B5560" s="11" t="s">
        <v>65</v>
      </c>
      <c r="C5560">
        <v>4020</v>
      </c>
      <c r="D5560" s="9">
        <v>32</v>
      </c>
      <c r="E5560" t="s">
        <v>57</v>
      </c>
    </row>
    <row r="5561" spans="1:5">
      <c r="A5561" t="s">
        <v>34</v>
      </c>
      <c r="B5561" s="11" t="s">
        <v>66</v>
      </c>
      <c r="C5561">
        <v>4020</v>
      </c>
      <c r="D5561" s="9">
        <v>62</v>
      </c>
      <c r="E5561" t="s">
        <v>57</v>
      </c>
    </row>
    <row r="5562" spans="1:5">
      <c r="A5562" t="s">
        <v>34</v>
      </c>
      <c r="B5562" s="11" t="s">
        <v>67</v>
      </c>
      <c r="C5562">
        <v>4020</v>
      </c>
      <c r="D5562" s="9">
        <v>44</v>
      </c>
      <c r="E5562" t="s">
        <v>57</v>
      </c>
    </row>
    <row r="5563" spans="1:5">
      <c r="A5563" t="s">
        <v>34</v>
      </c>
      <c r="B5563" s="11" t="s">
        <v>77</v>
      </c>
      <c r="C5563">
        <v>4020</v>
      </c>
      <c r="D5563" s="9">
        <v>40</v>
      </c>
      <c r="E5563" t="s">
        <v>58</v>
      </c>
    </row>
    <row r="5564" spans="1:5">
      <c r="A5564" t="s">
        <v>34</v>
      </c>
      <c r="B5564" s="11" t="s">
        <v>70</v>
      </c>
      <c r="C5564">
        <v>4020</v>
      </c>
      <c r="D5564" s="9">
        <v>204</v>
      </c>
      <c r="E5564" t="s">
        <v>59</v>
      </c>
    </row>
    <row r="5565" spans="1:5">
      <c r="A5565" t="s">
        <v>34</v>
      </c>
      <c r="B5565" s="11" t="s">
        <v>71</v>
      </c>
      <c r="C5565">
        <v>4020</v>
      </c>
      <c r="D5565" s="9">
        <v>197</v>
      </c>
      <c r="E5565" t="s">
        <v>59</v>
      </c>
    </row>
    <row r="5566" spans="1:5">
      <c r="A5566" t="s">
        <v>34</v>
      </c>
      <c r="B5566" s="11" t="s">
        <v>72</v>
      </c>
      <c r="C5566">
        <v>4020</v>
      </c>
      <c r="D5566" s="9">
        <v>217</v>
      </c>
      <c r="E5566" t="s">
        <v>59</v>
      </c>
    </row>
    <row r="5567" spans="1:5">
      <c r="A5567" t="s">
        <v>34</v>
      </c>
      <c r="B5567" s="11" t="s">
        <v>78</v>
      </c>
      <c r="C5567">
        <v>4020</v>
      </c>
      <c r="D5567" s="9">
        <v>46</v>
      </c>
      <c r="E5567" t="s">
        <v>59</v>
      </c>
    </row>
    <row r="5568" spans="1:5">
      <c r="A5568" t="s">
        <v>34</v>
      </c>
      <c r="B5568" s="11" t="s">
        <v>73</v>
      </c>
      <c r="C5568">
        <v>4020</v>
      </c>
      <c r="D5568" s="9">
        <v>36</v>
      </c>
      <c r="E5568" t="s">
        <v>60</v>
      </c>
    </row>
    <row r="5569" spans="1:5">
      <c r="A5569" t="s">
        <v>34</v>
      </c>
      <c r="B5569" s="11" t="s">
        <v>74</v>
      </c>
      <c r="C5569">
        <v>4020</v>
      </c>
      <c r="D5569" s="9">
        <v>80</v>
      </c>
      <c r="E5569" t="s">
        <v>60</v>
      </c>
    </row>
    <row r="5570" spans="1:5">
      <c r="A5570" t="s">
        <v>35</v>
      </c>
      <c r="B5570" s="11" t="s">
        <v>63</v>
      </c>
      <c r="C5570">
        <v>4020</v>
      </c>
      <c r="D5570" s="9">
        <v>247</v>
      </c>
      <c r="E5570" t="s">
        <v>56</v>
      </c>
    </row>
    <row r="5571" spans="1:5">
      <c r="A5571" t="s">
        <v>35</v>
      </c>
      <c r="B5571" s="11" t="s">
        <v>75</v>
      </c>
      <c r="C5571">
        <v>4020</v>
      </c>
      <c r="D5571" s="9">
        <v>86</v>
      </c>
      <c r="E5571" t="s">
        <v>56</v>
      </c>
    </row>
    <row r="5572" spans="1:5">
      <c r="A5572" t="s">
        <v>35</v>
      </c>
      <c r="B5572" s="11" t="s">
        <v>64</v>
      </c>
      <c r="C5572">
        <v>4020</v>
      </c>
      <c r="D5572" s="9">
        <v>17</v>
      </c>
      <c r="E5572" t="s">
        <v>57</v>
      </c>
    </row>
    <row r="5573" spans="1:5">
      <c r="A5573" t="s">
        <v>35</v>
      </c>
      <c r="B5573" s="11" t="s">
        <v>65</v>
      </c>
      <c r="C5573">
        <v>4020</v>
      </c>
      <c r="D5573" s="9">
        <v>32</v>
      </c>
      <c r="E5573" t="s">
        <v>57</v>
      </c>
    </row>
    <row r="5574" spans="1:5">
      <c r="A5574" t="s">
        <v>35</v>
      </c>
      <c r="B5574" s="11" t="s">
        <v>66</v>
      </c>
      <c r="C5574">
        <v>4020</v>
      </c>
      <c r="D5574" s="9">
        <v>62</v>
      </c>
      <c r="E5574" t="s">
        <v>57</v>
      </c>
    </row>
    <row r="5575" spans="1:5">
      <c r="A5575" t="s">
        <v>35</v>
      </c>
      <c r="B5575" s="11" t="s">
        <v>67</v>
      </c>
      <c r="C5575">
        <v>4020</v>
      </c>
      <c r="D5575" s="9">
        <v>47</v>
      </c>
      <c r="E5575" t="s">
        <v>57</v>
      </c>
    </row>
    <row r="5576" spans="1:5">
      <c r="A5576" t="s">
        <v>35</v>
      </c>
      <c r="B5576" s="11" t="s">
        <v>77</v>
      </c>
      <c r="C5576">
        <v>4020</v>
      </c>
      <c r="D5576" s="9">
        <v>41</v>
      </c>
      <c r="E5576" t="s">
        <v>58</v>
      </c>
    </row>
    <row r="5577" spans="1:5">
      <c r="A5577" t="s">
        <v>35</v>
      </c>
      <c r="B5577" s="11" t="s">
        <v>70</v>
      </c>
      <c r="C5577">
        <v>4020</v>
      </c>
      <c r="D5577" s="9">
        <v>197</v>
      </c>
      <c r="E5577" t="s">
        <v>59</v>
      </c>
    </row>
    <row r="5578" spans="1:5">
      <c r="A5578" t="s">
        <v>35</v>
      </c>
      <c r="B5578" s="11" t="s">
        <v>71</v>
      </c>
      <c r="C5578">
        <v>4020</v>
      </c>
      <c r="D5578" s="9">
        <v>200</v>
      </c>
      <c r="E5578" t="s">
        <v>59</v>
      </c>
    </row>
    <row r="5579" spans="1:5">
      <c r="A5579" t="s">
        <v>35</v>
      </c>
      <c r="B5579" s="11" t="s">
        <v>72</v>
      </c>
      <c r="C5579">
        <v>4020</v>
      </c>
      <c r="D5579" s="9">
        <v>220</v>
      </c>
      <c r="E5579" t="s">
        <v>59</v>
      </c>
    </row>
    <row r="5580" spans="1:5">
      <c r="A5580" t="s">
        <v>35</v>
      </c>
      <c r="B5580" s="11" t="s">
        <v>78</v>
      </c>
      <c r="C5580">
        <v>4020</v>
      </c>
      <c r="D5580" s="9">
        <v>48</v>
      </c>
      <c r="E5580" t="s">
        <v>59</v>
      </c>
    </row>
    <row r="5581" spans="1:5">
      <c r="A5581" t="s">
        <v>35</v>
      </c>
      <c r="B5581" s="11" t="s">
        <v>73</v>
      </c>
      <c r="C5581">
        <v>4020</v>
      </c>
      <c r="D5581" s="9">
        <v>37</v>
      </c>
      <c r="E5581" t="s">
        <v>60</v>
      </c>
    </row>
    <row r="5582" spans="1:5">
      <c r="A5582" t="s">
        <v>35</v>
      </c>
      <c r="B5582" s="11" t="s">
        <v>74</v>
      </c>
      <c r="C5582">
        <v>4020</v>
      </c>
      <c r="D5582" s="9">
        <v>80</v>
      </c>
      <c r="E5582" t="s">
        <v>60</v>
      </c>
    </row>
    <row r="5583" spans="1:5">
      <c r="A5583" t="s">
        <v>36</v>
      </c>
      <c r="B5583" s="11" t="s">
        <v>63</v>
      </c>
      <c r="C5583">
        <v>4020</v>
      </c>
      <c r="D5583" s="9">
        <v>246</v>
      </c>
      <c r="E5583" t="s">
        <v>56</v>
      </c>
    </row>
    <row r="5584" spans="1:5">
      <c r="A5584" t="s">
        <v>36</v>
      </c>
      <c r="B5584" s="11" t="s">
        <v>75</v>
      </c>
      <c r="C5584">
        <v>4020</v>
      </c>
      <c r="D5584" s="9">
        <v>83</v>
      </c>
      <c r="E5584" t="s">
        <v>56</v>
      </c>
    </row>
    <row r="5585" spans="1:5">
      <c r="A5585" t="s">
        <v>36</v>
      </c>
      <c r="B5585" s="11" t="s">
        <v>64</v>
      </c>
      <c r="C5585">
        <v>4020</v>
      </c>
      <c r="D5585" s="9">
        <v>15</v>
      </c>
      <c r="E5585" t="s">
        <v>57</v>
      </c>
    </row>
    <row r="5586" spans="1:5">
      <c r="A5586" t="s">
        <v>36</v>
      </c>
      <c r="B5586" s="11" t="s">
        <v>65</v>
      </c>
      <c r="C5586">
        <v>4020</v>
      </c>
      <c r="D5586" s="9">
        <v>31</v>
      </c>
      <c r="E5586" t="s">
        <v>57</v>
      </c>
    </row>
    <row r="5587" spans="1:5">
      <c r="A5587" t="s">
        <v>36</v>
      </c>
      <c r="B5587" s="11" t="s">
        <v>66</v>
      </c>
      <c r="C5587">
        <v>4020</v>
      </c>
      <c r="D5587" s="9">
        <v>54</v>
      </c>
      <c r="E5587" t="s">
        <v>57</v>
      </c>
    </row>
    <row r="5588" spans="1:5">
      <c r="A5588" t="s">
        <v>36</v>
      </c>
      <c r="B5588" s="11" t="s">
        <v>67</v>
      </c>
      <c r="C5588">
        <v>4020</v>
      </c>
      <c r="D5588" s="9">
        <v>43</v>
      </c>
      <c r="E5588" t="s">
        <v>57</v>
      </c>
    </row>
    <row r="5589" spans="1:5">
      <c r="A5589" t="s">
        <v>36</v>
      </c>
      <c r="B5589" s="11" t="s">
        <v>77</v>
      </c>
      <c r="C5589">
        <v>4020</v>
      </c>
      <c r="D5589" s="9">
        <v>36</v>
      </c>
      <c r="E5589" t="s">
        <v>58</v>
      </c>
    </row>
    <row r="5590" spans="1:5">
      <c r="A5590" t="s">
        <v>36</v>
      </c>
      <c r="B5590" s="11" t="s">
        <v>70</v>
      </c>
      <c r="C5590">
        <v>4020</v>
      </c>
      <c r="D5590" s="9">
        <v>175</v>
      </c>
      <c r="E5590" t="s">
        <v>59</v>
      </c>
    </row>
    <row r="5591" spans="1:5">
      <c r="A5591" t="s">
        <v>36</v>
      </c>
      <c r="B5591" s="11" t="s">
        <v>71</v>
      </c>
      <c r="C5591">
        <v>4020</v>
      </c>
      <c r="D5591" s="9">
        <v>177</v>
      </c>
      <c r="E5591" t="s">
        <v>59</v>
      </c>
    </row>
    <row r="5592" spans="1:5">
      <c r="A5592" t="s">
        <v>36</v>
      </c>
      <c r="B5592" s="11" t="s">
        <v>72</v>
      </c>
      <c r="C5592">
        <v>4020</v>
      </c>
      <c r="D5592" s="9">
        <v>199</v>
      </c>
      <c r="E5592" t="s">
        <v>59</v>
      </c>
    </row>
    <row r="5593" spans="1:5">
      <c r="A5593" t="s">
        <v>36</v>
      </c>
      <c r="B5593" s="11" t="s">
        <v>78</v>
      </c>
      <c r="C5593">
        <v>4020</v>
      </c>
      <c r="D5593" s="9">
        <v>41</v>
      </c>
      <c r="E5593" t="s">
        <v>59</v>
      </c>
    </row>
    <row r="5594" spans="1:5">
      <c r="A5594" t="s">
        <v>36</v>
      </c>
      <c r="B5594" s="11" t="s">
        <v>73</v>
      </c>
      <c r="C5594">
        <v>4020</v>
      </c>
      <c r="D5594" s="9">
        <v>35</v>
      </c>
      <c r="E5594" t="s">
        <v>60</v>
      </c>
    </row>
    <row r="5595" spans="1:5">
      <c r="A5595" t="s">
        <v>36</v>
      </c>
      <c r="B5595" s="11" t="s">
        <v>74</v>
      </c>
      <c r="C5595">
        <v>4020</v>
      </c>
      <c r="D5595" s="9">
        <v>74</v>
      </c>
      <c r="E5595" t="s">
        <v>60</v>
      </c>
    </row>
    <row r="5596" spans="1:5">
      <c r="A5596" t="s">
        <v>37</v>
      </c>
      <c r="B5596" s="11" t="s">
        <v>63</v>
      </c>
      <c r="C5596">
        <v>4020</v>
      </c>
      <c r="D5596" s="9">
        <v>235</v>
      </c>
      <c r="E5596" t="s">
        <v>56</v>
      </c>
    </row>
    <row r="5597" spans="1:5">
      <c r="A5597" t="s">
        <v>37</v>
      </c>
      <c r="B5597" s="11" t="s">
        <v>75</v>
      </c>
      <c r="C5597">
        <v>4020</v>
      </c>
      <c r="D5597" s="9">
        <v>85</v>
      </c>
      <c r="E5597" t="s">
        <v>56</v>
      </c>
    </row>
    <row r="5598" spans="1:5">
      <c r="A5598" t="s">
        <v>37</v>
      </c>
      <c r="B5598" s="11" t="s">
        <v>64</v>
      </c>
      <c r="C5598">
        <v>4020</v>
      </c>
      <c r="D5598" s="9">
        <v>15</v>
      </c>
      <c r="E5598" t="s">
        <v>57</v>
      </c>
    </row>
    <row r="5599" spans="1:5">
      <c r="A5599" t="s">
        <v>37</v>
      </c>
      <c r="B5599" s="11" t="s">
        <v>65</v>
      </c>
      <c r="C5599">
        <v>4020</v>
      </c>
      <c r="D5599" s="9">
        <v>29</v>
      </c>
      <c r="E5599" t="s">
        <v>57</v>
      </c>
    </row>
    <row r="5600" spans="1:5">
      <c r="A5600" t="s">
        <v>37</v>
      </c>
      <c r="B5600" s="11" t="s">
        <v>66</v>
      </c>
      <c r="C5600">
        <v>4020</v>
      </c>
      <c r="D5600" s="9">
        <v>56</v>
      </c>
      <c r="E5600" t="s">
        <v>57</v>
      </c>
    </row>
    <row r="5601" spans="1:5">
      <c r="A5601" t="s">
        <v>37</v>
      </c>
      <c r="B5601" s="11" t="s">
        <v>67</v>
      </c>
      <c r="C5601">
        <v>4020</v>
      </c>
      <c r="D5601" s="9">
        <v>45</v>
      </c>
      <c r="E5601" t="s">
        <v>57</v>
      </c>
    </row>
    <row r="5602" spans="1:5">
      <c r="A5602" t="s">
        <v>37</v>
      </c>
      <c r="B5602" s="11" t="s">
        <v>77</v>
      </c>
      <c r="C5602">
        <v>4020</v>
      </c>
      <c r="D5602" s="9">
        <v>36</v>
      </c>
      <c r="E5602" t="s">
        <v>58</v>
      </c>
    </row>
    <row r="5603" spans="1:5">
      <c r="A5603" t="s">
        <v>37</v>
      </c>
      <c r="B5603" s="11" t="s">
        <v>70</v>
      </c>
      <c r="C5603">
        <v>4020</v>
      </c>
      <c r="D5603" s="9">
        <v>178</v>
      </c>
      <c r="E5603" t="s">
        <v>59</v>
      </c>
    </row>
    <row r="5604" spans="1:5">
      <c r="A5604" t="s">
        <v>37</v>
      </c>
      <c r="B5604" s="11" t="s">
        <v>71</v>
      </c>
      <c r="C5604">
        <v>4020</v>
      </c>
      <c r="D5604" s="9">
        <v>187</v>
      </c>
      <c r="E5604" t="s">
        <v>59</v>
      </c>
    </row>
    <row r="5605" spans="1:5">
      <c r="A5605" t="s">
        <v>37</v>
      </c>
      <c r="B5605" s="11" t="s">
        <v>72</v>
      </c>
      <c r="C5605">
        <v>4020</v>
      </c>
      <c r="D5605" s="9">
        <v>206</v>
      </c>
      <c r="E5605" t="s">
        <v>59</v>
      </c>
    </row>
    <row r="5606" spans="1:5">
      <c r="A5606" t="s">
        <v>37</v>
      </c>
      <c r="B5606" s="11" t="s">
        <v>78</v>
      </c>
      <c r="C5606">
        <v>4020</v>
      </c>
      <c r="D5606" s="9">
        <v>46</v>
      </c>
      <c r="E5606" t="s">
        <v>59</v>
      </c>
    </row>
    <row r="5607" spans="1:5">
      <c r="A5607" t="s">
        <v>37</v>
      </c>
      <c r="B5607" s="11" t="s">
        <v>73</v>
      </c>
      <c r="C5607">
        <v>4020</v>
      </c>
      <c r="D5607" s="9">
        <v>34</v>
      </c>
      <c r="E5607" t="s">
        <v>60</v>
      </c>
    </row>
    <row r="5608" spans="1:5">
      <c r="A5608" t="s">
        <v>37</v>
      </c>
      <c r="B5608" s="11" t="s">
        <v>74</v>
      </c>
      <c r="C5608">
        <v>4020</v>
      </c>
      <c r="D5608" s="9">
        <v>72</v>
      </c>
      <c r="E5608" t="s">
        <v>60</v>
      </c>
    </row>
    <row r="5609" spans="1:5">
      <c r="A5609" t="s">
        <v>38</v>
      </c>
      <c r="B5609" s="11" t="s">
        <v>63</v>
      </c>
      <c r="C5609">
        <v>4020</v>
      </c>
      <c r="D5609" s="9">
        <v>226</v>
      </c>
      <c r="E5609" t="s">
        <v>56</v>
      </c>
    </row>
    <row r="5610" spans="1:5">
      <c r="A5610" t="s">
        <v>38</v>
      </c>
      <c r="B5610" s="11" t="s">
        <v>75</v>
      </c>
      <c r="C5610">
        <v>4020</v>
      </c>
      <c r="D5610" s="9">
        <v>90</v>
      </c>
      <c r="E5610" t="s">
        <v>56</v>
      </c>
    </row>
    <row r="5611" spans="1:5">
      <c r="A5611" t="s">
        <v>38</v>
      </c>
      <c r="B5611" s="11" t="s">
        <v>64</v>
      </c>
      <c r="C5611">
        <v>4020</v>
      </c>
      <c r="D5611" s="9">
        <v>15</v>
      </c>
      <c r="E5611" t="s">
        <v>57</v>
      </c>
    </row>
    <row r="5612" spans="1:5">
      <c r="A5612" t="s">
        <v>38</v>
      </c>
      <c r="B5612" s="11" t="s">
        <v>65</v>
      </c>
      <c r="C5612">
        <v>4020</v>
      </c>
      <c r="D5612" s="9">
        <v>30</v>
      </c>
      <c r="E5612" t="s">
        <v>57</v>
      </c>
    </row>
    <row r="5613" spans="1:5">
      <c r="A5613" t="s">
        <v>38</v>
      </c>
      <c r="B5613" s="11" t="s">
        <v>66</v>
      </c>
      <c r="C5613">
        <v>4020</v>
      </c>
      <c r="D5613" s="9">
        <v>58</v>
      </c>
      <c r="E5613" t="s">
        <v>57</v>
      </c>
    </row>
    <row r="5614" spans="1:5">
      <c r="A5614" t="s">
        <v>38</v>
      </c>
      <c r="B5614" s="11" t="s">
        <v>67</v>
      </c>
      <c r="C5614">
        <v>4020</v>
      </c>
      <c r="D5614" s="9">
        <v>44</v>
      </c>
      <c r="E5614" t="s">
        <v>57</v>
      </c>
    </row>
    <row r="5615" spans="1:5">
      <c r="A5615" t="s">
        <v>38</v>
      </c>
      <c r="B5615" s="11" t="s">
        <v>77</v>
      </c>
      <c r="C5615">
        <v>4020</v>
      </c>
      <c r="D5615" s="9">
        <v>40</v>
      </c>
      <c r="E5615" t="s">
        <v>58</v>
      </c>
    </row>
    <row r="5616" spans="1:5">
      <c r="A5616" t="s">
        <v>38</v>
      </c>
      <c r="B5616" s="11" t="s">
        <v>70</v>
      </c>
      <c r="C5616">
        <v>4020</v>
      </c>
      <c r="D5616" s="9">
        <v>191</v>
      </c>
      <c r="E5616" t="s">
        <v>59</v>
      </c>
    </row>
    <row r="5617" spans="1:5">
      <c r="A5617" t="s">
        <v>38</v>
      </c>
      <c r="B5617" s="11" t="s">
        <v>71</v>
      </c>
      <c r="C5617">
        <v>4020</v>
      </c>
      <c r="D5617" s="9">
        <v>185</v>
      </c>
      <c r="E5617" t="s">
        <v>59</v>
      </c>
    </row>
    <row r="5618" spans="1:5">
      <c r="A5618" t="s">
        <v>38</v>
      </c>
      <c r="B5618" s="11" t="s">
        <v>72</v>
      </c>
      <c r="C5618">
        <v>4020</v>
      </c>
      <c r="D5618" s="9">
        <v>221</v>
      </c>
      <c r="E5618" t="s">
        <v>59</v>
      </c>
    </row>
    <row r="5619" spans="1:5">
      <c r="A5619" t="s">
        <v>38</v>
      </c>
      <c r="B5619" s="11" t="s">
        <v>78</v>
      </c>
      <c r="C5619">
        <v>4020</v>
      </c>
      <c r="D5619" s="9">
        <v>48</v>
      </c>
      <c r="E5619" t="s">
        <v>59</v>
      </c>
    </row>
    <row r="5620" spans="1:5">
      <c r="A5620" t="s">
        <v>38</v>
      </c>
      <c r="B5620" s="11" t="s">
        <v>73</v>
      </c>
      <c r="C5620">
        <v>4020</v>
      </c>
      <c r="D5620" s="9">
        <v>37</v>
      </c>
      <c r="E5620" t="s">
        <v>60</v>
      </c>
    </row>
    <row r="5621" spans="1:5">
      <c r="A5621" t="s">
        <v>38</v>
      </c>
      <c r="B5621" s="11" t="s">
        <v>74</v>
      </c>
      <c r="C5621">
        <v>4020</v>
      </c>
      <c r="D5621" s="9">
        <v>73</v>
      </c>
      <c r="E5621" t="s">
        <v>60</v>
      </c>
    </row>
    <row r="5622" spans="1:5">
      <c r="A5622" t="s">
        <v>39</v>
      </c>
      <c r="B5622" s="11" t="s">
        <v>63</v>
      </c>
      <c r="C5622">
        <v>4020</v>
      </c>
      <c r="D5622" s="9">
        <v>249</v>
      </c>
      <c r="E5622" t="s">
        <v>56</v>
      </c>
    </row>
    <row r="5623" spans="1:5">
      <c r="A5623" t="s">
        <v>39</v>
      </c>
      <c r="B5623" s="11" t="s">
        <v>75</v>
      </c>
      <c r="C5623">
        <v>4020</v>
      </c>
      <c r="D5623" s="9">
        <v>92</v>
      </c>
      <c r="E5623" t="s">
        <v>56</v>
      </c>
    </row>
    <row r="5624" spans="1:5">
      <c r="A5624" t="s">
        <v>39</v>
      </c>
      <c r="B5624" s="11" t="s">
        <v>64</v>
      </c>
      <c r="C5624">
        <v>4020</v>
      </c>
      <c r="D5624" s="9">
        <v>19</v>
      </c>
      <c r="E5624" t="s">
        <v>57</v>
      </c>
    </row>
    <row r="5625" spans="1:5">
      <c r="A5625" t="s">
        <v>39</v>
      </c>
      <c r="B5625" s="11" t="s">
        <v>65</v>
      </c>
      <c r="C5625">
        <v>4020</v>
      </c>
      <c r="D5625" s="9">
        <v>26</v>
      </c>
      <c r="E5625" t="s">
        <v>57</v>
      </c>
    </row>
    <row r="5626" spans="1:5">
      <c r="A5626" t="s">
        <v>39</v>
      </c>
      <c r="B5626" s="11" t="s">
        <v>66</v>
      </c>
      <c r="C5626">
        <v>4020</v>
      </c>
      <c r="D5626" s="9">
        <v>64</v>
      </c>
      <c r="E5626" t="s">
        <v>57</v>
      </c>
    </row>
    <row r="5627" spans="1:5">
      <c r="A5627" t="s">
        <v>39</v>
      </c>
      <c r="B5627" s="11" t="s">
        <v>67</v>
      </c>
      <c r="C5627">
        <v>4020</v>
      </c>
      <c r="D5627" s="9">
        <v>46</v>
      </c>
      <c r="E5627" t="s">
        <v>57</v>
      </c>
    </row>
    <row r="5628" spans="1:5">
      <c r="A5628" t="s">
        <v>39</v>
      </c>
      <c r="B5628" s="11" t="s">
        <v>77</v>
      </c>
      <c r="C5628">
        <v>4020</v>
      </c>
      <c r="D5628" s="9">
        <v>38</v>
      </c>
      <c r="E5628" t="s">
        <v>58</v>
      </c>
    </row>
    <row r="5629" spans="1:5">
      <c r="A5629" t="s">
        <v>39</v>
      </c>
      <c r="B5629" s="11" t="s">
        <v>70</v>
      </c>
      <c r="C5629">
        <v>4020</v>
      </c>
      <c r="D5629" s="9">
        <v>211</v>
      </c>
      <c r="E5629" t="s">
        <v>59</v>
      </c>
    </row>
    <row r="5630" spans="1:5">
      <c r="A5630" t="s">
        <v>39</v>
      </c>
      <c r="B5630" s="11" t="s">
        <v>71</v>
      </c>
      <c r="C5630">
        <v>4020</v>
      </c>
      <c r="D5630" s="9">
        <v>182</v>
      </c>
      <c r="E5630" t="s">
        <v>59</v>
      </c>
    </row>
    <row r="5631" spans="1:5">
      <c r="A5631" t="s">
        <v>39</v>
      </c>
      <c r="B5631" s="11" t="s">
        <v>72</v>
      </c>
      <c r="C5631">
        <v>4020</v>
      </c>
      <c r="D5631" s="9">
        <v>248</v>
      </c>
      <c r="E5631" t="s">
        <v>59</v>
      </c>
    </row>
    <row r="5632" spans="1:5">
      <c r="A5632" t="s">
        <v>39</v>
      </c>
      <c r="B5632" s="11" t="s">
        <v>78</v>
      </c>
      <c r="C5632">
        <v>4020</v>
      </c>
      <c r="D5632" s="9">
        <v>56</v>
      </c>
      <c r="E5632" t="s">
        <v>59</v>
      </c>
    </row>
    <row r="5633" spans="1:5">
      <c r="A5633" t="s">
        <v>39</v>
      </c>
      <c r="B5633" s="11" t="s">
        <v>73</v>
      </c>
      <c r="C5633">
        <v>4020</v>
      </c>
      <c r="D5633" s="9">
        <v>39</v>
      </c>
      <c r="E5633" t="s">
        <v>60</v>
      </c>
    </row>
    <row r="5634" spans="1:5">
      <c r="A5634" t="s">
        <v>39</v>
      </c>
      <c r="B5634" s="11" t="s">
        <v>74</v>
      </c>
      <c r="C5634">
        <v>4020</v>
      </c>
      <c r="D5634" s="9">
        <v>84</v>
      </c>
      <c r="E5634" t="s">
        <v>60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52EF4-6879-4E61-AF86-D8E400E76C4C}">
  <sheetPr codeName="Sheet16"/>
  <dimension ref="A1:AC61"/>
  <sheetViews>
    <sheetView zoomScale="80" zoomScaleNormal="80" workbookViewId="0">
      <selection sqref="A1:AC1048576"/>
    </sheetView>
  </sheetViews>
  <sheetFormatPr defaultRowHeight="14.5"/>
  <cols>
    <col min="1" max="1" width="3" style="24" bestFit="1" customWidth="1"/>
    <col min="2" max="2" width="2.7265625" style="25" customWidth="1"/>
    <col min="3" max="3" width="31.90625" bestFit="1" customWidth="1"/>
    <col min="4" max="4" width="13.08984375" style="26" customWidth="1"/>
    <col min="6" max="6" width="13.08984375" style="26" customWidth="1"/>
    <col min="8" max="8" width="13.08984375" style="26" customWidth="1"/>
    <col min="10" max="10" width="13.08984375" style="26" customWidth="1"/>
    <col min="12" max="12" width="13.08984375" style="26" customWidth="1"/>
    <col min="14" max="14" width="13.08984375" style="26" customWidth="1"/>
    <col min="16" max="16" width="13.08984375" style="26" customWidth="1"/>
    <col min="18" max="18" width="13.08984375" style="26" customWidth="1"/>
    <col min="20" max="20" width="13.08984375" style="26" customWidth="1"/>
    <col min="22" max="22" width="13.08984375" style="26" customWidth="1"/>
    <col min="24" max="24" width="13.08984375" style="26" customWidth="1"/>
    <col min="26" max="26" width="13.08984375" style="26" customWidth="1"/>
    <col min="28" max="28" width="13.08984375" style="26" customWidth="1"/>
    <col min="29" max="29" width="10.54296875" customWidth="1"/>
  </cols>
  <sheetData>
    <row r="1" spans="1:29">
      <c r="A1" s="24">
        <v>1</v>
      </c>
      <c r="B1" s="25">
        <f ca="1">VLOOKUP($A$1,'Profit Center Master'!$A:$G,7,0)</f>
        <v>6</v>
      </c>
    </row>
    <row r="3" spans="1:29" ht="21" thickBot="1">
      <c r="B3" s="43"/>
      <c r="C3" s="27" t="s">
        <v>1</v>
      </c>
      <c r="D3" s="62" t="str">
        <f>VLOOKUP($A$1,'Profit Center Master'!$A:$C,3,0)</f>
        <v>SUMMARY</v>
      </c>
      <c r="E3" s="28" t="str">
        <f>VLOOKUP($A$1,'Profit Center Master'!$A:$D,4,0)</f>
        <v>SUMMARY</v>
      </c>
      <c r="G3" s="24"/>
    </row>
    <row r="4" spans="1:29">
      <c r="B4" s="45"/>
      <c r="C4" s="58"/>
      <c r="D4" s="61" t="s">
        <v>28</v>
      </c>
      <c r="E4" s="60"/>
      <c r="F4" s="60" t="s">
        <v>29</v>
      </c>
      <c r="G4" s="60"/>
      <c r="H4" s="60" t="s">
        <v>30</v>
      </c>
      <c r="I4" s="60"/>
      <c r="J4" s="60" t="s">
        <v>31</v>
      </c>
      <c r="K4" s="60"/>
      <c r="L4" s="60" t="s">
        <v>32</v>
      </c>
      <c r="M4" s="60"/>
      <c r="N4" s="60" t="s">
        <v>33</v>
      </c>
      <c r="O4" s="60"/>
      <c r="P4" s="60" t="s">
        <v>34</v>
      </c>
      <c r="Q4" s="60"/>
      <c r="R4" s="60" t="s">
        <v>35</v>
      </c>
      <c r="S4" s="60"/>
      <c r="T4" s="60" t="s">
        <v>36</v>
      </c>
      <c r="U4" s="60"/>
      <c r="V4" s="60" t="s">
        <v>37</v>
      </c>
      <c r="W4" s="60"/>
      <c r="X4" s="60" t="s">
        <v>38</v>
      </c>
      <c r="Y4" s="60"/>
      <c r="Z4" s="60" t="s">
        <v>39</v>
      </c>
      <c r="AA4" s="60"/>
      <c r="AB4" s="60" t="s">
        <v>40</v>
      </c>
      <c r="AC4" s="60"/>
    </row>
    <row r="5" spans="1:29" ht="15" thickBot="1">
      <c r="B5" s="45"/>
      <c r="C5" s="59"/>
      <c r="D5" s="46">
        <v>2019</v>
      </c>
      <c r="E5" s="30" t="s">
        <v>41</v>
      </c>
      <c r="F5" s="29">
        <v>2019</v>
      </c>
      <c r="G5" s="30" t="s">
        <v>41</v>
      </c>
      <c r="H5" s="29">
        <v>2019</v>
      </c>
      <c r="I5" s="30" t="s">
        <v>41</v>
      </c>
      <c r="J5" s="29">
        <v>2019</v>
      </c>
      <c r="K5" s="30" t="s">
        <v>41</v>
      </c>
      <c r="L5" s="29">
        <v>2019</v>
      </c>
      <c r="M5" s="30" t="s">
        <v>41</v>
      </c>
      <c r="N5" s="29">
        <v>2019</v>
      </c>
      <c r="O5" s="30" t="s">
        <v>41</v>
      </c>
      <c r="P5" s="29">
        <v>2019</v>
      </c>
      <c r="Q5" s="30" t="s">
        <v>41</v>
      </c>
      <c r="R5" s="29">
        <v>2019</v>
      </c>
      <c r="S5" s="30" t="s">
        <v>41</v>
      </c>
      <c r="T5" s="29">
        <v>2019</v>
      </c>
      <c r="U5" s="30" t="s">
        <v>41</v>
      </c>
      <c r="V5" s="29">
        <v>2019</v>
      </c>
      <c r="W5" s="30" t="s">
        <v>41</v>
      </c>
      <c r="X5" s="29">
        <v>2019</v>
      </c>
      <c r="Y5" s="30" t="s">
        <v>41</v>
      </c>
      <c r="Z5" s="29">
        <v>2019</v>
      </c>
      <c r="AA5" s="30" t="s">
        <v>41</v>
      </c>
      <c r="AB5" s="29" t="s">
        <v>40</v>
      </c>
      <c r="AC5" s="30" t="s">
        <v>41</v>
      </c>
    </row>
    <row r="6" spans="1:29">
      <c r="B6" s="45"/>
      <c r="C6" s="54"/>
      <c r="D6" s="47"/>
      <c r="E6" s="32"/>
      <c r="F6" s="31"/>
      <c r="G6" s="32"/>
      <c r="H6" s="31"/>
      <c r="I6" s="32"/>
      <c r="J6" s="31"/>
      <c r="K6" s="32"/>
      <c r="L6" s="31"/>
      <c r="M6" s="32"/>
      <c r="N6" s="31"/>
      <c r="O6" s="32"/>
      <c r="P6" s="31"/>
      <c r="Q6" s="32"/>
      <c r="R6" s="31"/>
      <c r="S6" s="32"/>
      <c r="T6" s="31"/>
      <c r="U6" s="32"/>
      <c r="V6" s="31"/>
      <c r="W6" s="32"/>
      <c r="X6" s="31"/>
      <c r="Y6" s="32"/>
      <c r="Z6" s="31"/>
      <c r="AA6" s="32"/>
      <c r="AB6" s="31"/>
      <c r="AC6" s="32"/>
    </row>
    <row r="7" spans="1:29">
      <c r="B7" s="45">
        <v>1001</v>
      </c>
      <c r="C7" s="57" t="s">
        <v>103</v>
      </c>
      <c r="D7" s="47"/>
      <c r="E7" s="33"/>
      <c r="F7" s="31"/>
      <c r="G7" s="33"/>
      <c r="H7" s="31"/>
      <c r="I7" s="33"/>
      <c r="J7" s="31"/>
      <c r="K7" s="33"/>
      <c r="L7" s="31"/>
      <c r="M7" s="33"/>
      <c r="N7" s="31"/>
      <c r="O7" s="33"/>
      <c r="P7" s="31"/>
      <c r="Q7" s="33"/>
      <c r="R7" s="31"/>
      <c r="S7" s="33"/>
      <c r="T7" s="31"/>
      <c r="U7" s="33"/>
      <c r="V7" s="31"/>
      <c r="W7" s="33"/>
      <c r="X7" s="31"/>
      <c r="Y7" s="33"/>
      <c r="Z7" s="31"/>
      <c r="AA7" s="33"/>
      <c r="AB7" s="31"/>
      <c r="AC7" s="33"/>
    </row>
    <row r="8" spans="1:29">
      <c r="B8" s="45">
        <v>1001</v>
      </c>
      <c r="C8" s="63" t="s">
        <v>104</v>
      </c>
      <c r="D8" s="47">
        <f>-SUMIFS('Data Sheet Actuals'!$D:$D,'Data Sheet Actuals'!$C:$C,'Country Summary'!$B8,'Data Sheet Actuals'!$A:$A,'Country Summary'!D$4)</f>
        <v>274367.94999999995</v>
      </c>
      <c r="E8" s="34" t="str">
        <f>IFERROR(D8/#REF!,"")</f>
        <v/>
      </c>
      <c r="F8" s="47">
        <f>-SUMIFS('Data Sheet Actuals'!$D:$D,'Data Sheet Actuals'!$C:$C,'Country Summary'!$B8,'Data Sheet Actuals'!$A:$A,'Country Summary'!F$4)</f>
        <v>291998.71000000002</v>
      </c>
      <c r="G8" s="34" t="str">
        <f>IFERROR(F8/#REF!,"")</f>
        <v/>
      </c>
      <c r="H8" s="47">
        <f>-SUMIFS('Data Sheet Actuals'!$D:$D,'Data Sheet Actuals'!$C:$C,'Country Summary'!$B8,'Data Sheet Actuals'!$A:$A,'Country Summary'!H$4)</f>
        <v>261323.37999999992</v>
      </c>
      <c r="I8" s="34" t="str">
        <f>IFERROR(H8/#REF!,"")</f>
        <v/>
      </c>
      <c r="J8" s="47">
        <f>-SUMIFS('Data Sheet Actuals'!$D:$D,'Data Sheet Actuals'!$C:$C,'Country Summary'!$B8,'Data Sheet Actuals'!$A:$A,'Country Summary'!J$4)</f>
        <v>264753.39999999997</v>
      </c>
      <c r="K8" s="34" t="str">
        <f>IFERROR(J8/#REF!,"")</f>
        <v/>
      </c>
      <c r="L8" s="47">
        <f>-SUMIFS('Data Sheet Actuals'!$D:$D,'Data Sheet Actuals'!$C:$C,'Country Summary'!$B8,'Data Sheet Actuals'!$A:$A,'Country Summary'!L$4)</f>
        <v>260906.61999999997</v>
      </c>
      <c r="M8" s="34" t="str">
        <f>IFERROR(L8/#REF!,"")</f>
        <v/>
      </c>
      <c r="N8" s="47">
        <f>-SUMIFS('Data Sheet Actuals'!$D:$D,'Data Sheet Actuals'!$C:$C,'Country Summary'!$B8,'Data Sheet Actuals'!$A:$A,'Country Summary'!N$4)</f>
        <v>301642.40000000002</v>
      </c>
      <c r="O8" s="34" t="str">
        <f>IFERROR(N8/#REF!,"")</f>
        <v/>
      </c>
      <c r="P8" s="47">
        <f>-SUMIFS('Data Sheet Actuals'!$D:$D,'Data Sheet Actuals'!$C:$C,'Country Summary'!$B8,'Data Sheet Actuals'!$A:$A,'Country Summary'!P$4)</f>
        <v>274367.94999999995</v>
      </c>
      <c r="Q8" s="34" t="str">
        <f>IFERROR(P8/#REF!,"")</f>
        <v/>
      </c>
      <c r="R8" s="47">
        <f>-SUMIFS('Data Sheet Actuals'!$D:$D,'Data Sheet Actuals'!$C:$C,'Country Summary'!$B8,'Data Sheet Actuals'!$A:$A,'Country Summary'!R$4)</f>
        <v>291998.71000000002</v>
      </c>
      <c r="S8" s="34" t="str">
        <f>IFERROR(R8/#REF!,"")</f>
        <v/>
      </c>
      <c r="T8" s="47">
        <f>-SUMIFS('Data Sheet Actuals'!$D:$D,'Data Sheet Actuals'!$C:$C,'Country Summary'!$B8,'Data Sheet Actuals'!$A:$A,'Country Summary'!T$4)</f>
        <v>261323.37999999992</v>
      </c>
      <c r="U8" s="34" t="str">
        <f>IFERROR(T8/#REF!,"")</f>
        <v/>
      </c>
      <c r="V8" s="47">
        <f>-SUMIFS('Data Sheet Actuals'!$D:$D,'Data Sheet Actuals'!$C:$C,'Country Summary'!$B8,'Data Sheet Actuals'!$A:$A,'Country Summary'!V$4)</f>
        <v>264753.39999999997</v>
      </c>
      <c r="W8" s="34" t="str">
        <f>IFERROR(V8/#REF!,"")</f>
        <v/>
      </c>
      <c r="X8" s="47">
        <f>-SUMIFS('Data Sheet Actuals'!$D:$D,'Data Sheet Actuals'!$C:$C,'Country Summary'!$B8,'Data Sheet Actuals'!$A:$A,'Country Summary'!X$4)</f>
        <v>260906.61999999997</v>
      </c>
      <c r="Y8" s="34" t="str">
        <f>IFERROR(X8/#REF!,"")</f>
        <v/>
      </c>
      <c r="Z8" s="47">
        <f>-SUMIFS('Data Sheet Actuals'!$D:$D,'Data Sheet Actuals'!$C:$C,'Country Summary'!$B8,'Data Sheet Actuals'!$A:$A,'Country Summary'!Z$4)</f>
        <v>280340.05</v>
      </c>
      <c r="AA8" s="34" t="str">
        <f>IFERROR(Z8/#REF!,"")</f>
        <v/>
      </c>
      <c r="AB8" s="31">
        <f t="shared" ref="AB8:AB12" si="0">SUM(D8,F8,H8,J8,L8,N8,P8,R8,T8,V8,X8,Z8)</f>
        <v>3288682.5699999994</v>
      </c>
      <c r="AC8" s="34" t="str">
        <f>IFERROR(AB8/#REF!,"")</f>
        <v/>
      </c>
    </row>
    <row r="9" spans="1:29">
      <c r="B9" s="45">
        <v>1002</v>
      </c>
      <c r="C9" s="63" t="s">
        <v>105</v>
      </c>
      <c r="D9" s="47">
        <f>-SUMIFS('Data Sheet Actuals'!$D:$D,'Data Sheet Actuals'!$C:$C,'Country Summary'!$B9,'Data Sheet Actuals'!$A:$A,'Country Summary'!D$4)</f>
        <v>233212.75000000003</v>
      </c>
      <c r="E9" s="34" t="str">
        <f>IFERROR(D9/#REF!,"")</f>
        <v/>
      </c>
      <c r="F9" s="47">
        <f>-SUMIFS('Data Sheet Actuals'!$D:$D,'Data Sheet Actuals'!$C:$C,'Country Summary'!$B9,'Data Sheet Actuals'!$A:$A,'Country Summary'!F$4)</f>
        <v>248198.87999999998</v>
      </c>
      <c r="G9" s="34" t="str">
        <f>IFERROR(F9/#REF!,"")</f>
        <v/>
      </c>
      <c r="H9" s="47">
        <f>-SUMIFS('Data Sheet Actuals'!$D:$D,'Data Sheet Actuals'!$C:$C,'Country Summary'!$B9,'Data Sheet Actuals'!$A:$A,'Country Summary'!H$4)</f>
        <v>222124.87999999998</v>
      </c>
      <c r="I9" s="34" t="str">
        <f>IFERROR(H9/#REF!,"")</f>
        <v/>
      </c>
      <c r="J9" s="47">
        <f>-SUMIFS('Data Sheet Actuals'!$D:$D,'Data Sheet Actuals'!$C:$C,'Country Summary'!$B9,'Data Sheet Actuals'!$A:$A,'Country Summary'!J$4)</f>
        <v>225040.39</v>
      </c>
      <c r="K9" s="34" t="str">
        <f>IFERROR(J9/#REF!,"")</f>
        <v/>
      </c>
      <c r="L9" s="47">
        <f>-SUMIFS('Data Sheet Actuals'!$D:$D,'Data Sheet Actuals'!$C:$C,'Country Summary'!$B9,'Data Sheet Actuals'!$A:$A,'Country Summary'!L$4)</f>
        <v>221770.60999999996</v>
      </c>
      <c r="M9" s="34" t="str">
        <f>IFERROR(L9/#REF!,"")</f>
        <v/>
      </c>
      <c r="N9" s="47">
        <f>-SUMIFS('Data Sheet Actuals'!$D:$D,'Data Sheet Actuals'!$C:$C,'Country Summary'!$B9,'Data Sheet Actuals'!$A:$A,'Country Summary'!N$4)</f>
        <v>256396.00999999998</v>
      </c>
      <c r="O9" s="34" t="str">
        <f>IFERROR(N9/#REF!,"")</f>
        <v/>
      </c>
      <c r="P9" s="47">
        <f>-SUMIFS('Data Sheet Actuals'!$D:$D,'Data Sheet Actuals'!$C:$C,'Country Summary'!$B9,'Data Sheet Actuals'!$A:$A,'Country Summary'!P$4)</f>
        <v>233212.75000000003</v>
      </c>
      <c r="Q9" s="34" t="str">
        <f>IFERROR(P9/#REF!,"")</f>
        <v/>
      </c>
      <c r="R9" s="47">
        <f>-SUMIFS('Data Sheet Actuals'!$D:$D,'Data Sheet Actuals'!$C:$C,'Country Summary'!$B9,'Data Sheet Actuals'!$A:$A,'Country Summary'!R$4)</f>
        <v>248198.87999999998</v>
      </c>
      <c r="S9" s="34" t="str">
        <f>IFERROR(R9/#REF!,"")</f>
        <v/>
      </c>
      <c r="T9" s="47">
        <f>-SUMIFS('Data Sheet Actuals'!$D:$D,'Data Sheet Actuals'!$C:$C,'Country Summary'!$B9,'Data Sheet Actuals'!$A:$A,'Country Summary'!T$4)</f>
        <v>222124.87999999998</v>
      </c>
      <c r="U9" s="34" t="str">
        <f>IFERROR(T9/#REF!,"")</f>
        <v/>
      </c>
      <c r="V9" s="47">
        <f>-SUMIFS('Data Sheet Actuals'!$D:$D,'Data Sheet Actuals'!$C:$C,'Country Summary'!$B9,'Data Sheet Actuals'!$A:$A,'Country Summary'!V$4)</f>
        <v>225040.39</v>
      </c>
      <c r="W9" s="34" t="str">
        <f>IFERROR(V9/#REF!,"")</f>
        <v/>
      </c>
      <c r="X9" s="47">
        <f>-SUMIFS('Data Sheet Actuals'!$D:$D,'Data Sheet Actuals'!$C:$C,'Country Summary'!$B9,'Data Sheet Actuals'!$A:$A,'Country Summary'!X$4)</f>
        <v>221770.60999999996</v>
      </c>
      <c r="Y9" s="34" t="str">
        <f>IFERROR(X9/#REF!,"")</f>
        <v/>
      </c>
      <c r="Z9" s="47">
        <f>-SUMIFS('Data Sheet Actuals'!$D:$D,'Data Sheet Actuals'!$C:$C,'Country Summary'!$B9,'Data Sheet Actuals'!$A:$A,'Country Summary'!Z$4)</f>
        <v>238289.03999999998</v>
      </c>
      <c r="AA9" s="34" t="str">
        <f>IFERROR(Z9/#REF!,"")</f>
        <v/>
      </c>
      <c r="AB9" s="31">
        <f t="shared" si="0"/>
        <v>2795380.07</v>
      </c>
      <c r="AC9" s="34" t="str">
        <f>IFERROR(AB9/#REF!,"")</f>
        <v/>
      </c>
    </row>
    <row r="10" spans="1:29">
      <c r="B10" s="45">
        <v>1003</v>
      </c>
      <c r="C10" s="63" t="s">
        <v>106</v>
      </c>
      <c r="D10" s="47">
        <f>-SUMIFS('Data Sheet Actuals'!$D:$D,'Data Sheet Actuals'!$C:$C,'Country Summary'!$B10,'Data Sheet Actuals'!$A:$A,'Country Summary'!D$4)</f>
        <v>198230.82</v>
      </c>
      <c r="E10" s="34" t="str">
        <f>IFERROR(D10/#REF!,"")</f>
        <v/>
      </c>
      <c r="F10" s="47">
        <f>-SUMIFS('Data Sheet Actuals'!$D:$D,'Data Sheet Actuals'!$C:$C,'Country Summary'!$B10,'Data Sheet Actuals'!$A:$A,'Country Summary'!F$4)</f>
        <v>210969.05000000005</v>
      </c>
      <c r="G10" s="34" t="str">
        <f>IFERROR(F10/#REF!,"")</f>
        <v/>
      </c>
      <c r="H10" s="47">
        <f>-SUMIFS('Data Sheet Actuals'!$D:$D,'Data Sheet Actuals'!$C:$C,'Country Summary'!$B10,'Data Sheet Actuals'!$A:$A,'Country Summary'!H$4)</f>
        <v>188806.14000000004</v>
      </c>
      <c r="I10" s="34" t="str">
        <f>IFERROR(H10/#REF!,"")</f>
        <v/>
      </c>
      <c r="J10" s="47">
        <f>-SUMIFS('Data Sheet Actuals'!$D:$D,'Data Sheet Actuals'!$C:$C,'Country Summary'!$B10,'Data Sheet Actuals'!$A:$A,'Country Summary'!J$4)</f>
        <v>191284.33</v>
      </c>
      <c r="K10" s="34" t="str">
        <f>IFERROR(J10/#REF!,"")</f>
        <v/>
      </c>
      <c r="L10" s="47">
        <f>-SUMIFS('Data Sheet Actuals'!$D:$D,'Data Sheet Actuals'!$C:$C,'Country Summary'!$B10,'Data Sheet Actuals'!$A:$A,'Country Summary'!L$4)</f>
        <v>188505</v>
      </c>
      <c r="M10" s="34" t="str">
        <f>IFERROR(L10/#REF!,"")</f>
        <v/>
      </c>
      <c r="N10" s="47">
        <f>-SUMIFS('Data Sheet Actuals'!$D:$D,'Data Sheet Actuals'!$C:$C,'Country Summary'!$B10,'Data Sheet Actuals'!$A:$A,'Country Summary'!N$4)</f>
        <v>217936.62000000005</v>
      </c>
      <c r="O10" s="34" t="str">
        <f>IFERROR(N10/#REF!,"")</f>
        <v/>
      </c>
      <c r="P10" s="47">
        <f>-SUMIFS('Data Sheet Actuals'!$D:$D,'Data Sheet Actuals'!$C:$C,'Country Summary'!$B10,'Data Sheet Actuals'!$A:$A,'Country Summary'!P$4)</f>
        <v>198230.82</v>
      </c>
      <c r="Q10" s="34" t="str">
        <f>IFERROR(P10/#REF!,"")</f>
        <v/>
      </c>
      <c r="R10" s="47">
        <f>-SUMIFS('Data Sheet Actuals'!$D:$D,'Data Sheet Actuals'!$C:$C,'Country Summary'!$B10,'Data Sheet Actuals'!$A:$A,'Country Summary'!R$4)</f>
        <v>210969.05000000005</v>
      </c>
      <c r="S10" s="34" t="str">
        <f>IFERROR(R10/#REF!,"")</f>
        <v/>
      </c>
      <c r="T10" s="47">
        <f>-SUMIFS('Data Sheet Actuals'!$D:$D,'Data Sheet Actuals'!$C:$C,'Country Summary'!$B10,'Data Sheet Actuals'!$A:$A,'Country Summary'!T$4)</f>
        <v>188806.14000000004</v>
      </c>
      <c r="U10" s="34" t="str">
        <f>IFERROR(T10/#REF!,"")</f>
        <v/>
      </c>
      <c r="V10" s="47">
        <f>-SUMIFS('Data Sheet Actuals'!$D:$D,'Data Sheet Actuals'!$C:$C,'Country Summary'!$B10,'Data Sheet Actuals'!$A:$A,'Country Summary'!V$4)</f>
        <v>191284.33</v>
      </c>
      <c r="W10" s="34" t="str">
        <f>IFERROR(V10/#REF!,"")</f>
        <v/>
      </c>
      <c r="X10" s="47">
        <f>-SUMIFS('Data Sheet Actuals'!$D:$D,'Data Sheet Actuals'!$C:$C,'Country Summary'!$B10,'Data Sheet Actuals'!$A:$A,'Country Summary'!X$4)</f>
        <v>188505</v>
      </c>
      <c r="Y10" s="34" t="str">
        <f>IFERROR(X10/#REF!,"")</f>
        <v/>
      </c>
      <c r="Z10" s="47">
        <f>-SUMIFS('Data Sheet Actuals'!$D:$D,'Data Sheet Actuals'!$C:$C,'Country Summary'!$B10,'Data Sheet Actuals'!$A:$A,'Country Summary'!Z$4)</f>
        <v>202545.69</v>
      </c>
      <c r="AA10" s="34" t="str">
        <f>IFERROR(Z10/#REF!,"")</f>
        <v/>
      </c>
      <c r="AB10" s="31">
        <f t="shared" si="0"/>
        <v>2376072.9900000007</v>
      </c>
      <c r="AC10" s="34" t="str">
        <f>IFERROR(AB10/#REF!,"")</f>
        <v/>
      </c>
    </row>
    <row r="11" spans="1:29">
      <c r="B11" s="45">
        <v>1004</v>
      </c>
      <c r="C11" s="63" t="s">
        <v>107</v>
      </c>
      <c r="D11" s="47">
        <f>-SUMIFS('Data Sheet Actuals'!$D:$D,'Data Sheet Actuals'!$C:$C,'Country Summary'!$B11,'Data Sheet Actuals'!$A:$A,'Country Summary'!D$4)</f>
        <v>168496.22999999998</v>
      </c>
      <c r="E11" s="34" t="str">
        <f>IFERROR(D11/#REF!,"")</f>
        <v/>
      </c>
      <c r="F11" s="47">
        <f>-SUMIFS('Data Sheet Actuals'!$D:$D,'Data Sheet Actuals'!$C:$C,'Country Summary'!$B11,'Data Sheet Actuals'!$A:$A,'Country Summary'!F$4)</f>
        <v>179323.68</v>
      </c>
      <c r="G11" s="34" t="str">
        <f>IFERROR(F11/#REF!,"")</f>
        <v/>
      </c>
      <c r="H11" s="47">
        <f>-SUMIFS('Data Sheet Actuals'!$D:$D,'Data Sheet Actuals'!$C:$C,'Country Summary'!$B11,'Data Sheet Actuals'!$A:$A,'Country Summary'!H$4)</f>
        <v>160485.22000000003</v>
      </c>
      <c r="I11" s="34" t="str">
        <f>IFERROR(H11/#REF!,"")</f>
        <v/>
      </c>
      <c r="J11" s="47">
        <f>-SUMIFS('Data Sheet Actuals'!$D:$D,'Data Sheet Actuals'!$C:$C,'Country Summary'!$B11,'Data Sheet Actuals'!$A:$A,'Country Summary'!J$4)</f>
        <v>162591.67000000001</v>
      </c>
      <c r="K11" s="34" t="str">
        <f>IFERROR(J11/#REF!,"")</f>
        <v/>
      </c>
      <c r="L11" s="47">
        <f>-SUMIFS('Data Sheet Actuals'!$D:$D,'Data Sheet Actuals'!$C:$C,'Country Summary'!$B11,'Data Sheet Actuals'!$A:$A,'Country Summary'!L$4)</f>
        <v>160229.27000000002</v>
      </c>
      <c r="M11" s="34" t="str">
        <f>IFERROR(L11/#REF!,"")</f>
        <v/>
      </c>
      <c r="N11" s="47">
        <f>-SUMIFS('Data Sheet Actuals'!$D:$D,'Data Sheet Actuals'!$C:$C,'Country Summary'!$B11,'Data Sheet Actuals'!$A:$A,'Country Summary'!N$4)</f>
        <v>185246.11000000004</v>
      </c>
      <c r="O11" s="34" t="str">
        <f>IFERROR(N11/#REF!,"")</f>
        <v/>
      </c>
      <c r="P11" s="47">
        <f>-SUMIFS('Data Sheet Actuals'!$D:$D,'Data Sheet Actuals'!$C:$C,'Country Summary'!$B11,'Data Sheet Actuals'!$A:$A,'Country Summary'!P$4)</f>
        <v>168496.22999999998</v>
      </c>
      <c r="Q11" s="34" t="str">
        <f>IFERROR(P11/#REF!,"")</f>
        <v/>
      </c>
      <c r="R11" s="47">
        <f>-SUMIFS('Data Sheet Actuals'!$D:$D,'Data Sheet Actuals'!$C:$C,'Country Summary'!$B11,'Data Sheet Actuals'!$A:$A,'Country Summary'!R$4)</f>
        <v>179323.68</v>
      </c>
      <c r="S11" s="34" t="str">
        <f>IFERROR(R11/#REF!,"")</f>
        <v/>
      </c>
      <c r="T11" s="47">
        <f>-SUMIFS('Data Sheet Actuals'!$D:$D,'Data Sheet Actuals'!$C:$C,'Country Summary'!$B11,'Data Sheet Actuals'!$A:$A,'Country Summary'!T$4)</f>
        <v>160485.22000000003</v>
      </c>
      <c r="U11" s="34" t="str">
        <f>IFERROR(T11/#REF!,"")</f>
        <v/>
      </c>
      <c r="V11" s="47">
        <f>-SUMIFS('Data Sheet Actuals'!$D:$D,'Data Sheet Actuals'!$C:$C,'Country Summary'!$B11,'Data Sheet Actuals'!$A:$A,'Country Summary'!V$4)</f>
        <v>162591.67000000001</v>
      </c>
      <c r="W11" s="34" t="str">
        <f>IFERROR(V11/#REF!,"")</f>
        <v/>
      </c>
      <c r="X11" s="47">
        <f>-SUMIFS('Data Sheet Actuals'!$D:$D,'Data Sheet Actuals'!$C:$C,'Country Summary'!$B11,'Data Sheet Actuals'!$A:$A,'Country Summary'!X$4)</f>
        <v>160229.27000000002</v>
      </c>
      <c r="Y11" s="34" t="str">
        <f>IFERROR(X11/#REF!,"")</f>
        <v/>
      </c>
      <c r="Z11" s="47">
        <f>-SUMIFS('Data Sheet Actuals'!$D:$D,'Data Sheet Actuals'!$C:$C,'Country Summary'!$B11,'Data Sheet Actuals'!$A:$A,'Country Summary'!Z$4)</f>
        <v>172163.82</v>
      </c>
      <c r="AA11" s="34" t="str">
        <f>IFERROR(Z11/#REF!,"")</f>
        <v/>
      </c>
      <c r="AB11" s="31">
        <f t="shared" si="0"/>
        <v>2019662.07</v>
      </c>
      <c r="AC11" s="34" t="str">
        <f>IFERROR(AB11/#REF!,"")</f>
        <v/>
      </c>
    </row>
    <row r="12" spans="1:29">
      <c r="B12" s="45">
        <v>1005</v>
      </c>
      <c r="C12" s="63" t="s">
        <v>108</v>
      </c>
      <c r="D12" s="47">
        <f>-SUMIFS('Data Sheet Actuals'!$D:$D,'Data Sheet Actuals'!$C:$C,'Country Summary'!$B12,'Data Sheet Actuals'!$A:$A,'Country Summary'!D$4)</f>
        <v>25274.440000000006</v>
      </c>
      <c r="E12" s="34" t="str">
        <f>IFERROR(D12/#REF!,"")</f>
        <v/>
      </c>
      <c r="F12" s="47">
        <f>-SUMIFS('Data Sheet Actuals'!$D:$D,'Data Sheet Actuals'!$C:$C,'Country Summary'!$B12,'Data Sheet Actuals'!$A:$A,'Country Summary'!F$4)</f>
        <v>26898.560000000001</v>
      </c>
      <c r="G12" s="34" t="str">
        <f>IFERROR(F12/#REF!,"")</f>
        <v/>
      </c>
      <c r="H12" s="47">
        <f>-SUMIFS('Data Sheet Actuals'!$D:$D,'Data Sheet Actuals'!$C:$C,'Country Summary'!$B12,'Data Sheet Actuals'!$A:$A,'Country Summary'!H$4)</f>
        <v>24072.780000000002</v>
      </c>
      <c r="I12" s="34" t="str">
        <f>IFERROR(H12/#REF!,"")</f>
        <v/>
      </c>
      <c r="J12" s="47">
        <f>-SUMIFS('Data Sheet Actuals'!$D:$D,'Data Sheet Actuals'!$C:$C,'Country Summary'!$B12,'Data Sheet Actuals'!$A:$A,'Country Summary'!J$4)</f>
        <v>24388.74</v>
      </c>
      <c r="K12" s="34" t="str">
        <f>IFERROR(J12/#REF!,"")</f>
        <v/>
      </c>
      <c r="L12" s="47">
        <f>-SUMIFS('Data Sheet Actuals'!$D:$D,'Data Sheet Actuals'!$C:$C,'Country Summary'!$B12,'Data Sheet Actuals'!$A:$A,'Country Summary'!L$4)</f>
        <v>24034.390000000003</v>
      </c>
      <c r="M12" s="34" t="str">
        <f>IFERROR(L12/#REF!,"")</f>
        <v/>
      </c>
      <c r="N12" s="47">
        <f>-SUMIFS('Data Sheet Actuals'!$D:$D,'Data Sheet Actuals'!$C:$C,'Country Summary'!$B12,'Data Sheet Actuals'!$A:$A,'Country Summary'!N$4)</f>
        <v>27786.91</v>
      </c>
      <c r="O12" s="34" t="str">
        <f>IFERROR(N12/#REF!,"")</f>
        <v/>
      </c>
      <c r="P12" s="47">
        <f>-SUMIFS('Data Sheet Actuals'!$D:$D,'Data Sheet Actuals'!$C:$C,'Country Summary'!$B12,'Data Sheet Actuals'!$A:$A,'Country Summary'!P$4)</f>
        <v>25274.440000000006</v>
      </c>
      <c r="Q12" s="34" t="str">
        <f>IFERROR(P12/#REF!,"")</f>
        <v/>
      </c>
      <c r="R12" s="47">
        <f>-SUMIFS('Data Sheet Actuals'!$D:$D,'Data Sheet Actuals'!$C:$C,'Country Summary'!$B12,'Data Sheet Actuals'!$A:$A,'Country Summary'!R$4)</f>
        <v>26898.560000000001</v>
      </c>
      <c r="S12" s="34" t="str">
        <f>IFERROR(R12/#REF!,"")</f>
        <v/>
      </c>
      <c r="T12" s="47">
        <f>-SUMIFS('Data Sheet Actuals'!$D:$D,'Data Sheet Actuals'!$C:$C,'Country Summary'!$B12,'Data Sheet Actuals'!$A:$A,'Country Summary'!T$4)</f>
        <v>24072.780000000002</v>
      </c>
      <c r="U12" s="34" t="str">
        <f>IFERROR(T12/#REF!,"")</f>
        <v/>
      </c>
      <c r="V12" s="47">
        <f>-SUMIFS('Data Sheet Actuals'!$D:$D,'Data Sheet Actuals'!$C:$C,'Country Summary'!$B12,'Data Sheet Actuals'!$A:$A,'Country Summary'!V$4)</f>
        <v>24388.74</v>
      </c>
      <c r="W12" s="34" t="str">
        <f>IFERROR(V12/#REF!,"")</f>
        <v/>
      </c>
      <c r="X12" s="47">
        <f>-SUMIFS('Data Sheet Actuals'!$D:$D,'Data Sheet Actuals'!$C:$C,'Country Summary'!$B12,'Data Sheet Actuals'!$A:$A,'Country Summary'!X$4)</f>
        <v>24034.390000000003</v>
      </c>
      <c r="Y12" s="34" t="str">
        <f>IFERROR(X12/#REF!,"")</f>
        <v/>
      </c>
      <c r="Z12" s="47">
        <f>-SUMIFS('Data Sheet Actuals'!$D:$D,'Data Sheet Actuals'!$C:$C,'Country Summary'!$B12,'Data Sheet Actuals'!$A:$A,'Country Summary'!Z$4)</f>
        <v>25824.589999999997</v>
      </c>
      <c r="AA12" s="34" t="str">
        <f>IFERROR(Z12/#REF!,"")</f>
        <v/>
      </c>
      <c r="AB12" s="31">
        <f t="shared" si="0"/>
        <v>302949.31999999995</v>
      </c>
      <c r="AC12" s="34" t="str">
        <f>IFERROR(AB12/#REF!,"")</f>
        <v/>
      </c>
    </row>
    <row r="13" spans="1:29">
      <c r="B13" s="45"/>
      <c r="C13" s="54"/>
      <c r="D13" s="48" t="s">
        <v>42</v>
      </c>
      <c r="E13" s="36" t="s">
        <v>42</v>
      </c>
      <c r="F13" s="35" t="s">
        <v>42</v>
      </c>
      <c r="G13" s="36" t="s">
        <v>42</v>
      </c>
      <c r="H13" s="35" t="s">
        <v>42</v>
      </c>
      <c r="I13" s="36" t="s">
        <v>42</v>
      </c>
      <c r="J13" s="35" t="s">
        <v>42</v>
      </c>
      <c r="K13" s="36" t="s">
        <v>42</v>
      </c>
      <c r="L13" s="35" t="s">
        <v>42</v>
      </c>
      <c r="M13" s="36" t="s">
        <v>42</v>
      </c>
      <c r="N13" s="35" t="s">
        <v>42</v>
      </c>
      <c r="O13" s="36" t="s">
        <v>42</v>
      </c>
      <c r="P13" s="35" t="s">
        <v>42</v>
      </c>
      <c r="Q13" s="36" t="s">
        <v>42</v>
      </c>
      <c r="R13" s="35" t="s">
        <v>42</v>
      </c>
      <c r="S13" s="36" t="s">
        <v>42</v>
      </c>
      <c r="T13" s="35" t="s">
        <v>42</v>
      </c>
      <c r="U13" s="36" t="s">
        <v>42</v>
      </c>
      <c r="V13" s="35" t="s">
        <v>42</v>
      </c>
      <c r="W13" s="36" t="s">
        <v>42</v>
      </c>
      <c r="X13" s="35" t="s">
        <v>42</v>
      </c>
      <c r="Y13" s="36" t="s">
        <v>42</v>
      </c>
      <c r="Z13" s="35" t="s">
        <v>42</v>
      </c>
      <c r="AA13" s="36" t="s">
        <v>42</v>
      </c>
      <c r="AB13" s="35" t="s">
        <v>42</v>
      </c>
      <c r="AC13" s="36" t="s">
        <v>42</v>
      </c>
    </row>
    <row r="14" spans="1:29">
      <c r="B14" s="45"/>
      <c r="C14" s="57" t="s">
        <v>43</v>
      </c>
      <c r="D14" s="64">
        <f>SUM(D8:D13)</f>
        <v>899582.19000000006</v>
      </c>
      <c r="E14" s="65" t="str">
        <f>IFERROR(D14/#REF!,"")</f>
        <v/>
      </c>
      <c r="F14" s="64">
        <f>SUM(F8:F13)</f>
        <v>957388.88000000012</v>
      </c>
      <c r="G14" s="65" t="str">
        <f>IFERROR(F14/#REF!,"")</f>
        <v/>
      </c>
      <c r="H14" s="64">
        <f>SUM(H8:H13)</f>
        <v>856812.39999999991</v>
      </c>
      <c r="I14" s="65" t="str">
        <f>IFERROR(H14/#REF!,"")</f>
        <v/>
      </c>
      <c r="J14" s="64">
        <f>SUM(J8:J13)</f>
        <v>868058.53</v>
      </c>
      <c r="K14" s="65" t="str">
        <f>IFERROR(J14/#REF!,"")</f>
        <v/>
      </c>
      <c r="L14" s="64">
        <f>SUM(L8:L13)</f>
        <v>855445.89</v>
      </c>
      <c r="M14" s="65" t="str">
        <f>IFERROR(L14/#REF!,"")</f>
        <v/>
      </c>
      <c r="N14" s="64">
        <f>SUM(N8:N13)</f>
        <v>989008.05000000016</v>
      </c>
      <c r="O14" s="65" t="str">
        <f>IFERROR(N14/#REF!,"")</f>
        <v/>
      </c>
      <c r="P14" s="64">
        <f>SUM(P8:P13)</f>
        <v>899582.19000000006</v>
      </c>
      <c r="Q14" s="65" t="str">
        <f>IFERROR(P14/#REF!,"")</f>
        <v/>
      </c>
      <c r="R14" s="64">
        <f>SUM(R8:R13)</f>
        <v>957388.88000000012</v>
      </c>
      <c r="S14" s="65" t="str">
        <f>IFERROR(R14/#REF!,"")</f>
        <v/>
      </c>
      <c r="T14" s="64">
        <f>SUM(T8:T13)</f>
        <v>856812.39999999991</v>
      </c>
      <c r="U14" s="65" t="str">
        <f>IFERROR(T14/#REF!,"")</f>
        <v/>
      </c>
      <c r="V14" s="64">
        <f>SUM(V8:V13)</f>
        <v>868058.53</v>
      </c>
      <c r="W14" s="65" t="str">
        <f>IFERROR(V14/#REF!,"")</f>
        <v/>
      </c>
      <c r="X14" s="64">
        <f>SUM(X8:X13)</f>
        <v>855445.89</v>
      </c>
      <c r="Y14" s="65" t="str">
        <f>IFERROR(X14/#REF!,"")</f>
        <v/>
      </c>
      <c r="Z14" s="64">
        <f>SUM(Z8:Z13)</f>
        <v>919163.19000000006</v>
      </c>
      <c r="AA14" s="65" t="str">
        <f>IFERROR(Z14/#REF!,"")</f>
        <v/>
      </c>
      <c r="AB14" s="64">
        <f>SUM(AB8:AB13)</f>
        <v>10782747.02</v>
      </c>
      <c r="AC14" s="65" t="str">
        <f>IFERROR(AB14/#REF!,"")</f>
        <v/>
      </c>
    </row>
    <row r="15" spans="1:29">
      <c r="B15" s="45"/>
      <c r="C15" s="54"/>
      <c r="D15" s="48" t="s">
        <v>42</v>
      </c>
      <c r="E15" s="36" t="s">
        <v>42</v>
      </c>
      <c r="F15" s="35" t="s">
        <v>42</v>
      </c>
      <c r="G15" s="36" t="s">
        <v>42</v>
      </c>
      <c r="H15" s="35" t="s">
        <v>42</v>
      </c>
      <c r="I15" s="36" t="s">
        <v>42</v>
      </c>
      <c r="J15" s="35" t="s">
        <v>42</v>
      </c>
      <c r="K15" s="36" t="s">
        <v>42</v>
      </c>
      <c r="L15" s="35" t="s">
        <v>42</v>
      </c>
      <c r="M15" s="36" t="s">
        <v>42</v>
      </c>
      <c r="N15" s="35" t="s">
        <v>42</v>
      </c>
      <c r="O15" s="36" t="s">
        <v>42</v>
      </c>
      <c r="P15" s="35" t="s">
        <v>42</v>
      </c>
      <c r="Q15" s="36" t="s">
        <v>42</v>
      </c>
      <c r="R15" s="35" t="s">
        <v>42</v>
      </c>
      <c r="S15" s="36" t="s">
        <v>42</v>
      </c>
      <c r="T15" s="35" t="s">
        <v>42</v>
      </c>
      <c r="U15" s="36" t="s">
        <v>42</v>
      </c>
      <c r="V15" s="35" t="s">
        <v>42</v>
      </c>
      <c r="W15" s="36" t="s">
        <v>42</v>
      </c>
      <c r="X15" s="35" t="s">
        <v>42</v>
      </c>
      <c r="Y15" s="36" t="s">
        <v>42</v>
      </c>
      <c r="Z15" s="35" t="s">
        <v>42</v>
      </c>
      <c r="AA15" s="36" t="s">
        <v>42</v>
      </c>
      <c r="AB15" s="35" t="s">
        <v>42</v>
      </c>
      <c r="AC15" s="36" t="s">
        <v>42</v>
      </c>
    </row>
    <row r="16" spans="1:29">
      <c r="B16" s="45"/>
      <c r="C16" s="54"/>
      <c r="D16" s="47"/>
      <c r="E16" s="32"/>
      <c r="F16" s="31"/>
      <c r="G16" s="32"/>
      <c r="H16" s="31"/>
      <c r="I16" s="32"/>
      <c r="J16" s="31"/>
      <c r="K16" s="32"/>
      <c r="L16" s="31"/>
      <c r="M16" s="32"/>
      <c r="N16" s="31"/>
      <c r="O16" s="32"/>
      <c r="P16" s="31"/>
      <c r="Q16" s="32"/>
      <c r="R16" s="31"/>
      <c r="S16" s="32"/>
      <c r="T16" s="31"/>
      <c r="U16" s="32"/>
      <c r="V16" s="31"/>
      <c r="W16" s="32"/>
      <c r="X16" s="31"/>
      <c r="Y16" s="32"/>
      <c r="Z16" s="31"/>
      <c r="AA16" s="32"/>
      <c r="AB16" s="31"/>
      <c r="AC16" s="32"/>
    </row>
    <row r="17" spans="2:29">
      <c r="B17" s="45"/>
      <c r="C17" s="57" t="s">
        <v>44</v>
      </c>
      <c r="D17" s="47"/>
      <c r="E17" s="32"/>
      <c r="F17" s="31"/>
      <c r="G17" s="32"/>
      <c r="H17" s="31"/>
      <c r="I17" s="32"/>
      <c r="J17" s="31"/>
      <c r="K17" s="32"/>
      <c r="L17" s="31"/>
      <c r="M17" s="32"/>
      <c r="N17" s="31"/>
      <c r="O17" s="32"/>
      <c r="P17" s="31"/>
      <c r="Q17" s="32"/>
      <c r="R17" s="31"/>
      <c r="S17" s="32"/>
      <c r="T17" s="31"/>
      <c r="U17" s="32"/>
      <c r="V17" s="31"/>
      <c r="W17" s="32"/>
      <c r="X17" s="31"/>
      <c r="Y17" s="32"/>
      <c r="Z17" s="31"/>
      <c r="AA17" s="32"/>
      <c r="AB17" s="31"/>
      <c r="AC17" s="32"/>
    </row>
    <row r="18" spans="2:29">
      <c r="B18" s="45">
        <v>2001</v>
      </c>
      <c r="C18" s="63" t="s">
        <v>104</v>
      </c>
      <c r="D18" s="47">
        <f>SUMIFS('Data Sheet Actuals'!$D:$D,'Data Sheet Actuals'!$C:$C,'Country Summary'!$B18,'Data Sheet Actuals'!$A:$A,'Country Summary'!D$4)</f>
        <v>142915.79999999999</v>
      </c>
      <c r="E18" s="33">
        <f>IFERROR(D18/D8,"")</f>
        <v>0.5208910151495465</v>
      </c>
      <c r="F18" s="31">
        <f>SUMIFS('Data Sheet Actuals'!$D:$D,'Data Sheet Actuals'!$C:$C,'Country Summary'!$B18,'Data Sheet Actuals'!$A:$A,'Country Summary'!F$4)</f>
        <v>148513.46999999997</v>
      </c>
      <c r="G18" s="33">
        <f>IFERROR(F18/F8,"")</f>
        <v>0.50861002091413332</v>
      </c>
      <c r="H18" s="31">
        <f>SUMIFS('Data Sheet Actuals'!$D:$D,'Data Sheet Actuals'!$C:$C,'Country Summary'!$B18,'Data Sheet Actuals'!$A:$A,'Country Summary'!H$4)</f>
        <v>128878.82999999999</v>
      </c>
      <c r="I18" s="33">
        <f>IFERROR(H18/H8,"")</f>
        <v>0.49317757178863991</v>
      </c>
      <c r="J18" s="31">
        <f>SUMIFS('Data Sheet Actuals'!$D:$D,'Data Sheet Actuals'!$C:$C,'Country Summary'!$B18,'Data Sheet Actuals'!$A:$A,'Country Summary'!J$4)</f>
        <v>133559.79</v>
      </c>
      <c r="K18" s="33">
        <f>IFERROR(J18/J8,"")</f>
        <v>0.50446864893897503</v>
      </c>
      <c r="L18" s="31">
        <f>SUMIFS('Data Sheet Actuals'!$D:$D,'Data Sheet Actuals'!$C:$C,'Country Summary'!$B18,'Data Sheet Actuals'!$A:$A,'Country Summary'!L$4)</f>
        <v>133594.25</v>
      </c>
      <c r="M18" s="33">
        <f>IFERROR(L18/L8,"")</f>
        <v>0.51203856000280878</v>
      </c>
      <c r="N18" s="31">
        <f>SUMIFS('Data Sheet Actuals'!$D:$D,'Data Sheet Actuals'!$C:$C,'Country Summary'!$B18,'Data Sheet Actuals'!$A:$A,'Country Summary'!N$4)</f>
        <v>160908.40000000002</v>
      </c>
      <c r="O18" s="33">
        <f>IFERROR(N18/N8,"")</f>
        <v>0.53344092209848482</v>
      </c>
      <c r="P18" s="31">
        <f>SUMIFS('Data Sheet Actuals'!$D:$D,'Data Sheet Actuals'!$C:$C,'Country Summary'!$B18,'Data Sheet Actuals'!$A:$A,'Country Summary'!P$4)</f>
        <v>152311.92000000001</v>
      </c>
      <c r="Q18" s="33">
        <f>IFERROR(P18/P8,"")</f>
        <v>0.55513743496643841</v>
      </c>
      <c r="R18" s="31">
        <f>SUMIFS('Data Sheet Actuals'!$D:$D,'Data Sheet Actuals'!$C:$C,'Country Summary'!$B18,'Data Sheet Actuals'!$A:$A,'Country Summary'!R$4)</f>
        <v>163591.16</v>
      </c>
      <c r="S18" s="33">
        <f>IFERROR(R18/R8,"")</f>
        <v>0.56024617369028784</v>
      </c>
      <c r="T18" s="31">
        <f>SUMIFS('Data Sheet Actuals'!$D:$D,'Data Sheet Actuals'!$C:$C,'Country Summary'!$B18,'Data Sheet Actuals'!$A:$A,'Country Summary'!T$4)</f>
        <v>133033.49</v>
      </c>
      <c r="U18" s="33">
        <f>IFERROR(T18/T8,"")</f>
        <v>0.50907611098555372</v>
      </c>
      <c r="V18" s="31">
        <f>SUMIFS('Data Sheet Actuals'!$D:$D,'Data Sheet Actuals'!$C:$C,'Country Summary'!$B18,'Data Sheet Actuals'!$A:$A,'Country Summary'!V$4)</f>
        <v>134011.03000000003</v>
      </c>
      <c r="W18" s="33">
        <f>IFERROR(V18/V8,"")</f>
        <v>0.50617302742854309</v>
      </c>
      <c r="X18" s="31">
        <f>SUMIFS('Data Sheet Actuals'!$D:$D,'Data Sheet Actuals'!$C:$C,'Country Summary'!$B18,'Data Sheet Actuals'!$A:$A,'Country Summary'!X$4)</f>
        <v>134436.08000000002</v>
      </c>
      <c r="Y18" s="33">
        <f>IFERROR(X18/X8,"")</f>
        <v>0.51526511669194153</v>
      </c>
      <c r="Z18" s="31">
        <f>SUMIFS('Data Sheet Actuals'!$D:$D,'Data Sheet Actuals'!$C:$C,'Country Summary'!$B18,'Data Sheet Actuals'!$A:$A,'Country Summary'!Z$4)</f>
        <v>135506.96000000002</v>
      </c>
      <c r="AA18" s="33">
        <f>IFERROR(Z18/Z8,"")</f>
        <v>0.48336639734493886</v>
      </c>
      <c r="AB18" s="31">
        <f t="shared" ref="AB18:AB22" si="1">SUM(D18,F18,H18,J18,L18,N18,P18,R18,T18,V18,X18,Z18)</f>
        <v>1701261.1800000002</v>
      </c>
      <c r="AC18" s="33">
        <f>IFERROR(AB18/AB8,"")</f>
        <v>0.51730781058629216</v>
      </c>
    </row>
    <row r="19" spans="2:29">
      <c r="B19" s="45">
        <v>2002</v>
      </c>
      <c r="C19" s="63" t="s">
        <v>105</v>
      </c>
      <c r="D19" s="47">
        <f>SUMIFS('Data Sheet Actuals'!$D:$D,'Data Sheet Actuals'!$C:$C,'Country Summary'!$B19,'Data Sheet Actuals'!$A:$A,'Country Summary'!D$4)</f>
        <v>121047.52</v>
      </c>
      <c r="E19" s="33">
        <f t="shared" ref="E19:G22" si="2">IFERROR(D19/D9,"")</f>
        <v>0.51904331988709873</v>
      </c>
      <c r="F19" s="31">
        <f>SUMIFS('Data Sheet Actuals'!$D:$D,'Data Sheet Actuals'!$C:$C,'Country Summary'!$B19,'Data Sheet Actuals'!$A:$A,'Country Summary'!F$4)</f>
        <v>128671.04999999999</v>
      </c>
      <c r="G19" s="33">
        <f t="shared" si="2"/>
        <v>0.51841914032811109</v>
      </c>
      <c r="H19" s="31">
        <f>SUMIFS('Data Sheet Actuals'!$D:$D,'Data Sheet Actuals'!$C:$C,'Country Summary'!$B19,'Data Sheet Actuals'!$A:$A,'Country Summary'!H$4)</f>
        <v>109261.84</v>
      </c>
      <c r="I19" s="33">
        <f t="shared" ref="I19" si="3">IFERROR(H19/H9,"")</f>
        <v>0.49189374913787237</v>
      </c>
      <c r="J19" s="31">
        <f>SUMIFS('Data Sheet Actuals'!$D:$D,'Data Sheet Actuals'!$C:$C,'Country Summary'!$B19,'Data Sheet Actuals'!$A:$A,'Country Summary'!J$4)</f>
        <v>115985.94</v>
      </c>
      <c r="K19" s="33">
        <f t="shared" ref="K19" si="4">IFERROR(J19/J9,"")</f>
        <v>0.5154005465418896</v>
      </c>
      <c r="L19" s="31">
        <f>SUMIFS('Data Sheet Actuals'!$D:$D,'Data Sheet Actuals'!$C:$C,'Country Summary'!$B19,'Data Sheet Actuals'!$A:$A,'Country Summary'!L$4)</f>
        <v>111385.59000000003</v>
      </c>
      <c r="M19" s="33">
        <f t="shared" ref="M19" si="5">IFERROR(L19/L9,"")</f>
        <v>0.50225586699698421</v>
      </c>
      <c r="N19" s="31">
        <f>SUMIFS('Data Sheet Actuals'!$D:$D,'Data Sheet Actuals'!$C:$C,'Country Summary'!$B19,'Data Sheet Actuals'!$A:$A,'Country Summary'!N$4)</f>
        <v>137449.82999999999</v>
      </c>
      <c r="O19" s="33">
        <f t="shared" ref="O19" si="6">IFERROR(N19/N9,"")</f>
        <v>0.53608412236992298</v>
      </c>
      <c r="P19" s="31">
        <f>SUMIFS('Data Sheet Actuals'!$D:$D,'Data Sheet Actuals'!$C:$C,'Country Summary'!$B19,'Data Sheet Actuals'!$A:$A,'Country Summary'!P$4)</f>
        <v>132040.28</v>
      </c>
      <c r="Q19" s="33">
        <f t="shared" ref="Q19" si="7">IFERROR(P19/P9,"")</f>
        <v>0.56617950776704951</v>
      </c>
      <c r="R19" s="31">
        <f>SUMIFS('Data Sheet Actuals'!$D:$D,'Data Sheet Actuals'!$C:$C,'Country Summary'!$B19,'Data Sheet Actuals'!$A:$A,'Country Summary'!R$4)</f>
        <v>134260.18</v>
      </c>
      <c r="S19" s="33">
        <f t="shared" ref="S19" si="8">IFERROR(R19/R9,"")</f>
        <v>0.54093789625480992</v>
      </c>
      <c r="T19" s="31">
        <f>SUMIFS('Data Sheet Actuals'!$D:$D,'Data Sheet Actuals'!$C:$C,'Country Summary'!$B19,'Data Sheet Actuals'!$A:$A,'Country Summary'!T$4)</f>
        <v>116151.63</v>
      </c>
      <c r="U19" s="33">
        <f t="shared" ref="U19" si="9">IFERROR(T19/T9,"")</f>
        <v>0.52291139110576002</v>
      </c>
      <c r="V19" s="31">
        <f>SUMIFS('Data Sheet Actuals'!$D:$D,'Data Sheet Actuals'!$C:$C,'Country Summary'!$B19,'Data Sheet Actuals'!$A:$A,'Country Summary'!V$4)</f>
        <v>115263.03</v>
      </c>
      <c r="W19" s="33">
        <f t="shared" ref="W19" si="10">IFERROR(V19/V9,"")</f>
        <v>0.5121881898622731</v>
      </c>
      <c r="X19" s="31">
        <f>SUMIFS('Data Sheet Actuals'!$D:$D,'Data Sheet Actuals'!$C:$C,'Country Summary'!$B19,'Data Sheet Actuals'!$A:$A,'Country Summary'!X$4)</f>
        <v>117318.75</v>
      </c>
      <c r="Y19" s="33">
        <f t="shared" ref="Y19" si="11">IFERROR(X19/X9,"")</f>
        <v>0.52900945711426783</v>
      </c>
      <c r="Z19" s="31">
        <f>SUMIFS('Data Sheet Actuals'!$D:$D,'Data Sheet Actuals'!$C:$C,'Country Summary'!$B19,'Data Sheet Actuals'!$A:$A,'Country Summary'!Z$4)</f>
        <v>112839.47</v>
      </c>
      <c r="AA19" s="33">
        <f t="shared" ref="AA19" si="12">IFERROR(Z19/Z9,"")</f>
        <v>0.47354032732684648</v>
      </c>
      <c r="AB19" s="31">
        <f t="shared" si="1"/>
        <v>1451675.1099999999</v>
      </c>
      <c r="AC19" s="33">
        <f t="shared" ref="AC19" si="13">IFERROR(AB19/AB9,"")</f>
        <v>0.51931224865604764</v>
      </c>
    </row>
    <row r="20" spans="2:29">
      <c r="B20" s="45">
        <v>2003</v>
      </c>
      <c r="C20" s="63" t="s">
        <v>106</v>
      </c>
      <c r="D20" s="47">
        <f>SUMIFS('Data Sheet Actuals'!$D:$D,'Data Sheet Actuals'!$C:$C,'Country Summary'!$B20,'Data Sheet Actuals'!$A:$A,'Country Summary'!D$4)</f>
        <v>103148.85</v>
      </c>
      <c r="E20" s="33">
        <f t="shared" si="2"/>
        <v>0.52034718920095269</v>
      </c>
      <c r="F20" s="31">
        <f>SUMIFS('Data Sheet Actuals'!$D:$D,'Data Sheet Actuals'!$C:$C,'Country Summary'!$B20,'Data Sheet Actuals'!$A:$A,'Country Summary'!F$4)</f>
        <v>107830.9</v>
      </c>
      <c r="G20" s="33">
        <f t="shared" si="2"/>
        <v>0.51112189205004233</v>
      </c>
      <c r="H20" s="31">
        <f>SUMIFS('Data Sheet Actuals'!$D:$D,'Data Sheet Actuals'!$C:$C,'Country Summary'!$B20,'Data Sheet Actuals'!$A:$A,'Country Summary'!H$4)</f>
        <v>92862.22</v>
      </c>
      <c r="I20" s="33">
        <f t="shared" ref="I20" si="14">IFERROR(H20/H10,"")</f>
        <v>0.49183898362627393</v>
      </c>
      <c r="J20" s="31">
        <f>SUMIFS('Data Sheet Actuals'!$D:$D,'Data Sheet Actuals'!$C:$C,'Country Summary'!$B20,'Data Sheet Actuals'!$A:$A,'Country Summary'!J$4)</f>
        <v>97827.799999999988</v>
      </c>
      <c r="K20" s="33">
        <f t="shared" ref="K20" si="15">IFERROR(J20/J10,"")</f>
        <v>0.51142610583940673</v>
      </c>
      <c r="L20" s="31">
        <f>SUMIFS('Data Sheet Actuals'!$D:$D,'Data Sheet Actuals'!$C:$C,'Country Summary'!$B20,'Data Sheet Actuals'!$A:$A,'Country Summary'!L$4)</f>
        <v>94828.98</v>
      </c>
      <c r="M20" s="33">
        <f t="shared" ref="M20" si="16">IFERROR(L20/L10,"")</f>
        <v>0.50305816821834959</v>
      </c>
      <c r="N20" s="31">
        <f>SUMIFS('Data Sheet Actuals'!$D:$D,'Data Sheet Actuals'!$C:$C,'Country Summary'!$B20,'Data Sheet Actuals'!$A:$A,'Country Summary'!N$4)</f>
        <v>116376.53000000001</v>
      </c>
      <c r="O20" s="33">
        <f t="shared" ref="O20" si="17">IFERROR(N20/N10,"")</f>
        <v>0.53399254333668189</v>
      </c>
      <c r="P20" s="31">
        <f>SUMIFS('Data Sheet Actuals'!$D:$D,'Data Sheet Actuals'!$C:$C,'Country Summary'!$B20,'Data Sheet Actuals'!$A:$A,'Country Summary'!P$4)</f>
        <v>107239.87</v>
      </c>
      <c r="Q20" s="33">
        <f t="shared" ref="Q20" si="18">IFERROR(P20/P10,"")</f>
        <v>0.54098484786573542</v>
      </c>
      <c r="R20" s="31">
        <f>SUMIFS('Data Sheet Actuals'!$D:$D,'Data Sheet Actuals'!$C:$C,'Country Summary'!$B20,'Data Sheet Actuals'!$A:$A,'Country Summary'!R$4)</f>
        <v>113223.12000000001</v>
      </c>
      <c r="S20" s="33">
        <f t="shared" ref="S20" si="19">IFERROR(R20/R10,"")</f>
        <v>0.53668118617399085</v>
      </c>
      <c r="T20" s="31">
        <f>SUMIFS('Data Sheet Actuals'!$D:$D,'Data Sheet Actuals'!$C:$C,'Country Summary'!$B20,'Data Sheet Actuals'!$A:$A,'Country Summary'!T$4)</f>
        <v>98021.71</v>
      </c>
      <c r="U20" s="33">
        <f t="shared" ref="U20" si="20">IFERROR(T20/T10,"")</f>
        <v>0.51916590212585234</v>
      </c>
      <c r="V20" s="31">
        <f>SUMIFS('Data Sheet Actuals'!$D:$D,'Data Sheet Actuals'!$C:$C,'Country Summary'!$B20,'Data Sheet Actuals'!$A:$A,'Country Summary'!V$4)</f>
        <v>96038.59</v>
      </c>
      <c r="W20" s="33">
        <f t="shared" ref="W20" si="21">IFERROR(V20/V10,"")</f>
        <v>0.50207243844804228</v>
      </c>
      <c r="X20" s="31">
        <f>SUMIFS('Data Sheet Actuals'!$D:$D,'Data Sheet Actuals'!$C:$C,'Country Summary'!$B20,'Data Sheet Actuals'!$A:$A,'Country Summary'!X$4)</f>
        <v>97772.87</v>
      </c>
      <c r="Y20" s="33">
        <f t="shared" ref="Y20" si="22">IFERROR(X20/X10,"")</f>
        <v>0.51867520755417629</v>
      </c>
      <c r="Z20" s="31">
        <f>SUMIFS('Data Sheet Actuals'!$D:$D,'Data Sheet Actuals'!$C:$C,'Country Summary'!$B20,'Data Sheet Actuals'!$A:$A,'Country Summary'!Z$4)</f>
        <v>98653.970000000016</v>
      </c>
      <c r="AA20" s="33">
        <f t="shared" ref="AA20" si="23">IFERROR(Z20/Z10,"")</f>
        <v>0.48707020129631007</v>
      </c>
      <c r="AB20" s="31">
        <f t="shared" si="1"/>
        <v>1223825.4099999999</v>
      </c>
      <c r="AC20" s="33">
        <f t="shared" ref="AC20" si="24">IFERROR(AB20/AB10,"")</f>
        <v>0.51506221195671242</v>
      </c>
    </row>
    <row r="21" spans="2:29">
      <c r="B21" s="45">
        <v>2004</v>
      </c>
      <c r="C21" s="63" t="s">
        <v>107</v>
      </c>
      <c r="D21" s="47">
        <f>SUMIFS('Data Sheet Actuals'!$D:$D,'Data Sheet Actuals'!$C:$C,'Country Summary'!$B21,'Data Sheet Actuals'!$A:$A,'Country Summary'!D$4)</f>
        <v>87320.87000000001</v>
      </c>
      <c r="E21" s="33">
        <f t="shared" si="2"/>
        <v>0.51823634273597707</v>
      </c>
      <c r="F21" s="31">
        <f>SUMIFS('Data Sheet Actuals'!$D:$D,'Data Sheet Actuals'!$C:$C,'Country Summary'!$B21,'Data Sheet Actuals'!$A:$A,'Country Summary'!F$4)</f>
        <v>91818.47</v>
      </c>
      <c r="G21" s="33">
        <f t="shared" si="2"/>
        <v>0.51202646521641759</v>
      </c>
      <c r="H21" s="31">
        <f>SUMIFS('Data Sheet Actuals'!$D:$D,'Data Sheet Actuals'!$C:$C,'Country Summary'!$B21,'Data Sheet Actuals'!$A:$A,'Country Summary'!H$4)</f>
        <v>81876.11</v>
      </c>
      <c r="I21" s="33">
        <f t="shared" ref="I21" si="25">IFERROR(H21/H11,"")</f>
        <v>0.51017850740398385</v>
      </c>
      <c r="J21" s="31">
        <f>SUMIFS('Data Sheet Actuals'!$D:$D,'Data Sheet Actuals'!$C:$C,'Country Summary'!$B21,'Data Sheet Actuals'!$A:$A,'Country Summary'!J$4)</f>
        <v>86242.580000000016</v>
      </c>
      <c r="K21" s="33">
        <f t="shared" ref="K21" si="26">IFERROR(J21/J11,"")</f>
        <v>0.53042434461740884</v>
      </c>
      <c r="L21" s="31">
        <f>SUMIFS('Data Sheet Actuals'!$D:$D,'Data Sheet Actuals'!$C:$C,'Country Summary'!$B21,'Data Sheet Actuals'!$A:$A,'Country Summary'!L$4)</f>
        <v>79327.719999999987</v>
      </c>
      <c r="M21" s="33">
        <f t="shared" ref="M21" si="27">IFERROR(L21/L11,"")</f>
        <v>0.49508881866590276</v>
      </c>
      <c r="N21" s="31">
        <f>SUMIFS('Data Sheet Actuals'!$D:$D,'Data Sheet Actuals'!$C:$C,'Country Summary'!$B21,'Data Sheet Actuals'!$A:$A,'Country Summary'!N$4)</f>
        <v>97095.150000000009</v>
      </c>
      <c r="O21" s="33">
        <f t="shared" ref="O21" si="28">IFERROR(N21/N11,"")</f>
        <v>0.52414137063390964</v>
      </c>
      <c r="P21" s="31">
        <f>SUMIFS('Data Sheet Actuals'!$D:$D,'Data Sheet Actuals'!$C:$C,'Country Summary'!$B21,'Data Sheet Actuals'!$A:$A,'Country Summary'!P$4)</f>
        <v>91626.439999999988</v>
      </c>
      <c r="Q21" s="33">
        <f t="shared" ref="Q21" si="29">IFERROR(P21/P11,"")</f>
        <v>0.54378925866768646</v>
      </c>
      <c r="R21" s="31">
        <f>SUMIFS('Data Sheet Actuals'!$D:$D,'Data Sheet Actuals'!$C:$C,'Country Summary'!$B21,'Data Sheet Actuals'!$A:$A,'Country Summary'!R$4)</f>
        <v>95770.840000000011</v>
      </c>
      <c r="S21" s="33">
        <f t="shared" ref="S21" si="30">IFERROR(R21/R11,"")</f>
        <v>0.53406688954855275</v>
      </c>
      <c r="T21" s="31">
        <f>SUMIFS('Data Sheet Actuals'!$D:$D,'Data Sheet Actuals'!$C:$C,'Country Summary'!$B21,'Data Sheet Actuals'!$A:$A,'Country Summary'!T$4)</f>
        <v>83158.199999999983</v>
      </c>
      <c r="U21" s="33">
        <f t="shared" ref="U21" si="31">IFERROR(T21/T11,"")</f>
        <v>0.5181673427621557</v>
      </c>
      <c r="V21" s="31">
        <f>SUMIFS('Data Sheet Actuals'!$D:$D,'Data Sheet Actuals'!$C:$C,'Country Summary'!$B21,'Data Sheet Actuals'!$A:$A,'Country Summary'!V$4)</f>
        <v>83085.710000000006</v>
      </c>
      <c r="W21" s="33">
        <f t="shared" ref="W21" si="32">IFERROR(V21/V11,"")</f>
        <v>0.5110084052891517</v>
      </c>
      <c r="X21" s="31">
        <f>SUMIFS('Data Sheet Actuals'!$D:$D,'Data Sheet Actuals'!$C:$C,'Country Summary'!$B21,'Data Sheet Actuals'!$A:$A,'Country Summary'!X$4)</f>
        <v>83233.899999999994</v>
      </c>
      <c r="Y21" s="33">
        <f t="shared" ref="Y21" si="33">IFERROR(X21/X11,"")</f>
        <v>0.5194675105241382</v>
      </c>
      <c r="Z21" s="31">
        <f>SUMIFS('Data Sheet Actuals'!$D:$D,'Data Sheet Actuals'!$C:$C,'Country Summary'!$B21,'Data Sheet Actuals'!$A:$A,'Country Summary'!Z$4)</f>
        <v>83901.18</v>
      </c>
      <c r="AA21" s="33">
        <f t="shared" ref="AA21" si="34">IFERROR(Z21/Z11,"")</f>
        <v>0.48733340140803094</v>
      </c>
      <c r="AB21" s="31">
        <f t="shared" si="1"/>
        <v>1044457.1699999999</v>
      </c>
      <c r="AC21" s="33">
        <f t="shared" ref="AC21" si="35">IFERROR(AB21/AB11,"")</f>
        <v>0.5171445191323516</v>
      </c>
    </row>
    <row r="22" spans="2:29">
      <c r="B22" s="45">
        <v>2005</v>
      </c>
      <c r="C22" s="63" t="s">
        <v>109</v>
      </c>
      <c r="D22" s="47">
        <f>SUMIFS('Data Sheet Actuals'!$D:$D,'Data Sheet Actuals'!$C:$C,'Country Summary'!$B22,'Data Sheet Actuals'!$A:$A,'Country Summary'!D$4)</f>
        <v>13254.369999999999</v>
      </c>
      <c r="E22" s="33">
        <f t="shared" si="2"/>
        <v>0.52441794951737786</v>
      </c>
      <c r="F22" s="31">
        <f>SUMIFS('Data Sheet Actuals'!$D:$D,'Data Sheet Actuals'!$C:$C,'Country Summary'!$B22,'Data Sheet Actuals'!$A:$A,'Country Summary'!F$4)</f>
        <v>13540.84</v>
      </c>
      <c r="G22" s="33">
        <f t="shared" si="2"/>
        <v>0.50340389968831045</v>
      </c>
      <c r="H22" s="31">
        <f>SUMIFS('Data Sheet Actuals'!$D:$D,'Data Sheet Actuals'!$C:$C,'Country Summary'!$B22,'Data Sheet Actuals'!$A:$A,'Country Summary'!H$4)</f>
        <v>12245.740000000002</v>
      </c>
      <c r="I22" s="33">
        <f t="shared" ref="I22" si="36">IFERROR(H22/H12,"")</f>
        <v>0.50869654439578649</v>
      </c>
      <c r="J22" s="31">
        <f>SUMIFS('Data Sheet Actuals'!$D:$D,'Data Sheet Actuals'!$C:$C,'Country Summary'!$B22,'Data Sheet Actuals'!$A:$A,'Country Summary'!J$4)</f>
        <v>12656.01</v>
      </c>
      <c r="K22" s="33">
        <f t="shared" ref="K22" si="37">IFERROR(J22/J12,"")</f>
        <v>0.5189284071255833</v>
      </c>
      <c r="L22" s="31">
        <f>SUMIFS('Data Sheet Actuals'!$D:$D,'Data Sheet Actuals'!$C:$C,'Country Summary'!$B22,'Data Sheet Actuals'!$A:$A,'Country Summary'!L$4)</f>
        <v>11844.56</v>
      </c>
      <c r="M22" s="33">
        <f t="shared" ref="M22" si="38">IFERROR(L22/L12,"")</f>
        <v>0.49281716740054554</v>
      </c>
      <c r="N22" s="31">
        <f>SUMIFS('Data Sheet Actuals'!$D:$D,'Data Sheet Actuals'!$C:$C,'Country Summary'!$B22,'Data Sheet Actuals'!$A:$A,'Country Summary'!N$4)</f>
        <v>14822.460000000001</v>
      </c>
      <c r="O22" s="33">
        <f t="shared" ref="O22" si="39">IFERROR(N22/N12,"")</f>
        <v>0.53343318850494714</v>
      </c>
      <c r="P22" s="31">
        <f>SUMIFS('Data Sheet Actuals'!$D:$D,'Data Sheet Actuals'!$C:$C,'Country Summary'!$B22,'Data Sheet Actuals'!$A:$A,'Country Summary'!P$4)</f>
        <v>14162.080000000002</v>
      </c>
      <c r="Q22" s="33">
        <f t="shared" ref="Q22" si="40">IFERROR(P22/P12,"")</f>
        <v>0.56033209835707531</v>
      </c>
      <c r="R22" s="31">
        <f>SUMIFS('Data Sheet Actuals'!$D:$D,'Data Sheet Actuals'!$C:$C,'Country Summary'!$B22,'Data Sheet Actuals'!$A:$A,'Country Summary'!R$4)</f>
        <v>14569.33</v>
      </c>
      <c r="S22" s="33">
        <f t="shared" ref="S22" si="41">IFERROR(R22/R12,"")</f>
        <v>0.54163977551214637</v>
      </c>
      <c r="T22" s="31">
        <f>SUMIFS('Data Sheet Actuals'!$D:$D,'Data Sheet Actuals'!$C:$C,'Country Summary'!$B22,'Data Sheet Actuals'!$A:$A,'Country Summary'!T$4)</f>
        <v>12630.29</v>
      </c>
      <c r="U22" s="33">
        <f t="shared" ref="U22" si="42">IFERROR(T22/T12,"")</f>
        <v>0.52467101846982356</v>
      </c>
      <c r="V22" s="31">
        <f>SUMIFS('Data Sheet Actuals'!$D:$D,'Data Sheet Actuals'!$C:$C,'Country Summary'!$B22,'Data Sheet Actuals'!$A:$A,'Country Summary'!V$4)</f>
        <v>12164.17</v>
      </c>
      <c r="W22" s="33">
        <f t="shared" ref="W22" si="43">IFERROR(V22/V12,"")</f>
        <v>0.49876172364788007</v>
      </c>
      <c r="X22" s="31">
        <f>SUMIFS('Data Sheet Actuals'!$D:$D,'Data Sheet Actuals'!$C:$C,'Country Summary'!$B22,'Data Sheet Actuals'!$A:$A,'Country Summary'!X$4)</f>
        <v>12538.03</v>
      </c>
      <c r="Y22" s="33">
        <f t="shared" ref="Y22" si="44">IFERROR(X22/X12,"")</f>
        <v>0.52167040644676232</v>
      </c>
      <c r="Z22" s="31">
        <f>SUMIFS('Data Sheet Actuals'!$D:$D,'Data Sheet Actuals'!$C:$C,'Country Summary'!$B22,'Data Sheet Actuals'!$A:$A,'Country Summary'!Z$4)</f>
        <v>12153.169999999998</v>
      </c>
      <c r="AA22" s="33">
        <f t="shared" ref="AA22" si="45">IFERROR(Z22/Z12,"")</f>
        <v>0.47060456719738825</v>
      </c>
      <c r="AB22" s="31">
        <f t="shared" si="1"/>
        <v>156581.04999999999</v>
      </c>
      <c r="AC22" s="33">
        <f t="shared" ref="AC22" si="46">IFERROR(AB22/AB12,"")</f>
        <v>0.51685559155570981</v>
      </c>
    </row>
    <row r="23" spans="2:29">
      <c r="B23" s="45"/>
      <c r="C23" s="54"/>
      <c r="D23" s="48" t="s">
        <v>42</v>
      </c>
      <c r="E23" s="36" t="s">
        <v>42</v>
      </c>
      <c r="F23" s="35" t="s">
        <v>42</v>
      </c>
      <c r="G23" s="36" t="s">
        <v>42</v>
      </c>
      <c r="H23" s="35" t="s">
        <v>42</v>
      </c>
      <c r="I23" s="36" t="s">
        <v>42</v>
      </c>
      <c r="J23" s="35" t="s">
        <v>42</v>
      </c>
      <c r="K23" s="36" t="s">
        <v>42</v>
      </c>
      <c r="L23" s="35" t="s">
        <v>42</v>
      </c>
      <c r="M23" s="36" t="s">
        <v>42</v>
      </c>
      <c r="N23" s="35" t="s">
        <v>42</v>
      </c>
      <c r="O23" s="36" t="s">
        <v>42</v>
      </c>
      <c r="P23" s="35" t="s">
        <v>42</v>
      </c>
      <c r="Q23" s="36" t="s">
        <v>42</v>
      </c>
      <c r="R23" s="35" t="s">
        <v>42</v>
      </c>
      <c r="S23" s="36" t="s">
        <v>42</v>
      </c>
      <c r="T23" s="35" t="s">
        <v>42</v>
      </c>
      <c r="U23" s="36" t="s">
        <v>42</v>
      </c>
      <c r="V23" s="35" t="s">
        <v>42</v>
      </c>
      <c r="W23" s="36" t="s">
        <v>42</v>
      </c>
      <c r="X23" s="35" t="s">
        <v>42</v>
      </c>
      <c r="Y23" s="36" t="s">
        <v>42</v>
      </c>
      <c r="Z23" s="35" t="s">
        <v>42</v>
      </c>
      <c r="AA23" s="36" t="s">
        <v>42</v>
      </c>
      <c r="AB23" s="35" t="s">
        <v>42</v>
      </c>
      <c r="AC23" s="36" t="s">
        <v>42</v>
      </c>
    </row>
    <row r="24" spans="2:29">
      <c r="B24" s="45"/>
      <c r="C24" s="57" t="s">
        <v>45</v>
      </c>
      <c r="D24" s="64">
        <f>SUM(D18:D23)</f>
        <v>467687.41000000003</v>
      </c>
      <c r="E24" s="65">
        <f>IFERROR(D24/D$14,"")</f>
        <v>0.51989402991626588</v>
      </c>
      <c r="F24" s="64">
        <f>SUM(F18:F23)</f>
        <v>490374.72999999992</v>
      </c>
      <c r="G24" s="65">
        <f>IFERROR(F24/F$14,"")</f>
        <v>0.51220015214716075</v>
      </c>
      <c r="H24" s="64">
        <f>SUM(H18:H23)</f>
        <v>425124.74</v>
      </c>
      <c r="I24" s="65">
        <f>IFERROR(H24/H$14,"")</f>
        <v>0.49617015346649984</v>
      </c>
      <c r="J24" s="64">
        <f>SUM(J18:J23)</f>
        <v>446272.12000000005</v>
      </c>
      <c r="K24" s="65">
        <f>IFERROR(J24/J$14,"")</f>
        <v>0.51410372063275511</v>
      </c>
      <c r="L24" s="64">
        <f>SUM(L18:L23)</f>
        <v>430981.1</v>
      </c>
      <c r="M24" s="65">
        <f>IFERROR(L24/L$14,"")</f>
        <v>0.50380872132076049</v>
      </c>
      <c r="N24" s="64">
        <f>SUM(N18:N23)</f>
        <v>526652.37</v>
      </c>
      <c r="O24" s="65">
        <f>IFERROR(N24/N$14,"")</f>
        <v>0.53250564542927625</v>
      </c>
      <c r="P24" s="64">
        <f>SUM(P18:P23)</f>
        <v>497380.59</v>
      </c>
      <c r="Q24" s="65">
        <f>IFERROR(P24/P$14,"")</f>
        <v>0.5529017754342157</v>
      </c>
      <c r="R24" s="64">
        <f>SUM(R18:R23)</f>
        <v>521414.63</v>
      </c>
      <c r="S24" s="65">
        <f>IFERROR(R24/R$14,"")</f>
        <v>0.54462156485460744</v>
      </c>
      <c r="T24" s="64">
        <f>SUM(T18:T23)</f>
        <v>442995.32</v>
      </c>
      <c r="U24" s="65">
        <f>IFERROR(T24/T$14,"")</f>
        <v>0.51702720455492945</v>
      </c>
      <c r="V24" s="64">
        <f>SUM(V18:V23)</f>
        <v>440562.53</v>
      </c>
      <c r="W24" s="65">
        <f>IFERROR(V24/V$14,"")</f>
        <v>0.50752629549069694</v>
      </c>
      <c r="X24" s="64">
        <f>SUM(X18:X23)</f>
        <v>445299.63</v>
      </c>
      <c r="Y24" s="65">
        <f>IFERROR(X24/X$14,"")</f>
        <v>0.52054681097363154</v>
      </c>
      <c r="Z24" s="64">
        <f>SUM(Z18:Z23)</f>
        <v>443054.75</v>
      </c>
      <c r="AA24" s="65">
        <f>IFERROR(Z24/Z$14,"")</f>
        <v>0.48201968357762454</v>
      </c>
      <c r="AB24" s="64">
        <f>SUM(AB18:AB23)</f>
        <v>5577799.9199999999</v>
      </c>
      <c r="AC24" s="65">
        <f>IFERROR(AB24/AB$14,"")</f>
        <v>0.51728932429317076</v>
      </c>
    </row>
    <row r="25" spans="2:29">
      <c r="B25" s="45"/>
      <c r="C25" s="54"/>
      <c r="D25" s="48" t="s">
        <v>42</v>
      </c>
      <c r="E25" s="36" t="s">
        <v>42</v>
      </c>
      <c r="F25" s="35" t="s">
        <v>42</v>
      </c>
      <c r="G25" s="36" t="s">
        <v>42</v>
      </c>
      <c r="H25" s="35" t="s">
        <v>42</v>
      </c>
      <c r="I25" s="36" t="s">
        <v>42</v>
      </c>
      <c r="J25" s="35" t="s">
        <v>42</v>
      </c>
      <c r="K25" s="36" t="s">
        <v>42</v>
      </c>
      <c r="L25" s="35" t="s">
        <v>42</v>
      </c>
      <c r="M25" s="36" t="s">
        <v>42</v>
      </c>
      <c r="N25" s="35" t="s">
        <v>42</v>
      </c>
      <c r="O25" s="36" t="s">
        <v>42</v>
      </c>
      <c r="P25" s="35" t="s">
        <v>42</v>
      </c>
      <c r="Q25" s="36" t="s">
        <v>42</v>
      </c>
      <c r="R25" s="35" t="s">
        <v>42</v>
      </c>
      <c r="S25" s="36" t="s">
        <v>42</v>
      </c>
      <c r="T25" s="35" t="s">
        <v>42</v>
      </c>
      <c r="U25" s="36" t="s">
        <v>42</v>
      </c>
      <c r="V25" s="35" t="s">
        <v>42</v>
      </c>
      <c r="W25" s="36" t="s">
        <v>42</v>
      </c>
      <c r="X25" s="35" t="s">
        <v>42</v>
      </c>
      <c r="Y25" s="36" t="s">
        <v>42</v>
      </c>
      <c r="Z25" s="35" t="s">
        <v>42</v>
      </c>
      <c r="AA25" s="36" t="s">
        <v>42</v>
      </c>
      <c r="AB25" s="35" t="s">
        <v>42</v>
      </c>
      <c r="AC25" s="36" t="s">
        <v>42</v>
      </c>
    </row>
    <row r="26" spans="2:29">
      <c r="B26" s="45"/>
      <c r="C26" s="54"/>
      <c r="D26" s="47"/>
      <c r="E26" s="32"/>
      <c r="F26" s="31"/>
      <c r="G26" s="32"/>
      <c r="H26" s="31"/>
      <c r="I26" s="32"/>
      <c r="J26" s="31"/>
      <c r="K26" s="32"/>
      <c r="L26" s="31"/>
      <c r="M26" s="32"/>
      <c r="N26" s="31"/>
      <c r="O26" s="32"/>
      <c r="P26" s="31"/>
      <c r="Q26" s="32"/>
      <c r="R26" s="31"/>
      <c r="S26" s="32"/>
      <c r="T26" s="31"/>
      <c r="U26" s="32"/>
      <c r="V26" s="31"/>
      <c r="W26" s="32"/>
      <c r="X26" s="31"/>
      <c r="Y26" s="32"/>
      <c r="Z26" s="31"/>
      <c r="AA26" s="32"/>
      <c r="AB26" s="31"/>
      <c r="AC26" s="32"/>
    </row>
    <row r="27" spans="2:29">
      <c r="B27" s="45"/>
      <c r="C27" s="57" t="s">
        <v>0</v>
      </c>
      <c r="D27" s="64">
        <f>D14-D24</f>
        <v>431894.78</v>
      </c>
      <c r="E27" s="65">
        <f>IFERROR(D27/D$14,"")</f>
        <v>0.48010597008373407</v>
      </c>
      <c r="F27" s="64">
        <f>F14-F24</f>
        <v>467014.1500000002</v>
      </c>
      <c r="G27" s="65">
        <f>IFERROR(F27/F$14,"")</f>
        <v>0.4877998478528392</v>
      </c>
      <c r="H27" s="64">
        <f>H14-H24</f>
        <v>431687.65999999992</v>
      </c>
      <c r="I27" s="65">
        <f>IFERROR(H27/H$14,"")</f>
        <v>0.50382984653350016</v>
      </c>
      <c r="J27" s="64">
        <f>J14-J24</f>
        <v>421786.41</v>
      </c>
      <c r="K27" s="65">
        <f>IFERROR(J27/J$14,"")</f>
        <v>0.48589627936724494</v>
      </c>
      <c r="L27" s="64">
        <f>L14-L24</f>
        <v>424464.79000000004</v>
      </c>
      <c r="M27" s="65">
        <f>IFERROR(L27/L$14,"")</f>
        <v>0.49619127867923946</v>
      </c>
      <c r="N27" s="64">
        <f>N14-N24</f>
        <v>462355.68000000017</v>
      </c>
      <c r="O27" s="65">
        <f>IFERROR(N27/N$14,"")</f>
        <v>0.46749435457072375</v>
      </c>
      <c r="P27" s="64">
        <f>P14-P24</f>
        <v>402201.60000000003</v>
      </c>
      <c r="Q27" s="65">
        <f>IFERROR(P27/P$14,"")</f>
        <v>0.44709822456578424</v>
      </c>
      <c r="R27" s="64">
        <f>R14-R24</f>
        <v>435974.25000000012</v>
      </c>
      <c r="S27" s="65">
        <f>IFERROR(R27/R$14,"")</f>
        <v>0.45537843514539261</v>
      </c>
      <c r="T27" s="64">
        <f>T14-T24</f>
        <v>413817.0799999999</v>
      </c>
      <c r="U27" s="65">
        <f>IFERROR(T27/T$14,"")</f>
        <v>0.48297279544507055</v>
      </c>
      <c r="V27" s="64">
        <f>V14-V24</f>
        <v>427496</v>
      </c>
      <c r="W27" s="65">
        <f>IFERROR(V27/V$14,"")</f>
        <v>0.49247370450930306</v>
      </c>
      <c r="X27" s="64">
        <f>X14-X24</f>
        <v>410146.26</v>
      </c>
      <c r="Y27" s="65">
        <f>IFERROR(X27/X$14,"")</f>
        <v>0.47945318902636846</v>
      </c>
      <c r="Z27" s="64">
        <f>Z14-Z24</f>
        <v>476108.44000000006</v>
      </c>
      <c r="AA27" s="65">
        <f>IFERROR(Z27/Z$14,"")</f>
        <v>0.51798031642237552</v>
      </c>
      <c r="AB27" s="64">
        <f>AB14-AB24</f>
        <v>5204947.0999999996</v>
      </c>
      <c r="AC27" s="65">
        <f>IFERROR(AB27/AB$14,"")</f>
        <v>0.4827106757068293</v>
      </c>
    </row>
    <row r="28" spans="2:29">
      <c r="B28" s="45"/>
      <c r="C28" s="54"/>
      <c r="D28" s="47"/>
      <c r="E28" s="32"/>
      <c r="F28" s="31"/>
      <c r="G28" s="32"/>
      <c r="H28" s="31"/>
      <c r="I28" s="32"/>
      <c r="J28" s="31"/>
      <c r="K28" s="32"/>
      <c r="L28" s="31"/>
      <c r="M28" s="32"/>
      <c r="N28" s="31"/>
      <c r="O28" s="32"/>
      <c r="P28" s="31"/>
      <c r="Q28" s="32"/>
      <c r="R28" s="31"/>
      <c r="S28" s="32"/>
      <c r="T28" s="31"/>
      <c r="U28" s="32"/>
      <c r="V28" s="31"/>
      <c r="W28" s="32"/>
      <c r="X28" s="31"/>
      <c r="Y28" s="32"/>
      <c r="Z28" s="31"/>
      <c r="AA28" s="32"/>
      <c r="AB28" s="31"/>
      <c r="AC28" s="32"/>
    </row>
    <row r="29" spans="2:29">
      <c r="B29" s="45"/>
      <c r="C29" s="57" t="s">
        <v>46</v>
      </c>
      <c r="D29" s="47"/>
      <c r="E29" s="32"/>
      <c r="F29" s="31"/>
      <c r="G29" s="32"/>
      <c r="H29" s="31"/>
      <c r="I29" s="32"/>
      <c r="J29" s="31"/>
      <c r="K29" s="32"/>
      <c r="L29" s="31"/>
      <c r="M29" s="32"/>
      <c r="N29" s="31"/>
      <c r="O29" s="32"/>
      <c r="P29" s="31"/>
      <c r="Q29" s="32"/>
      <c r="R29" s="31"/>
      <c r="S29" s="32"/>
      <c r="T29" s="31"/>
      <c r="U29" s="32"/>
      <c r="V29" s="31"/>
      <c r="W29" s="32"/>
      <c r="X29" s="31"/>
      <c r="Y29" s="32"/>
      <c r="Z29" s="31"/>
      <c r="AA29" s="32"/>
      <c r="AB29" s="31"/>
      <c r="AC29" s="32"/>
    </row>
    <row r="30" spans="2:29">
      <c r="B30" s="45">
        <v>3001</v>
      </c>
      <c r="C30" s="57" t="s">
        <v>110</v>
      </c>
      <c r="D30" s="47"/>
      <c r="E30" s="33"/>
      <c r="F30" s="31"/>
      <c r="G30" s="33"/>
      <c r="H30" s="31"/>
      <c r="I30" s="33"/>
      <c r="J30" s="31"/>
      <c r="K30" s="33"/>
      <c r="L30" s="31"/>
      <c r="M30" s="33"/>
      <c r="N30" s="31"/>
      <c r="O30" s="33"/>
      <c r="P30" s="31"/>
      <c r="Q30" s="33"/>
      <c r="R30" s="31"/>
      <c r="S30" s="33"/>
      <c r="T30" s="31"/>
      <c r="U30" s="33"/>
      <c r="V30" s="31"/>
      <c r="W30" s="33"/>
      <c r="X30" s="31"/>
      <c r="Y30" s="33"/>
      <c r="Z30" s="31"/>
      <c r="AA30" s="33"/>
      <c r="AB30" s="31"/>
      <c r="AC30" s="33"/>
    </row>
    <row r="31" spans="2:29">
      <c r="B31" s="45">
        <v>3001</v>
      </c>
      <c r="C31" s="55" t="s">
        <v>111</v>
      </c>
      <c r="D31" s="47">
        <f>SUMIFS('Data Sheet Actuals'!$D:$D,'Data Sheet Actuals'!$C:$C,'Country Summary'!$B31,'Data Sheet Actuals'!$A:$A,'Country Summary'!D$4)</f>
        <v>80832.990000000005</v>
      </c>
      <c r="E31" s="33">
        <f t="shared" ref="E31:G34" si="47">IFERROR(D31/D$14,"")</f>
        <v>8.9856147552231994E-2</v>
      </c>
      <c r="F31" s="31">
        <f>SUMIFS('Data Sheet Actuals'!$D:$D,'Data Sheet Actuals'!$C:$C,'Country Summary'!$B31,'Data Sheet Actuals'!$A:$A,'Country Summary'!F$4)</f>
        <v>82699.69</v>
      </c>
      <c r="G31" s="33">
        <f t="shared" si="47"/>
        <v>8.6380458064229865E-2</v>
      </c>
      <c r="H31" s="31">
        <f>SUMIFS('Data Sheet Actuals'!$D:$D,'Data Sheet Actuals'!$C:$C,'Country Summary'!$B31,'Data Sheet Actuals'!$A:$A,'Country Summary'!H$4)</f>
        <v>68705.37000000001</v>
      </c>
      <c r="I31" s="33">
        <f t="shared" ref="I31" si="48">IFERROR(H31/H$14,"")</f>
        <v>8.0187179830730759E-2</v>
      </c>
      <c r="J31" s="31">
        <f>SUMIFS('Data Sheet Actuals'!$D:$D,'Data Sheet Actuals'!$C:$C,'Country Summary'!$B31,'Data Sheet Actuals'!$A:$A,'Country Summary'!J$4)</f>
        <v>73907.349999999991</v>
      </c>
      <c r="K31" s="33">
        <f t="shared" ref="K31" si="49">IFERROR(J31/J$14,"")</f>
        <v>8.5140975459339116E-2</v>
      </c>
      <c r="L31" s="31">
        <f>SUMIFS('Data Sheet Actuals'!$D:$D,'Data Sheet Actuals'!$C:$C,'Country Summary'!$B31,'Data Sheet Actuals'!$A:$A,'Country Summary'!L$4)</f>
        <v>68126.189999999988</v>
      </c>
      <c r="M31" s="33">
        <f t="shared" ref="M31" si="50">IFERROR(L31/L$14,"")</f>
        <v>7.9638222354426164E-2</v>
      </c>
      <c r="N31" s="31">
        <f>SUMIFS('Data Sheet Actuals'!$D:$D,'Data Sheet Actuals'!$C:$C,'Country Summary'!$B31,'Data Sheet Actuals'!$A:$A,'Country Summary'!N$4)</f>
        <v>85227.459999999977</v>
      </c>
      <c r="O31" s="33">
        <f t="shared" ref="O31" si="51">IFERROR(N31/N$14,"")</f>
        <v>8.6174687860225169E-2</v>
      </c>
      <c r="P31" s="31">
        <f>SUMIFS('Data Sheet Actuals'!$D:$D,'Data Sheet Actuals'!$C:$C,'Country Summary'!$B31,'Data Sheet Actuals'!$A:$A,'Country Summary'!P$4)</f>
        <v>78667.170000000013</v>
      </c>
      <c r="Q31" s="33">
        <f t="shared" ref="Q31" si="52">IFERROR(P31/P$14,"")</f>
        <v>8.7448563204658381E-2</v>
      </c>
      <c r="R31" s="31">
        <f>SUMIFS('Data Sheet Actuals'!$D:$D,'Data Sheet Actuals'!$C:$C,'Country Summary'!$B31,'Data Sheet Actuals'!$A:$A,'Country Summary'!R$4)</f>
        <v>79580.490000000005</v>
      </c>
      <c r="S31" s="33">
        <f t="shared" ref="S31" si="53">IFERROR(R31/R$14,"")</f>
        <v>8.3122429832274636E-2</v>
      </c>
      <c r="T31" s="31">
        <f>SUMIFS('Data Sheet Actuals'!$D:$D,'Data Sheet Actuals'!$C:$C,'Country Summary'!$B31,'Data Sheet Actuals'!$A:$A,'Country Summary'!T$4)</f>
        <v>69796.679999999993</v>
      </c>
      <c r="U31" s="33">
        <f t="shared" ref="U31" si="54">IFERROR(T31/T$14,"")</f>
        <v>8.1460865879158614E-2</v>
      </c>
      <c r="V31" s="31">
        <f>SUMIFS('Data Sheet Actuals'!$D:$D,'Data Sheet Actuals'!$C:$C,'Country Summary'!$B31,'Data Sheet Actuals'!$A:$A,'Country Summary'!V$4)</f>
        <v>72696.05</v>
      </c>
      <c r="W31" s="33">
        <f t="shared" ref="W31" si="55">IFERROR(V31/V$14,"")</f>
        <v>8.3745562640804877E-2</v>
      </c>
      <c r="X31" s="31">
        <f>SUMIFS('Data Sheet Actuals'!$D:$D,'Data Sheet Actuals'!$C:$C,'Country Summary'!$B31,'Data Sheet Actuals'!$A:$A,'Country Summary'!X$4)</f>
        <v>71717.679999999993</v>
      </c>
      <c r="Y31" s="33">
        <f t="shared" ref="Y31" si="56">IFERROR(X31/X$14,"")</f>
        <v>8.3836605959963159E-2</v>
      </c>
      <c r="Z31" s="31">
        <f>SUMIFS('Data Sheet Actuals'!$D:$D,'Data Sheet Actuals'!$C:$C,'Country Summary'!$B31,'Data Sheet Actuals'!$A:$A,'Country Summary'!Z$4)</f>
        <v>71882.51999999999</v>
      </c>
      <c r="AA31" s="33">
        <f t="shared" ref="AA31" si="57">IFERROR(Z31/Z$14,"")</f>
        <v>7.8204306680296876E-2</v>
      </c>
      <c r="AB31" s="31">
        <f t="shared" ref="AB31:AB34" si="58">SUM(D31,F31,H31,J31,L31,N31,P31,R31,T31,V31,X31,Z31)</f>
        <v>903839.6399999999</v>
      </c>
      <c r="AC31" s="33">
        <f t="shared" ref="AC31" si="59">IFERROR(AB31/AB$14,"")</f>
        <v>8.3822762263043429E-2</v>
      </c>
    </row>
    <row r="32" spans="2:29">
      <c r="B32" s="45">
        <v>3002</v>
      </c>
      <c r="C32" s="55" t="s">
        <v>113</v>
      </c>
      <c r="D32" s="47">
        <f>SUMIFS('Data Sheet Actuals'!$D:$D,'Data Sheet Actuals'!$C:$C,'Country Summary'!$B32,'Data Sheet Actuals'!$A:$A,'Country Summary'!D$4)</f>
        <v>66918.689999999988</v>
      </c>
      <c r="E32" s="33">
        <f t="shared" si="47"/>
        <v>7.4388633683376934E-2</v>
      </c>
      <c r="F32" s="31">
        <f>SUMIFS('Data Sheet Actuals'!$D:$D,'Data Sheet Actuals'!$C:$C,'Country Summary'!$B32,'Data Sheet Actuals'!$A:$A,'Country Summary'!F$4)</f>
        <v>67340.73</v>
      </c>
      <c r="G32" s="33">
        <f t="shared" si="47"/>
        <v>7.033790699553559E-2</v>
      </c>
      <c r="H32" s="31">
        <f>SUMIFS('Data Sheet Actuals'!$D:$D,'Data Sheet Actuals'!$C:$C,'Country Summary'!$B32,'Data Sheet Actuals'!$A:$A,'Country Summary'!H$4)</f>
        <v>57275.3</v>
      </c>
      <c r="I32" s="33">
        <f t="shared" ref="I32" si="60">IFERROR(H32/H$14,"")</f>
        <v>6.6846955062741867E-2</v>
      </c>
      <c r="J32" s="31">
        <f>SUMIFS('Data Sheet Actuals'!$D:$D,'Data Sheet Actuals'!$C:$C,'Country Summary'!$B32,'Data Sheet Actuals'!$A:$A,'Country Summary'!J$4)</f>
        <v>58097.310000000005</v>
      </c>
      <c r="K32" s="33">
        <f t="shared" ref="K32" si="61">IFERROR(J32/J$14,"")</f>
        <v>6.6927871787631654E-2</v>
      </c>
      <c r="L32" s="31">
        <f>SUMIFS('Data Sheet Actuals'!$D:$D,'Data Sheet Actuals'!$C:$C,'Country Summary'!$B32,'Data Sheet Actuals'!$A:$A,'Country Summary'!L$4)</f>
        <v>59857.600000000006</v>
      </c>
      <c r="M32" s="33">
        <f t="shared" ref="M32" si="62">IFERROR(L32/L$14,"")</f>
        <v>6.9972397669711181E-2</v>
      </c>
      <c r="N32" s="31">
        <f>SUMIFS('Data Sheet Actuals'!$D:$D,'Data Sheet Actuals'!$C:$C,'Country Summary'!$B32,'Data Sheet Actuals'!$A:$A,'Country Summary'!N$4)</f>
        <v>72211.08</v>
      </c>
      <c r="O32" s="33">
        <f t="shared" ref="O32" si="63">IFERROR(N32/N$14,"")</f>
        <v>7.3013642305540374E-2</v>
      </c>
      <c r="P32" s="31">
        <f>SUMIFS('Data Sheet Actuals'!$D:$D,'Data Sheet Actuals'!$C:$C,'Country Summary'!$B32,'Data Sheet Actuals'!$A:$A,'Country Summary'!P$4)</f>
        <v>68412.87</v>
      </c>
      <c r="Q32" s="33">
        <f t="shared" ref="Q32" si="64">IFERROR(P32/P$14,"")</f>
        <v>7.6049604761517106E-2</v>
      </c>
      <c r="R32" s="31">
        <f>SUMIFS('Data Sheet Actuals'!$D:$D,'Data Sheet Actuals'!$C:$C,'Country Summary'!$B32,'Data Sheet Actuals'!$A:$A,'Country Summary'!R$4)</f>
        <v>68379.58</v>
      </c>
      <c r="S32" s="33">
        <f t="shared" ref="S32" si="65">IFERROR(R32/R$14,"")</f>
        <v>7.1422993757771655E-2</v>
      </c>
      <c r="T32" s="31">
        <f>SUMIFS('Data Sheet Actuals'!$D:$D,'Data Sheet Actuals'!$C:$C,'Country Summary'!$B32,'Data Sheet Actuals'!$A:$A,'Country Summary'!T$4)</f>
        <v>58220.819999999985</v>
      </c>
      <c r="U32" s="33">
        <f t="shared" ref="U32" si="66">IFERROR(T32/T$14,"")</f>
        <v>6.7950487177823274E-2</v>
      </c>
      <c r="V32" s="31">
        <f>SUMIFS('Data Sheet Actuals'!$D:$D,'Data Sheet Actuals'!$C:$C,'Country Summary'!$B32,'Data Sheet Actuals'!$A:$A,'Country Summary'!V$4)</f>
        <v>58140.88</v>
      </c>
      <c r="W32" s="33">
        <f t="shared" ref="W32" si="67">IFERROR(V32/V$14,"")</f>
        <v>6.6978064255644135E-2</v>
      </c>
      <c r="X32" s="31">
        <f>SUMIFS('Data Sheet Actuals'!$D:$D,'Data Sheet Actuals'!$C:$C,'Country Summary'!$B32,'Data Sheet Actuals'!$A:$A,'Country Summary'!X$4)</f>
        <v>59164.650000000009</v>
      </c>
      <c r="Y32" s="33">
        <f t="shared" ref="Y32" si="68">IFERROR(X32/X$14,"")</f>
        <v>6.9162352279230663E-2</v>
      </c>
      <c r="Z32" s="31">
        <f>SUMIFS('Data Sheet Actuals'!$D:$D,'Data Sheet Actuals'!$C:$C,'Country Summary'!$B32,'Data Sheet Actuals'!$A:$A,'Country Summary'!Z$4)</f>
        <v>63117.279999999999</v>
      </c>
      <c r="AA32" s="33">
        <f t="shared" ref="AA32" si="69">IFERROR(Z32/Z$14,"")</f>
        <v>6.8668198081343959E-2</v>
      </c>
      <c r="AB32" s="31">
        <f t="shared" si="58"/>
        <v>757136.79</v>
      </c>
      <c r="AC32" s="33">
        <f t="shared" ref="AC32" si="70">IFERROR(AB32/AB$14,"")</f>
        <v>7.0217430548602452E-2</v>
      </c>
    </row>
    <row r="33" spans="2:29">
      <c r="B33" s="45">
        <v>3003</v>
      </c>
      <c r="C33" s="55" t="s">
        <v>112</v>
      </c>
      <c r="D33" s="47">
        <f>SUMIFS('Data Sheet Actuals'!$D:$D,'Data Sheet Actuals'!$C:$C,'Country Summary'!$B33,'Data Sheet Actuals'!$A:$A,'Country Summary'!D$4)</f>
        <v>52295.360000000001</v>
      </c>
      <c r="E33" s="33">
        <f t="shared" si="47"/>
        <v>5.8132942805370569E-2</v>
      </c>
      <c r="F33" s="31">
        <f>SUMIFS('Data Sheet Actuals'!$D:$D,'Data Sheet Actuals'!$C:$C,'Country Summary'!$B33,'Data Sheet Actuals'!$A:$A,'Country Summary'!F$4)</f>
        <v>57799.299999999996</v>
      </c>
      <c r="G33" s="33">
        <f t="shared" si="47"/>
        <v>6.0371810460134012E-2</v>
      </c>
      <c r="H33" s="31">
        <f>SUMIFS('Data Sheet Actuals'!$D:$D,'Data Sheet Actuals'!$C:$C,'Country Summary'!$B33,'Data Sheet Actuals'!$A:$A,'Country Summary'!H$4)</f>
        <v>50304.73</v>
      </c>
      <c r="I33" s="33">
        <f t="shared" ref="I33" si="71">IFERROR(H33/H$14,"")</f>
        <v>5.871148690191693E-2</v>
      </c>
      <c r="J33" s="31">
        <f>SUMIFS('Data Sheet Actuals'!$D:$D,'Data Sheet Actuals'!$C:$C,'Country Summary'!$B33,'Data Sheet Actuals'!$A:$A,'Country Summary'!J$4)</f>
        <v>55053.62</v>
      </c>
      <c r="K33" s="33">
        <f t="shared" ref="K33" si="72">IFERROR(J33/J$14,"")</f>
        <v>6.3421552922243621E-2</v>
      </c>
      <c r="L33" s="31">
        <f>SUMIFS('Data Sheet Actuals'!$D:$D,'Data Sheet Actuals'!$C:$C,'Country Summary'!$B33,'Data Sheet Actuals'!$A:$A,'Country Summary'!L$4)</f>
        <v>47505.240000000005</v>
      </c>
      <c r="M33" s="33">
        <f t="shared" ref="M33" si="73">IFERROR(L33/L$14,"")</f>
        <v>5.5532723408139827E-2</v>
      </c>
      <c r="N33" s="31">
        <f>SUMIFS('Data Sheet Actuals'!$D:$D,'Data Sheet Actuals'!$C:$C,'Country Summary'!$B33,'Data Sheet Actuals'!$A:$A,'Country Summary'!N$4)</f>
        <v>65323.12000000001</v>
      </c>
      <c r="O33" s="33">
        <f t="shared" ref="O33" si="74">IFERROR(N33/N$14,"")</f>
        <v>6.6049128720438624E-2</v>
      </c>
      <c r="P33" s="31">
        <f>SUMIFS('Data Sheet Actuals'!$D:$D,'Data Sheet Actuals'!$C:$C,'Country Summary'!$B33,'Data Sheet Actuals'!$A:$A,'Country Summary'!P$4)</f>
        <v>59820.079999999994</v>
      </c>
      <c r="Q33" s="33">
        <f t="shared" ref="Q33" si="75">IFERROR(P33/P$14,"")</f>
        <v>6.6497625970118407E-2</v>
      </c>
      <c r="R33" s="31">
        <f>SUMIFS('Data Sheet Actuals'!$D:$D,'Data Sheet Actuals'!$C:$C,'Country Summary'!$B33,'Data Sheet Actuals'!$A:$A,'Country Summary'!R$4)</f>
        <v>60461.120000000003</v>
      </c>
      <c r="S33" s="33">
        <f t="shared" ref="S33" si="76">IFERROR(R33/R$14,"")</f>
        <v>6.3152101787520232E-2</v>
      </c>
      <c r="T33" s="31">
        <f>SUMIFS('Data Sheet Actuals'!$D:$D,'Data Sheet Actuals'!$C:$C,'Country Summary'!$B33,'Data Sheet Actuals'!$A:$A,'Country Summary'!T$4)</f>
        <v>54980.39</v>
      </c>
      <c r="U33" s="33">
        <f t="shared" ref="U33" si="77">IFERROR(T33/T$14,"")</f>
        <v>6.4168527439612225E-2</v>
      </c>
      <c r="V33" s="31">
        <f>SUMIFS('Data Sheet Actuals'!$D:$D,'Data Sheet Actuals'!$C:$C,'Country Summary'!$B33,'Data Sheet Actuals'!$A:$A,'Country Summary'!V$4)</f>
        <v>56254.910000000011</v>
      </c>
      <c r="W33" s="33">
        <f t="shared" ref="W33" si="78">IFERROR(V33/V$14,"")</f>
        <v>6.4805434260291186E-2</v>
      </c>
      <c r="X33" s="31">
        <f>SUMIFS('Data Sheet Actuals'!$D:$D,'Data Sheet Actuals'!$C:$C,'Country Summary'!$B33,'Data Sheet Actuals'!$A:$A,'Country Summary'!X$4)</f>
        <v>53803.43</v>
      </c>
      <c r="Y33" s="33">
        <f t="shared" ref="Y33" si="79">IFERROR(X33/X$14,"")</f>
        <v>6.289518791188535E-2</v>
      </c>
      <c r="Z33" s="31">
        <f>SUMIFS('Data Sheet Actuals'!$D:$D,'Data Sheet Actuals'!$C:$C,'Country Summary'!$B33,'Data Sheet Actuals'!$A:$A,'Country Summary'!Z$4)</f>
        <v>52102.559999999998</v>
      </c>
      <c r="AA33" s="33">
        <f t="shared" ref="AA33" si="80">IFERROR(Z33/Z$14,"")</f>
        <v>5.6684776508510955E-2</v>
      </c>
      <c r="AB33" s="31">
        <f t="shared" si="58"/>
        <v>665703.8600000001</v>
      </c>
      <c r="AC33" s="33">
        <f t="shared" ref="AC33" si="81">IFERROR(AB33/AB$14,"")</f>
        <v>6.1737872433178916E-2</v>
      </c>
    </row>
    <row r="34" spans="2:29">
      <c r="B34" s="45">
        <v>3004</v>
      </c>
      <c r="C34" s="55" t="s">
        <v>114</v>
      </c>
      <c r="D34" s="47">
        <f>SUMIFS('Data Sheet Actuals'!$D:$D,'Data Sheet Actuals'!$C:$C,'Country Summary'!$B34,'Data Sheet Actuals'!$A:$A,'Country Summary'!D$4)</f>
        <v>7826.23</v>
      </c>
      <c r="E34" s="33">
        <f t="shared" si="47"/>
        <v>8.6998498714164173E-3</v>
      </c>
      <c r="F34" s="31">
        <f>SUMIFS('Data Sheet Actuals'!$D:$D,'Data Sheet Actuals'!$C:$C,'Country Summary'!$B34,'Data Sheet Actuals'!$A:$A,'Country Summary'!F$4)</f>
        <v>7984.11</v>
      </c>
      <c r="G34" s="33">
        <f t="shared" si="47"/>
        <v>8.3394638968440904E-3</v>
      </c>
      <c r="H34" s="31">
        <f>SUMIFS('Data Sheet Actuals'!$D:$D,'Data Sheet Actuals'!$C:$C,'Country Summary'!$B34,'Data Sheet Actuals'!$A:$A,'Country Summary'!H$4)</f>
        <v>7247.9400000000005</v>
      </c>
      <c r="I34" s="33">
        <f t="shared" ref="I34" si="82">IFERROR(H34/H$14,"")</f>
        <v>8.4591913002192796E-3</v>
      </c>
      <c r="J34" s="31">
        <f>SUMIFS('Data Sheet Actuals'!$D:$D,'Data Sheet Actuals'!$C:$C,'Country Summary'!$B34,'Data Sheet Actuals'!$A:$A,'Country Summary'!J$4)</f>
        <v>7118.7699999999995</v>
      </c>
      <c r="K34" s="33">
        <f t="shared" ref="K34" si="83">IFERROR(J34/J$14,"")</f>
        <v>8.200794939484092E-3</v>
      </c>
      <c r="L34" s="31">
        <f>SUMIFS('Data Sheet Actuals'!$D:$D,'Data Sheet Actuals'!$C:$C,'Country Summary'!$B34,'Data Sheet Actuals'!$A:$A,'Country Summary'!L$4)</f>
        <v>6841.17</v>
      </c>
      <c r="M34" s="33">
        <f t="shared" ref="M34" si="84">IFERROR(L34/L$14,"")</f>
        <v>7.9971978122426891E-3</v>
      </c>
      <c r="N34" s="31">
        <f>SUMIFS('Data Sheet Actuals'!$D:$D,'Data Sheet Actuals'!$C:$C,'Country Summary'!$B34,'Data Sheet Actuals'!$A:$A,'Country Summary'!N$4)</f>
        <v>8194.2699999999986</v>
      </c>
      <c r="O34" s="33">
        <f t="shared" ref="O34" si="85">IFERROR(N34/N$14,"")</f>
        <v>8.2853420657192801E-3</v>
      </c>
      <c r="P34" s="31">
        <f>SUMIFS('Data Sheet Actuals'!$D:$D,'Data Sheet Actuals'!$C:$C,'Country Summary'!$B34,'Data Sheet Actuals'!$A:$A,'Country Summary'!P$4)</f>
        <v>7432.869999999999</v>
      </c>
      <c r="Q34" s="33">
        <f t="shared" ref="Q34" si="86">IFERROR(P34/P$14,"")</f>
        <v>8.2625802095970778E-3</v>
      </c>
      <c r="R34" s="31">
        <f>SUMIFS('Data Sheet Actuals'!$D:$D,'Data Sheet Actuals'!$C:$C,'Country Summary'!$B34,'Data Sheet Actuals'!$A:$A,'Country Summary'!R$4)</f>
        <v>8923.52</v>
      </c>
      <c r="S34" s="33">
        <f t="shared" ref="S34" si="87">IFERROR(R34/R$14,"")</f>
        <v>9.3206848193181438E-3</v>
      </c>
      <c r="T34" s="31">
        <f>SUMIFS('Data Sheet Actuals'!$D:$D,'Data Sheet Actuals'!$C:$C,'Country Summary'!$B34,'Data Sheet Actuals'!$A:$A,'Country Summary'!T$4)</f>
        <v>7761.51</v>
      </c>
      <c r="U34" s="33">
        <f t="shared" ref="U34" si="88">IFERROR(T34/T$14,"")</f>
        <v>9.058587387390753E-3</v>
      </c>
      <c r="V34" s="31">
        <f>SUMIFS('Data Sheet Actuals'!$D:$D,'Data Sheet Actuals'!$C:$C,'Country Summary'!$B34,'Data Sheet Actuals'!$A:$A,'Country Summary'!V$4)</f>
        <v>6249.2300000000005</v>
      </c>
      <c r="W34" s="33">
        <f t="shared" ref="W34" si="89">IFERROR(V34/V$14,"")</f>
        <v>7.1990882918920229E-3</v>
      </c>
      <c r="X34" s="31">
        <f>SUMIFS('Data Sheet Actuals'!$D:$D,'Data Sheet Actuals'!$C:$C,'Country Summary'!$B34,'Data Sheet Actuals'!$A:$A,'Country Summary'!X$4)</f>
        <v>6737.6100000000006</v>
      </c>
      <c r="Y34" s="33">
        <f t="shared" ref="Y34" si="90">IFERROR(X34/X$14,"")</f>
        <v>7.8761381389067173E-3</v>
      </c>
      <c r="Z34" s="31">
        <f>SUMIFS('Data Sheet Actuals'!$D:$D,'Data Sheet Actuals'!$C:$C,'Country Summary'!$B34,'Data Sheet Actuals'!$A:$A,'Country Summary'!Z$4)</f>
        <v>6772.88</v>
      </c>
      <c r="AA34" s="33">
        <f t="shared" ref="AA34" si="91">IFERROR(Z34/Z$14,"")</f>
        <v>7.3685283241161992E-3</v>
      </c>
      <c r="AB34" s="31">
        <f t="shared" si="58"/>
        <v>89090.11</v>
      </c>
      <c r="AC34" s="33">
        <f t="shared" ref="AC34" si="92">IFERROR(AB34/AB$14,"")</f>
        <v>8.26228324143693E-3</v>
      </c>
    </row>
    <row r="35" spans="2:29">
      <c r="B35" s="45"/>
      <c r="C35" s="54"/>
      <c r="D35" s="48" t="s">
        <v>42</v>
      </c>
      <c r="E35" s="36" t="s">
        <v>42</v>
      </c>
      <c r="F35" s="35" t="s">
        <v>42</v>
      </c>
      <c r="G35" s="36" t="s">
        <v>42</v>
      </c>
      <c r="H35" s="35" t="s">
        <v>42</v>
      </c>
      <c r="I35" s="36" t="s">
        <v>42</v>
      </c>
      <c r="J35" s="35" t="s">
        <v>42</v>
      </c>
      <c r="K35" s="36" t="s">
        <v>42</v>
      </c>
      <c r="L35" s="35" t="s">
        <v>42</v>
      </c>
      <c r="M35" s="36" t="s">
        <v>42</v>
      </c>
      <c r="N35" s="35" t="s">
        <v>42</v>
      </c>
      <c r="O35" s="36" t="s">
        <v>42</v>
      </c>
      <c r="P35" s="35" t="s">
        <v>42</v>
      </c>
      <c r="Q35" s="36" t="s">
        <v>42</v>
      </c>
      <c r="R35" s="35" t="s">
        <v>42</v>
      </c>
      <c r="S35" s="36" t="s">
        <v>42</v>
      </c>
      <c r="T35" s="35" t="s">
        <v>42</v>
      </c>
      <c r="U35" s="36" t="s">
        <v>42</v>
      </c>
      <c r="V35" s="35" t="s">
        <v>42</v>
      </c>
      <c r="W35" s="36" t="s">
        <v>42</v>
      </c>
      <c r="X35" s="35" t="s">
        <v>42</v>
      </c>
      <c r="Y35" s="36" t="s">
        <v>42</v>
      </c>
      <c r="Z35" s="35" t="s">
        <v>42</v>
      </c>
      <c r="AA35" s="36" t="s">
        <v>42</v>
      </c>
      <c r="AB35" s="35" t="s">
        <v>42</v>
      </c>
      <c r="AC35" s="36" t="s">
        <v>42</v>
      </c>
    </row>
    <row r="36" spans="2:29">
      <c r="B36" s="45"/>
      <c r="C36" s="57" t="s">
        <v>115</v>
      </c>
      <c r="D36" s="64">
        <f>SUM(D30:D35)</f>
        <v>207873.27</v>
      </c>
      <c r="E36" s="65">
        <f>IFERROR(D36/D$14,"")</f>
        <v>0.23107757391239592</v>
      </c>
      <c r="F36" s="64">
        <f>SUM(F30:F35)</f>
        <v>215823.82999999996</v>
      </c>
      <c r="G36" s="65">
        <f>IFERROR(F36/F$14,"")</f>
        <v>0.22542963941674352</v>
      </c>
      <c r="H36" s="64">
        <f>SUM(H30:H35)</f>
        <v>183533.34000000003</v>
      </c>
      <c r="I36" s="65">
        <f>IFERROR(H36/H$14,"")</f>
        <v>0.21420481309560885</v>
      </c>
      <c r="J36" s="64">
        <f>SUM(J30:J35)</f>
        <v>194177.05</v>
      </c>
      <c r="K36" s="65">
        <f>IFERROR(J36/J$14,"")</f>
        <v>0.22369119510869848</v>
      </c>
      <c r="L36" s="64">
        <f>SUM(L30:L35)</f>
        <v>182330.2</v>
      </c>
      <c r="M36" s="65">
        <f>IFERROR(L36/L$14,"")</f>
        <v>0.21314054124451987</v>
      </c>
      <c r="N36" s="64">
        <f>SUM(N30:N35)</f>
        <v>230955.92999999996</v>
      </c>
      <c r="O36" s="65">
        <f>IFERROR(N36/N$14,"")</f>
        <v>0.23352280095192343</v>
      </c>
      <c r="P36" s="64">
        <f>SUM(P30:P35)</f>
        <v>214332.99</v>
      </c>
      <c r="Q36" s="65">
        <f>IFERROR(P36/P$14,"")</f>
        <v>0.23825837414589096</v>
      </c>
      <c r="R36" s="64">
        <f>SUM(R30:R35)</f>
        <v>217344.71</v>
      </c>
      <c r="S36" s="65">
        <f>IFERROR(R36/R$14,"")</f>
        <v>0.22701821019688465</v>
      </c>
      <c r="T36" s="64">
        <f>SUM(T30:T35)</f>
        <v>190759.39999999997</v>
      </c>
      <c r="U36" s="65">
        <f>IFERROR(T36/T$14,"")</f>
        <v>0.22263846788398486</v>
      </c>
      <c r="V36" s="64">
        <f>SUM(V30:V35)</f>
        <v>193341.07</v>
      </c>
      <c r="W36" s="65">
        <f>IFERROR(V36/V$14,"")</f>
        <v>0.22272814944863223</v>
      </c>
      <c r="X36" s="64">
        <f>SUM(X30:X35)</f>
        <v>191423.37</v>
      </c>
      <c r="Y36" s="65">
        <f>IFERROR(X36/X$14,"")</f>
        <v>0.22377028428998588</v>
      </c>
      <c r="Z36" s="64">
        <f>SUM(Z30:Z35)</f>
        <v>193875.24</v>
      </c>
      <c r="AA36" s="65">
        <f>IFERROR(Z36/Z$14,"")</f>
        <v>0.21092580959426799</v>
      </c>
      <c r="AB36" s="64">
        <f>SUM(AB30:AB35)</f>
        <v>2415770.4</v>
      </c>
      <c r="AC36" s="65">
        <f>IFERROR(AB36/AB$14,"")</f>
        <v>0.22404034848626173</v>
      </c>
    </row>
    <row r="37" spans="2:29">
      <c r="B37" s="45"/>
      <c r="C37" s="54"/>
      <c r="D37" s="48" t="s">
        <v>42</v>
      </c>
      <c r="E37" s="36" t="s">
        <v>42</v>
      </c>
      <c r="F37" s="35" t="s">
        <v>42</v>
      </c>
      <c r="G37" s="36" t="s">
        <v>42</v>
      </c>
      <c r="H37" s="35" t="s">
        <v>42</v>
      </c>
      <c r="I37" s="36" t="s">
        <v>42</v>
      </c>
      <c r="J37" s="35" t="s">
        <v>42</v>
      </c>
      <c r="K37" s="36" t="s">
        <v>42</v>
      </c>
      <c r="L37" s="35" t="s">
        <v>42</v>
      </c>
      <c r="M37" s="36" t="s">
        <v>42</v>
      </c>
      <c r="N37" s="35" t="s">
        <v>42</v>
      </c>
      <c r="O37" s="36" t="s">
        <v>42</v>
      </c>
      <c r="P37" s="35" t="s">
        <v>42</v>
      </c>
      <c r="Q37" s="36" t="s">
        <v>42</v>
      </c>
      <c r="R37" s="35" t="s">
        <v>42</v>
      </c>
      <c r="S37" s="36" t="s">
        <v>42</v>
      </c>
      <c r="T37" s="35" t="s">
        <v>42</v>
      </c>
      <c r="U37" s="36" t="s">
        <v>42</v>
      </c>
      <c r="V37" s="35" t="s">
        <v>42</v>
      </c>
      <c r="W37" s="36" t="s">
        <v>42</v>
      </c>
      <c r="X37" s="35" t="s">
        <v>42</v>
      </c>
      <c r="Y37" s="36" t="s">
        <v>42</v>
      </c>
      <c r="Z37" s="35" t="s">
        <v>42</v>
      </c>
      <c r="AA37" s="36" t="s">
        <v>42</v>
      </c>
      <c r="AB37" s="35" t="s">
        <v>42</v>
      </c>
      <c r="AC37" s="36" t="s">
        <v>42</v>
      </c>
    </row>
    <row r="38" spans="2:29">
      <c r="B38" s="45"/>
      <c r="C38" s="54"/>
      <c r="D38" s="47"/>
      <c r="E38" s="32"/>
      <c r="F38" s="31"/>
      <c r="G38" s="32"/>
      <c r="H38" s="31"/>
      <c r="I38" s="32"/>
      <c r="J38" s="31"/>
      <c r="K38" s="32"/>
      <c r="L38" s="31"/>
      <c r="M38" s="32"/>
      <c r="N38" s="31"/>
      <c r="O38" s="32"/>
      <c r="P38" s="31"/>
      <c r="Q38" s="32"/>
      <c r="R38" s="31"/>
      <c r="S38" s="32"/>
      <c r="T38" s="31"/>
      <c r="U38" s="32"/>
      <c r="V38" s="31"/>
      <c r="W38" s="32"/>
      <c r="X38" s="31"/>
      <c r="Y38" s="32"/>
      <c r="Z38" s="31"/>
      <c r="AA38" s="32"/>
      <c r="AB38" s="31"/>
      <c r="AC38" s="32"/>
    </row>
    <row r="39" spans="2:29">
      <c r="B39" s="45" t="e">
        <v>#N/A</v>
      </c>
      <c r="C39" s="57" t="s">
        <v>116</v>
      </c>
      <c r="D39" s="47"/>
      <c r="E39" s="32"/>
      <c r="F39" s="31"/>
      <c r="G39" s="32"/>
      <c r="H39" s="31"/>
      <c r="I39" s="32"/>
      <c r="J39" s="31"/>
      <c r="K39" s="32"/>
      <c r="L39" s="31"/>
      <c r="M39" s="32"/>
      <c r="N39" s="31"/>
      <c r="O39" s="32"/>
      <c r="P39" s="31"/>
      <c r="Q39" s="32"/>
      <c r="R39" s="31"/>
      <c r="S39" s="32"/>
      <c r="T39" s="31"/>
      <c r="U39" s="32"/>
      <c r="V39" s="31"/>
      <c r="W39" s="32"/>
      <c r="X39" s="31"/>
      <c r="Y39" s="32"/>
      <c r="Z39" s="31"/>
      <c r="AA39" s="32"/>
      <c r="AB39" s="31"/>
      <c r="AC39" s="32"/>
    </row>
    <row r="40" spans="2:29">
      <c r="B40" s="45">
        <v>4010</v>
      </c>
      <c r="C40" s="55" t="s">
        <v>117</v>
      </c>
      <c r="D40" s="47">
        <f>SUMIFS('Data Sheet Actuals'!$D:$D,'Data Sheet Actuals'!$C:$C,'Country Summary'!$B40,'Data Sheet Actuals'!$A:$A,'Country Summary'!D$4)</f>
        <v>86900</v>
      </c>
      <c r="E40" s="33">
        <f t="shared" ref="E40:E52" si="93">IFERROR(D40/D$14,"")</f>
        <v>9.6600400681565293E-2</v>
      </c>
      <c r="F40" s="31">
        <f>SUMIFS('Data Sheet Actuals'!$D:$D,'Data Sheet Actuals'!$C:$C,'Country Summary'!$B40,'Data Sheet Actuals'!$A:$A,'Country Summary'!F$4)</f>
        <v>86900</v>
      </c>
      <c r="G40" s="33">
        <f t="shared" ref="G40" si="94">IFERROR(F40/F$14,"")</f>
        <v>9.0767713951304702E-2</v>
      </c>
      <c r="H40" s="31">
        <f>SUMIFS('Data Sheet Actuals'!$D:$D,'Data Sheet Actuals'!$C:$C,'Country Summary'!$B40,'Data Sheet Actuals'!$A:$A,'Country Summary'!H$4)</f>
        <v>86900</v>
      </c>
      <c r="I40" s="33">
        <f t="shared" ref="I40" si="95">IFERROR(H40/H$14,"")</f>
        <v>0.10142243506279788</v>
      </c>
      <c r="J40" s="31">
        <f>SUMIFS('Data Sheet Actuals'!$D:$D,'Data Sheet Actuals'!$C:$C,'Country Summary'!$B40,'Data Sheet Actuals'!$A:$A,'Country Summary'!J$4)</f>
        <v>86900</v>
      </c>
      <c r="K40" s="33">
        <f t="shared" ref="K40" si="96">IFERROR(J40/J$14,"")</f>
        <v>0.10010845697236567</v>
      </c>
      <c r="L40" s="31">
        <f>SUMIFS('Data Sheet Actuals'!$D:$D,'Data Sheet Actuals'!$C:$C,'Country Summary'!$B40,'Data Sheet Actuals'!$A:$A,'Country Summary'!L$4)</f>
        <v>86900</v>
      </c>
      <c r="M40" s="33">
        <f t="shared" ref="M40" si="97">IFERROR(L40/L$14,"")</f>
        <v>0.10158444971896469</v>
      </c>
      <c r="N40" s="31">
        <f>SUMIFS('Data Sheet Actuals'!$D:$D,'Data Sheet Actuals'!$C:$C,'Country Summary'!$B40,'Data Sheet Actuals'!$A:$A,'Country Summary'!N$4)</f>
        <v>86900</v>
      </c>
      <c r="O40" s="33">
        <f t="shared" ref="O40" si="98">IFERROR(N40/N$14,"")</f>
        <v>8.7865816663474053E-2</v>
      </c>
      <c r="P40" s="31">
        <f>SUMIFS('Data Sheet Actuals'!$D:$D,'Data Sheet Actuals'!$C:$C,'Country Summary'!$B40,'Data Sheet Actuals'!$A:$A,'Country Summary'!P$4)</f>
        <v>86900</v>
      </c>
      <c r="Q40" s="33">
        <f t="shared" ref="Q40" si="99">IFERROR(P40/P$14,"")</f>
        <v>9.6600400681565293E-2</v>
      </c>
      <c r="R40" s="31">
        <f>SUMIFS('Data Sheet Actuals'!$D:$D,'Data Sheet Actuals'!$C:$C,'Country Summary'!$B40,'Data Sheet Actuals'!$A:$A,'Country Summary'!R$4)</f>
        <v>86900</v>
      </c>
      <c r="S40" s="33">
        <f t="shared" ref="S40" si="100">IFERROR(R40/R$14,"")</f>
        <v>9.0767713951304702E-2</v>
      </c>
      <c r="T40" s="31">
        <f>SUMIFS('Data Sheet Actuals'!$D:$D,'Data Sheet Actuals'!$C:$C,'Country Summary'!$B40,'Data Sheet Actuals'!$A:$A,'Country Summary'!T$4)</f>
        <v>86900</v>
      </c>
      <c r="U40" s="33">
        <f t="shared" ref="U40" si="101">IFERROR(T40/T$14,"")</f>
        <v>0.10142243506279788</v>
      </c>
      <c r="V40" s="31">
        <f>SUMIFS('Data Sheet Actuals'!$D:$D,'Data Sheet Actuals'!$C:$C,'Country Summary'!$B40,'Data Sheet Actuals'!$A:$A,'Country Summary'!V$4)</f>
        <v>86900</v>
      </c>
      <c r="W40" s="33">
        <f t="shared" ref="W40" si="102">IFERROR(V40/V$14,"")</f>
        <v>0.10010845697236567</v>
      </c>
      <c r="X40" s="31">
        <f>SUMIFS('Data Sheet Actuals'!$D:$D,'Data Sheet Actuals'!$C:$C,'Country Summary'!$B40,'Data Sheet Actuals'!$A:$A,'Country Summary'!X$4)</f>
        <v>86900</v>
      </c>
      <c r="Y40" s="33">
        <f t="shared" ref="Y40" si="103">IFERROR(X40/X$14,"")</f>
        <v>0.10158444971896469</v>
      </c>
      <c r="Z40" s="31">
        <f>SUMIFS('Data Sheet Actuals'!$D:$D,'Data Sheet Actuals'!$C:$C,'Country Summary'!$B40,'Data Sheet Actuals'!$A:$A,'Country Summary'!Z$4)</f>
        <v>86900</v>
      </c>
      <c r="AA40" s="33">
        <f t="shared" ref="AA40" si="104">IFERROR(Z40/Z$14,"")</f>
        <v>9.4542515350293774E-2</v>
      </c>
      <c r="AB40" s="31">
        <f t="shared" ref="AB40:AB52" si="105">SUM(D40,F40,H40,J40,L40,N40,P40,R40,T40,V40,X40,Z40)</f>
        <v>1042800</v>
      </c>
      <c r="AC40" s="33">
        <f t="shared" ref="AC40" si="106">IFERROR(AB40/AB$14,"")</f>
        <v>9.6710049680827997E-2</v>
      </c>
    </row>
    <row r="41" spans="2:29">
      <c r="B41" s="45">
        <v>4011</v>
      </c>
      <c r="C41" s="55" t="s">
        <v>120</v>
      </c>
      <c r="D41" s="51">
        <f>SUMIFS('Data Sheet Actuals'!$D:$D,'Data Sheet Actuals'!$C:$C,'Country Summary'!$B41,'Data Sheet Actuals'!$A:$A,'Country Summary'!D$4)</f>
        <v>5529.05</v>
      </c>
      <c r="E41" s="33">
        <f t="shared" si="93"/>
        <v>6.1462421793832978E-3</v>
      </c>
      <c r="F41" s="39">
        <f>SUMIFS('Data Sheet Actuals'!$D:$D,'Data Sheet Actuals'!$C:$C,'Country Summary'!$B41,'Data Sheet Actuals'!$A:$A,'Country Summary'!F$4)</f>
        <v>5183.4599999999991</v>
      </c>
      <c r="G41" s="33">
        <f t="shared" ref="G41" si="107">IFERROR(F41/F$14,"")</f>
        <v>5.4141635737402745E-3</v>
      </c>
      <c r="H41" s="39">
        <f>SUMIFS('Data Sheet Actuals'!$D:$D,'Data Sheet Actuals'!$C:$C,'Country Summary'!$B41,'Data Sheet Actuals'!$A:$A,'Country Summary'!H$4)</f>
        <v>6116.68</v>
      </c>
      <c r="I41" s="33">
        <f t="shared" ref="I41" si="108">IFERROR(H41/H$14,"")</f>
        <v>7.1388789424616178E-3</v>
      </c>
      <c r="J41" s="39">
        <f>SUMIFS('Data Sheet Actuals'!$D:$D,'Data Sheet Actuals'!$C:$C,'Country Summary'!$B41,'Data Sheet Actuals'!$A:$A,'Country Summary'!J$4)</f>
        <v>5780.2000000000007</v>
      </c>
      <c r="K41" s="33">
        <f t="shared" ref="K41" si="109">IFERROR(J41/J$14,"")</f>
        <v>6.6587675833333507E-3</v>
      </c>
      <c r="L41" s="39">
        <f>SUMIFS('Data Sheet Actuals'!$D:$D,'Data Sheet Actuals'!$C:$C,'Country Summary'!$B41,'Data Sheet Actuals'!$A:$A,'Country Summary'!L$4)</f>
        <v>5230.5600000000004</v>
      </c>
      <c r="M41" s="33">
        <f t="shared" ref="M41" si="110">IFERROR(L41/L$14,"")</f>
        <v>6.1144253086539467E-3</v>
      </c>
      <c r="N41" s="39">
        <f>SUMIFS('Data Sheet Actuals'!$D:$D,'Data Sheet Actuals'!$C:$C,'Country Summary'!$B41,'Data Sheet Actuals'!$A:$A,'Country Summary'!N$4)</f>
        <v>5206.6900000000005</v>
      </c>
      <c r="O41" s="33">
        <f t="shared" ref="O41" si="111">IFERROR(N41/N$14,"")</f>
        <v>5.2645577556219075E-3</v>
      </c>
      <c r="P41" s="39">
        <f>SUMIFS('Data Sheet Actuals'!$D:$D,'Data Sheet Actuals'!$C:$C,'Country Summary'!$B41,'Data Sheet Actuals'!$A:$A,'Country Summary'!P$4)</f>
        <v>5142.0300000000007</v>
      </c>
      <c r="Q41" s="33">
        <f t="shared" ref="Q41" si="112">IFERROR(P41/P$14,"")</f>
        <v>5.7160202337932014E-3</v>
      </c>
      <c r="R41" s="39">
        <f>SUMIFS('Data Sheet Actuals'!$D:$D,'Data Sheet Actuals'!$C:$C,'Country Summary'!$B41,'Data Sheet Actuals'!$A:$A,'Country Summary'!R$4)</f>
        <v>5175.17</v>
      </c>
      <c r="S41" s="33">
        <f t="shared" ref="S41" si="113">IFERROR(R41/R$14,"")</f>
        <v>5.4055046054013074E-3</v>
      </c>
      <c r="T41" s="39">
        <f>SUMIFS('Data Sheet Actuals'!$D:$D,'Data Sheet Actuals'!$C:$C,'Country Summary'!$B41,'Data Sheet Actuals'!$A:$A,'Country Summary'!T$4)</f>
        <v>4703.17</v>
      </c>
      <c r="U41" s="33">
        <f t="shared" ref="U41" si="114">IFERROR(T41/T$14,"")</f>
        <v>5.4891479161599446E-3</v>
      </c>
      <c r="V41" s="39">
        <f>SUMIFS('Data Sheet Actuals'!$D:$D,'Data Sheet Actuals'!$C:$C,'Country Summary'!$B41,'Data Sheet Actuals'!$A:$A,'Country Summary'!V$4)</f>
        <v>4716.8900000000003</v>
      </c>
      <c r="W41" s="33">
        <f t="shared" ref="W41" si="115">IFERROR(V41/V$14,"")</f>
        <v>5.4338386606257996E-3</v>
      </c>
      <c r="X41" s="39">
        <f>SUMIFS('Data Sheet Actuals'!$D:$D,'Data Sheet Actuals'!$C:$C,'Country Summary'!$B41,'Data Sheet Actuals'!$A:$A,'Country Summary'!X$4)</f>
        <v>4881.3099999999995</v>
      </c>
      <c r="Y41" s="33">
        <f t="shared" ref="Y41" si="116">IFERROR(X41/X$14,"")</f>
        <v>5.7061586911125372E-3</v>
      </c>
      <c r="Z41" s="39">
        <f>SUMIFS('Data Sheet Actuals'!$D:$D,'Data Sheet Actuals'!$C:$C,'Country Summary'!$B41,'Data Sheet Actuals'!$A:$A,'Country Summary'!Z$4)</f>
        <v>5316.7300000000005</v>
      </c>
      <c r="AA41" s="33">
        <f t="shared" ref="AA41" si="117">IFERROR(Z41/Z$14,"")</f>
        <v>5.7843156229961737E-3</v>
      </c>
      <c r="AB41" s="31">
        <f t="shared" si="105"/>
        <v>62981.939999999995</v>
      </c>
      <c r="AC41" s="33">
        <f t="shared" ref="AC41" si="118">IFERROR(AB41/AB$14,"")</f>
        <v>5.8409920851504871E-3</v>
      </c>
    </row>
    <row r="42" spans="2:29">
      <c r="B42" s="45">
        <v>4012</v>
      </c>
      <c r="C42" s="55" t="s">
        <v>118</v>
      </c>
      <c r="D42" s="51">
        <f>SUMIFS('Data Sheet Actuals'!$D:$D,'Data Sheet Actuals'!$C:$C,'Country Summary'!$B42,'Data Sheet Actuals'!$A:$A,'Country Summary'!D$4)</f>
        <v>1083.68</v>
      </c>
      <c r="E42" s="33">
        <f t="shared" si="93"/>
        <v>1.2046481267042426E-3</v>
      </c>
      <c r="F42" s="39">
        <f>SUMIFS('Data Sheet Actuals'!$D:$D,'Data Sheet Actuals'!$C:$C,'Country Summary'!$B42,'Data Sheet Actuals'!$A:$A,'Country Summary'!F$4)</f>
        <v>1016.39</v>
      </c>
      <c r="G42" s="33">
        <f t="shared" ref="G42" si="119">IFERROR(F42/F$14,"")</f>
        <v>1.0616271206325269E-3</v>
      </c>
      <c r="H42" s="39">
        <f>SUMIFS('Data Sheet Actuals'!$D:$D,'Data Sheet Actuals'!$C:$C,'Country Summary'!$B42,'Data Sheet Actuals'!$A:$A,'Country Summary'!H$4)</f>
        <v>1198.6099999999999</v>
      </c>
      <c r="I42" s="33">
        <f t="shared" ref="I42" si="120">IFERROR(H42/H$14,"")</f>
        <v>1.3989176627229019E-3</v>
      </c>
      <c r="J42" s="39">
        <f>SUMIFS('Data Sheet Actuals'!$D:$D,'Data Sheet Actuals'!$C:$C,'Country Summary'!$B42,'Data Sheet Actuals'!$A:$A,'Country Summary'!J$4)</f>
        <v>1132.7000000000003</v>
      </c>
      <c r="K42" s="33">
        <f t="shared" ref="K42" si="121">IFERROR(J42/J$14,"")</f>
        <v>1.3048659287986032E-3</v>
      </c>
      <c r="L42" s="39">
        <f>SUMIFS('Data Sheet Actuals'!$D:$D,'Data Sheet Actuals'!$C:$C,'Country Summary'!$B42,'Data Sheet Actuals'!$A:$A,'Country Summary'!L$4)</f>
        <v>1024.44</v>
      </c>
      <c r="M42" s="33">
        <f t="shared" ref="M42" si="122">IFERROR(L42/L$14,"")</f>
        <v>1.1975509052945476E-3</v>
      </c>
      <c r="N42" s="39">
        <f>SUMIFS('Data Sheet Actuals'!$D:$D,'Data Sheet Actuals'!$C:$C,'Country Summary'!$B42,'Data Sheet Actuals'!$A:$A,'Country Summary'!N$4)</f>
        <v>1020.4999999999999</v>
      </c>
      <c r="O42" s="33">
        <f t="shared" ref="O42" si="123">IFERROR(N42/N$14,"")</f>
        <v>1.0318419551792321E-3</v>
      </c>
      <c r="P42" s="39">
        <f>SUMIFS('Data Sheet Actuals'!$D:$D,'Data Sheet Actuals'!$C:$C,'Country Summary'!$B42,'Data Sheet Actuals'!$A:$A,'Country Summary'!P$4)</f>
        <v>1007.29</v>
      </c>
      <c r="Q42" s="33">
        <f t="shared" ref="Q42" si="124">IFERROR(P42/P$14,"")</f>
        <v>1.1197309275320355E-3</v>
      </c>
      <c r="R42" s="39">
        <f>SUMIFS('Data Sheet Actuals'!$D:$D,'Data Sheet Actuals'!$C:$C,'Country Summary'!$B42,'Data Sheet Actuals'!$A:$A,'Country Summary'!R$4)</f>
        <v>1014.0099999999998</v>
      </c>
      <c r="S42" s="33">
        <f t="shared" ref="S42" si="125">IFERROR(R42/R$14,"")</f>
        <v>1.0591411924483598E-3</v>
      </c>
      <c r="T42" s="39">
        <f>SUMIFS('Data Sheet Actuals'!$D:$D,'Data Sheet Actuals'!$C:$C,'Country Summary'!$B42,'Data Sheet Actuals'!$A:$A,'Country Summary'!T$4)</f>
        <v>922.00999999999988</v>
      </c>
      <c r="U42" s="33">
        <f t="shared" ref="U42" si="126">IFERROR(T42/T$14,"")</f>
        <v>1.0760932031329145E-3</v>
      </c>
      <c r="V42" s="39">
        <f>SUMIFS('Data Sheet Actuals'!$D:$D,'Data Sheet Actuals'!$C:$C,'Country Summary'!$B42,'Data Sheet Actuals'!$A:$A,'Country Summary'!V$4)</f>
        <v>925.44999999999993</v>
      </c>
      <c r="W42" s="33">
        <f t="shared" ref="W42" si="127">IFERROR(V42/V$14,"")</f>
        <v>1.0661147468938527E-3</v>
      </c>
      <c r="X42" s="39">
        <f>SUMIFS('Data Sheet Actuals'!$D:$D,'Data Sheet Actuals'!$C:$C,'Country Summary'!$B42,'Data Sheet Actuals'!$A:$A,'Country Summary'!X$4)</f>
        <v>957.76</v>
      </c>
      <c r="Y42" s="33">
        <f t="shared" ref="Y42" si="128">IFERROR(X42/X$14,"")</f>
        <v>1.1196032515861406E-3</v>
      </c>
      <c r="Z42" s="39">
        <f>SUMIFS('Data Sheet Actuals'!$D:$D,'Data Sheet Actuals'!$C:$C,'Country Summary'!$B42,'Data Sheet Actuals'!$A:$A,'Country Summary'!Z$4)</f>
        <v>1041.78</v>
      </c>
      <c r="AA42" s="33">
        <f t="shared" ref="AA42" si="129">IFERROR(Z42/Z$14,"")</f>
        <v>1.1334004791902076E-3</v>
      </c>
      <c r="AB42" s="31">
        <f t="shared" si="105"/>
        <v>12344.620000000003</v>
      </c>
      <c r="AC42" s="33">
        <f t="shared" ref="AC42" si="130">IFERROR(AB42/AB$14,"")</f>
        <v>1.1448492649510386E-3</v>
      </c>
    </row>
    <row r="43" spans="2:29">
      <c r="B43" s="45">
        <v>4013</v>
      </c>
      <c r="C43" s="55" t="s">
        <v>119</v>
      </c>
      <c r="D43" s="49">
        <f>SUMIFS('Data Sheet Actuals'!$D:$D,'Data Sheet Actuals'!$C:$C,'Country Summary'!$B43,'Data Sheet Actuals'!$A:$A,'Country Summary'!D$4)</f>
        <v>9410.1200000000008</v>
      </c>
      <c r="E43" s="33">
        <f t="shared" si="93"/>
        <v>1.0460545022573202E-2</v>
      </c>
      <c r="F43" s="37">
        <f>SUMIFS('Data Sheet Actuals'!$D:$D,'Data Sheet Actuals'!$C:$C,'Country Summary'!$B43,'Data Sheet Actuals'!$A:$A,'Country Summary'!F$4)</f>
        <v>8724.0299999999988</v>
      </c>
      <c r="G43" s="33">
        <f t="shared" ref="G43" si="131">IFERROR(F43/F$14,"")</f>
        <v>9.1123159901334953E-3</v>
      </c>
      <c r="H43" s="37">
        <f>SUMIFS('Data Sheet Actuals'!$D:$D,'Data Sheet Actuals'!$C:$C,'Country Summary'!$B43,'Data Sheet Actuals'!$A:$A,'Country Summary'!H$4)</f>
        <v>10095.789999999999</v>
      </c>
      <c r="I43" s="33">
        <f t="shared" ref="I43" si="132">IFERROR(H43/H$14,"")</f>
        <v>1.1782964392205341E-2</v>
      </c>
      <c r="J43" s="37">
        <f>SUMIFS('Data Sheet Actuals'!$D:$D,'Data Sheet Actuals'!$C:$C,'Country Summary'!$B43,'Data Sheet Actuals'!$A:$A,'Country Summary'!J$4)</f>
        <v>9679.5999999999985</v>
      </c>
      <c r="K43" s="33">
        <f t="shared" ref="K43" si="133">IFERROR(J43/J$14,"")</f>
        <v>1.1150860990905761E-2</v>
      </c>
      <c r="L43" s="37">
        <f>SUMIFS('Data Sheet Actuals'!$D:$D,'Data Sheet Actuals'!$C:$C,'Country Summary'!$B43,'Data Sheet Actuals'!$A:$A,'Country Summary'!L$4)</f>
        <v>8832.6700000000019</v>
      </c>
      <c r="M43" s="33">
        <f t="shared" ref="M43" si="134">IFERROR(L43/L$14,"")</f>
        <v>1.0325223492511025E-2</v>
      </c>
      <c r="N43" s="37">
        <f>SUMIFS('Data Sheet Actuals'!$D:$D,'Data Sheet Actuals'!$C:$C,'Country Summary'!$B43,'Data Sheet Actuals'!$A:$A,'Country Summary'!N$4)</f>
        <v>8767.77</v>
      </c>
      <c r="O43" s="33">
        <f t="shared" ref="O43" si="135">IFERROR(N43/N$14,"")</f>
        <v>8.8652160111335788E-3</v>
      </c>
      <c r="P43" s="37">
        <f>SUMIFS('Data Sheet Actuals'!$D:$D,'Data Sheet Actuals'!$C:$C,'Country Summary'!$B43,'Data Sheet Actuals'!$A:$A,'Country Summary'!P$4)</f>
        <v>8750.119999999999</v>
      </c>
      <c r="Q43" s="33">
        <f t="shared" ref="Q43" si="136">IFERROR(P43/P$14,"")</f>
        <v>9.7268710933461223E-3</v>
      </c>
      <c r="R43" s="37">
        <f>SUMIFS('Data Sheet Actuals'!$D:$D,'Data Sheet Actuals'!$C:$C,'Country Summary'!$B43,'Data Sheet Actuals'!$A:$A,'Country Summary'!R$4)</f>
        <v>8758.15</v>
      </c>
      <c r="S43" s="33">
        <f t="shared" ref="S43" si="137">IFERROR(R43/R$14,"")</f>
        <v>9.1479545908241568E-3</v>
      </c>
      <c r="T43" s="37">
        <f>SUMIFS('Data Sheet Actuals'!$D:$D,'Data Sheet Actuals'!$C:$C,'Country Summary'!$B43,'Data Sheet Actuals'!$A:$A,'Country Summary'!T$4)</f>
        <v>8061.6999999999989</v>
      </c>
      <c r="U43" s="33">
        <f t="shared" ref="U43" si="138">IFERROR(T43/T$14,"")</f>
        <v>9.4089441282595807E-3</v>
      </c>
      <c r="V43" s="37">
        <f>SUMIFS('Data Sheet Actuals'!$D:$D,'Data Sheet Actuals'!$C:$C,'Country Summary'!$B43,'Data Sheet Actuals'!$A:$A,'Country Summary'!V$4)</f>
        <v>8167.18</v>
      </c>
      <c r="W43" s="33">
        <f t="shared" ref="W43" si="139">IFERROR(V43/V$14,"")</f>
        <v>9.4085591210076591E-3</v>
      </c>
      <c r="X43" s="37">
        <f>SUMIFS('Data Sheet Actuals'!$D:$D,'Data Sheet Actuals'!$C:$C,'Country Summary'!$B43,'Data Sheet Actuals'!$A:$A,'Country Summary'!X$4)</f>
        <v>8377.5099999999984</v>
      </c>
      <c r="Y43" s="33">
        <f t="shared" ref="Y43" si="140">IFERROR(X43/X$14,"")</f>
        <v>9.7931500962614923E-3</v>
      </c>
      <c r="Z43" s="37">
        <f>SUMIFS('Data Sheet Actuals'!$D:$D,'Data Sheet Actuals'!$C:$C,'Country Summary'!$B43,'Data Sheet Actuals'!$A:$A,'Country Summary'!Z$4)</f>
        <v>9035.5200000000023</v>
      </c>
      <c r="AA43" s="33">
        <f t="shared" ref="AA43" si="141">IFERROR(Z43/Z$14,"")</f>
        <v>9.8301586685602613E-3</v>
      </c>
      <c r="AB43" s="31">
        <f t="shared" si="105"/>
        <v>106660.16</v>
      </c>
      <c r="AC43" s="33">
        <f t="shared" ref="AC43" si="142">IFERROR(AB43/AB$14,"")</f>
        <v>9.8917427815161715E-3</v>
      </c>
    </row>
    <row r="44" spans="2:29">
      <c r="B44" s="45">
        <v>4014</v>
      </c>
      <c r="C44" s="55" t="s">
        <v>121</v>
      </c>
      <c r="D44" s="47">
        <f>SUMIFS('Data Sheet Actuals'!$D:$D,'Data Sheet Actuals'!$C:$C,'Country Summary'!$B44,'Data Sheet Actuals'!$A:$A,'Country Summary'!D$4)</f>
        <v>1551.5</v>
      </c>
      <c r="E44" s="33">
        <f t="shared" si="93"/>
        <v>1.7246895472663815E-3</v>
      </c>
      <c r="F44" s="31">
        <f>SUMIFS('Data Sheet Actuals'!$D:$D,'Data Sheet Actuals'!$C:$C,'Country Summary'!$B44,'Data Sheet Actuals'!$A:$A,'Country Summary'!F$4)</f>
        <v>1439.5</v>
      </c>
      <c r="G44" s="33">
        <f t="shared" ref="G44" si="143">IFERROR(F44/F$14,"")</f>
        <v>1.5035687483648231E-3</v>
      </c>
      <c r="H44" s="31">
        <f>SUMIFS('Data Sheet Actuals'!$D:$D,'Data Sheet Actuals'!$C:$C,'Country Summary'!$B44,'Data Sheet Actuals'!$A:$A,'Country Summary'!H$4)</f>
        <v>1666</v>
      </c>
      <c r="I44" s="33">
        <f t="shared" ref="I44" si="144">IFERROR(H44/H$14,"")</f>
        <v>1.9444163039657224E-3</v>
      </c>
      <c r="J44" s="31">
        <f>SUMIFS('Data Sheet Actuals'!$D:$D,'Data Sheet Actuals'!$C:$C,'Country Summary'!$B44,'Data Sheet Actuals'!$A:$A,'Country Summary'!J$4)</f>
        <v>1597</v>
      </c>
      <c r="K44" s="33">
        <f t="shared" ref="K44" si="145">IFERROR(J44/J$14,"")</f>
        <v>1.8397376960284002E-3</v>
      </c>
      <c r="L44" s="31">
        <f>SUMIFS('Data Sheet Actuals'!$D:$D,'Data Sheet Actuals'!$C:$C,'Country Summary'!$B44,'Data Sheet Actuals'!$A:$A,'Country Summary'!L$4)</f>
        <v>1457.5</v>
      </c>
      <c r="M44" s="33">
        <f t="shared" ref="M44" si="146">IFERROR(L44/L$14,"")</f>
        <v>1.7037898212358001E-3</v>
      </c>
      <c r="N44" s="31">
        <f>SUMIFS('Data Sheet Actuals'!$D:$D,'Data Sheet Actuals'!$C:$C,'Country Summary'!$B44,'Data Sheet Actuals'!$A:$A,'Country Summary'!N$4)</f>
        <v>1446.5</v>
      </c>
      <c r="O44" s="33">
        <f t="shared" ref="O44" si="147">IFERROR(N44/N$14,"")</f>
        <v>1.462576568512258E-3</v>
      </c>
      <c r="P44" s="31">
        <f>SUMIFS('Data Sheet Actuals'!$D:$D,'Data Sheet Actuals'!$C:$C,'Country Summary'!$B44,'Data Sheet Actuals'!$A:$A,'Country Summary'!P$4)</f>
        <v>1444</v>
      </c>
      <c r="Q44" s="33">
        <f t="shared" ref="Q44" si="148">IFERROR(P44/P$14,"")</f>
        <v>1.6051896269756074E-3</v>
      </c>
      <c r="R44" s="31">
        <f>SUMIFS('Data Sheet Actuals'!$D:$D,'Data Sheet Actuals'!$C:$C,'Country Summary'!$B44,'Data Sheet Actuals'!$A:$A,'Country Summary'!R$4)</f>
        <v>1445.5</v>
      </c>
      <c r="S44" s="33">
        <f t="shared" ref="S44" si="149">IFERROR(R44/R$14,"")</f>
        <v>1.5098357942072607E-3</v>
      </c>
      <c r="T44" s="31">
        <f>SUMIFS('Data Sheet Actuals'!$D:$D,'Data Sheet Actuals'!$C:$C,'Country Summary'!$B44,'Data Sheet Actuals'!$A:$A,'Country Summary'!T$4)</f>
        <v>1330.5</v>
      </c>
      <c r="U44" s="33">
        <f t="shared" ref="U44" si="150">IFERROR(T44/T$14,"")</f>
        <v>1.5528486749258066E-3</v>
      </c>
      <c r="V44" s="31">
        <f>SUMIFS('Data Sheet Actuals'!$D:$D,'Data Sheet Actuals'!$C:$C,'Country Summary'!$B44,'Data Sheet Actuals'!$A:$A,'Country Summary'!V$4)</f>
        <v>1347.5</v>
      </c>
      <c r="W44" s="33">
        <f t="shared" ref="W44" si="151">IFERROR(V44/V$14,"")</f>
        <v>1.5523146809006069E-3</v>
      </c>
      <c r="X44" s="31">
        <f>SUMIFS('Data Sheet Actuals'!$D:$D,'Data Sheet Actuals'!$C:$C,'Country Summary'!$B44,'Data Sheet Actuals'!$A:$A,'Country Summary'!X$4)</f>
        <v>1383</v>
      </c>
      <c r="Y44" s="33">
        <f t="shared" ref="Y44" si="152">IFERROR(X44/X$14,"")</f>
        <v>1.6167007360336958E-3</v>
      </c>
      <c r="Z44" s="31">
        <f>SUMIFS('Data Sheet Actuals'!$D:$D,'Data Sheet Actuals'!$C:$C,'Country Summary'!$B44,'Data Sheet Actuals'!$A:$A,'Country Summary'!Z$4)</f>
        <v>1490.5</v>
      </c>
      <c r="AA44" s="33">
        <f t="shared" ref="AA44" si="153">IFERROR(Z44/Z$14,"")</f>
        <v>1.6215836493626338E-3</v>
      </c>
      <c r="AB44" s="31">
        <f t="shared" si="105"/>
        <v>17599</v>
      </c>
      <c r="AC44" s="33">
        <f t="shared" ref="AC44" si="154">IFERROR(AB44/AB$14,"")</f>
        <v>1.6321443846690562E-3</v>
      </c>
    </row>
    <row r="45" spans="2:29">
      <c r="B45" s="45">
        <v>4018</v>
      </c>
      <c r="C45" s="55" t="s">
        <v>48</v>
      </c>
      <c r="D45" s="50">
        <f>SUMIFS('Data Sheet Actuals'!$D:$D,'Data Sheet Actuals'!$C:$C,'Country Summary'!$B45,'Data Sheet Actuals'!$A:$A,'Country Summary'!D$4)</f>
        <v>6520.7200000000012</v>
      </c>
      <c r="E45" s="33">
        <f t="shared" si="93"/>
        <v>7.2486094905902937E-3</v>
      </c>
      <c r="F45" s="38">
        <f>SUMIFS('Data Sheet Actuals'!$D:$D,'Data Sheet Actuals'!$C:$C,'Country Summary'!$B45,'Data Sheet Actuals'!$A:$A,'Country Summary'!F$4)</f>
        <v>6577.01</v>
      </c>
      <c r="G45" s="33">
        <f t="shared" ref="G45" si="155">IFERROR(F45/F$14,"")</f>
        <v>6.8697371960284304E-3</v>
      </c>
      <c r="H45" s="38">
        <f>SUMIFS('Data Sheet Actuals'!$D:$D,'Data Sheet Actuals'!$C:$C,'Country Summary'!$B45,'Data Sheet Actuals'!$A:$A,'Country Summary'!H$4)</f>
        <v>7430.5899999999992</v>
      </c>
      <c r="I45" s="33">
        <f t="shared" ref="I45" si="156">IFERROR(H45/H$14,"")</f>
        <v>8.6723651525117979E-3</v>
      </c>
      <c r="J45" s="38">
        <f>SUMIFS('Data Sheet Actuals'!$D:$D,'Data Sheet Actuals'!$C:$C,'Country Summary'!$B45,'Data Sheet Actuals'!$A:$A,'Country Summary'!J$4)</f>
        <v>6689.69</v>
      </c>
      <c r="K45" s="33">
        <f t="shared" ref="K45" si="157">IFERROR(J45/J$14,"")</f>
        <v>7.7064964732274444E-3</v>
      </c>
      <c r="L45" s="38">
        <f>SUMIFS('Data Sheet Actuals'!$D:$D,'Data Sheet Actuals'!$C:$C,'Country Summary'!$B45,'Data Sheet Actuals'!$A:$A,'Country Summary'!L$4)</f>
        <v>6742.0000000000009</v>
      </c>
      <c r="M45" s="33">
        <f t="shared" ref="M45" si="158">IFERROR(L45/L$14,"")</f>
        <v>7.8812699655380902E-3</v>
      </c>
      <c r="N45" s="38">
        <f>SUMIFS('Data Sheet Actuals'!$D:$D,'Data Sheet Actuals'!$C:$C,'Country Summary'!$B45,'Data Sheet Actuals'!$A:$A,'Country Summary'!N$4)</f>
        <v>5863.57</v>
      </c>
      <c r="O45" s="33">
        <f t="shared" ref="O45" si="159">IFERROR(N45/N$14,"")</f>
        <v>5.9287383960120437E-3</v>
      </c>
      <c r="P45" s="38">
        <f>SUMIFS('Data Sheet Actuals'!$D:$D,'Data Sheet Actuals'!$C:$C,'Country Summary'!$B45,'Data Sheet Actuals'!$A:$A,'Country Summary'!P$4)</f>
        <v>6424.0999999999995</v>
      </c>
      <c r="Q45" s="33">
        <f t="shared" ref="Q45" si="160">IFERROR(P45/P$14,"")</f>
        <v>7.1412040738601098E-3</v>
      </c>
      <c r="R45" s="38">
        <f>SUMIFS('Data Sheet Actuals'!$D:$D,'Data Sheet Actuals'!$C:$C,'Country Summary'!$B45,'Data Sheet Actuals'!$A:$A,'Country Summary'!R$4)</f>
        <v>6559.7800000000007</v>
      </c>
      <c r="S45" s="33">
        <f t="shared" ref="S45" si="161">IFERROR(R45/R$14,"")</f>
        <v>6.8517403293842311E-3</v>
      </c>
      <c r="T45" s="38">
        <f>SUMIFS('Data Sheet Actuals'!$D:$D,'Data Sheet Actuals'!$C:$C,'Country Summary'!$B45,'Data Sheet Actuals'!$A:$A,'Country Summary'!T$4)</f>
        <v>5893.4100000000008</v>
      </c>
      <c r="U45" s="33">
        <f t="shared" ref="U45" si="162">IFERROR(T45/T$14,"")</f>
        <v>6.8782968126978568E-3</v>
      </c>
      <c r="V45" s="38">
        <f>SUMIFS('Data Sheet Actuals'!$D:$D,'Data Sheet Actuals'!$C:$C,'Country Summary'!$B45,'Data Sheet Actuals'!$A:$A,'Country Summary'!V$4)</f>
        <v>5889.93</v>
      </c>
      <c r="W45" s="33">
        <f t="shared" ref="W45" si="163">IFERROR(V45/V$14,"")</f>
        <v>6.7851761101869476E-3</v>
      </c>
      <c r="X45" s="38">
        <f>SUMIFS('Data Sheet Actuals'!$D:$D,'Data Sheet Actuals'!$C:$C,'Country Summary'!$B45,'Data Sheet Actuals'!$A:$A,'Country Summary'!X$4)</f>
        <v>5834.5999999999995</v>
      </c>
      <c r="Y45" s="33">
        <f t="shared" ref="Y45" si="164">IFERROR(X45/X$14,"")</f>
        <v>6.8205365975865517E-3</v>
      </c>
      <c r="Z45" s="38">
        <f>SUMIFS('Data Sheet Actuals'!$D:$D,'Data Sheet Actuals'!$C:$C,'Country Summary'!$B45,'Data Sheet Actuals'!$A:$A,'Country Summary'!Z$4)</f>
        <v>6244.5899999999992</v>
      </c>
      <c r="AA45" s="33">
        <f t="shared" ref="AA45" si="165">IFERROR(Z45/Z$14,"")</f>
        <v>6.7937772834440842E-3</v>
      </c>
      <c r="AB45" s="31">
        <f t="shared" si="105"/>
        <v>76669.990000000005</v>
      </c>
      <c r="AC45" s="33">
        <f t="shared" ref="AC45" si="166">IFERROR(AB45/AB$14,"")</f>
        <v>7.1104320501808463E-3</v>
      </c>
    </row>
    <row r="46" spans="2:29">
      <c r="B46" s="45">
        <v>4019</v>
      </c>
      <c r="C46" s="55" t="s">
        <v>122</v>
      </c>
      <c r="D46" s="47">
        <f>SUMIFS('Data Sheet Actuals'!$D:$D,'Data Sheet Actuals'!$C:$C,'Country Summary'!$B46,'Data Sheet Actuals'!$A:$A,'Country Summary'!D$4)</f>
        <v>1737.02</v>
      </c>
      <c r="E46" s="33">
        <f t="shared" si="93"/>
        <v>1.93091861900912E-3</v>
      </c>
      <c r="F46" s="31">
        <f>SUMIFS('Data Sheet Actuals'!$D:$D,'Data Sheet Actuals'!$C:$C,'Country Summary'!$B46,'Data Sheet Actuals'!$A:$A,'Country Summary'!F$4)</f>
        <v>1815.35</v>
      </c>
      <c r="G46" s="33">
        <f t="shared" ref="G46" si="167">IFERROR(F46/F$14,"")</f>
        <v>1.8961469450115189E-3</v>
      </c>
      <c r="H46" s="31">
        <f>SUMIFS('Data Sheet Actuals'!$D:$D,'Data Sheet Actuals'!$C:$C,'Country Summary'!$B46,'Data Sheet Actuals'!$A:$A,'Country Summary'!H$4)</f>
        <v>1489.52</v>
      </c>
      <c r="I46" s="33">
        <f t="shared" ref="I46" si="168">IFERROR(H46/H$14,"")</f>
        <v>1.7384435612743236E-3</v>
      </c>
      <c r="J46" s="31">
        <f>SUMIFS('Data Sheet Actuals'!$D:$D,'Data Sheet Actuals'!$C:$C,'Country Summary'!$B46,'Data Sheet Actuals'!$A:$A,'Country Summary'!J$4)</f>
        <v>1620.2200000000003</v>
      </c>
      <c r="K46" s="33">
        <f t="shared" ref="K46" si="169">IFERROR(J46/J$14,"")</f>
        <v>1.8664870443701534E-3</v>
      </c>
      <c r="L46" s="31">
        <f>SUMIFS('Data Sheet Actuals'!$D:$D,'Data Sheet Actuals'!$C:$C,'Country Summary'!$B46,'Data Sheet Actuals'!$A:$A,'Country Summary'!L$4)</f>
        <v>1618.8000000000002</v>
      </c>
      <c r="M46" s="33">
        <f t="shared" ref="M46" si="170">IFERROR(L46/L$14,"")</f>
        <v>1.892346458055927E-3</v>
      </c>
      <c r="N46" s="31">
        <f>SUMIFS('Data Sheet Actuals'!$D:$D,'Data Sheet Actuals'!$C:$C,'Country Summary'!$B46,'Data Sheet Actuals'!$A:$A,'Country Summary'!N$4)</f>
        <v>1978.59</v>
      </c>
      <c r="O46" s="33">
        <f t="shared" ref="O46" si="171">IFERROR(N46/N$14,"")</f>
        <v>2.0005802783910603E-3</v>
      </c>
      <c r="P46" s="31">
        <f>SUMIFS('Data Sheet Actuals'!$D:$D,'Data Sheet Actuals'!$C:$C,'Country Summary'!$B46,'Data Sheet Actuals'!$A:$A,'Country Summary'!P$4)</f>
        <v>1857.1500000000003</v>
      </c>
      <c r="Q46" s="33">
        <f t="shared" ref="Q46" si="172">IFERROR(P46/P$14,"")</f>
        <v>2.0644583904001037E-3</v>
      </c>
      <c r="R46" s="31">
        <f>SUMIFS('Data Sheet Actuals'!$D:$D,'Data Sheet Actuals'!$C:$C,'Country Summary'!$B46,'Data Sheet Actuals'!$A:$A,'Country Summary'!R$4)</f>
        <v>2007.5</v>
      </c>
      <c r="S46" s="33">
        <f t="shared" ref="S46" si="173">IFERROR(R46/R$14,"")</f>
        <v>2.0968490881155834E-3</v>
      </c>
      <c r="T46" s="31">
        <f>SUMIFS('Data Sheet Actuals'!$D:$D,'Data Sheet Actuals'!$C:$C,'Country Summary'!$B46,'Data Sheet Actuals'!$A:$A,'Country Summary'!T$4)</f>
        <v>1635.8300000000004</v>
      </c>
      <c r="U46" s="33">
        <f t="shared" ref="U46" si="174">IFERROR(T46/T$14,"")</f>
        <v>1.9092043952678563E-3</v>
      </c>
      <c r="V46" s="31">
        <f>SUMIFS('Data Sheet Actuals'!$D:$D,'Data Sheet Actuals'!$C:$C,'Country Summary'!$B46,'Data Sheet Actuals'!$A:$A,'Country Summary'!V$4)</f>
        <v>1668.3100000000002</v>
      </c>
      <c r="W46" s="33">
        <f t="shared" ref="W46" si="175">IFERROR(V46/V$14,"")</f>
        <v>1.9218865345404764E-3</v>
      </c>
      <c r="X46" s="31">
        <f>SUMIFS('Data Sheet Actuals'!$D:$D,'Data Sheet Actuals'!$C:$C,'Country Summary'!$B46,'Data Sheet Actuals'!$A:$A,'Country Summary'!X$4)</f>
        <v>1681.46</v>
      </c>
      <c r="Y46" s="33">
        <f t="shared" ref="Y46" si="176">IFERROR(X46/X$14,"")</f>
        <v>1.9655948081064483E-3</v>
      </c>
      <c r="Z46" s="31">
        <f>SUMIFS('Data Sheet Actuals'!$D:$D,'Data Sheet Actuals'!$C:$C,'Country Summary'!$B46,'Data Sheet Actuals'!$A:$A,'Country Summary'!Z$4)</f>
        <v>1611.2000000000003</v>
      </c>
      <c r="AA46" s="33">
        <f t="shared" ref="AA46" si="177">IFERROR(Z46/Z$14,"")</f>
        <v>1.752898742605217E-3</v>
      </c>
      <c r="AB46" s="31">
        <f t="shared" si="105"/>
        <v>20720.95</v>
      </c>
      <c r="AC46" s="33">
        <f t="shared" ref="AC46" si="178">IFERROR(AB46/AB$14,"")</f>
        <v>1.9216763559013741E-3</v>
      </c>
    </row>
    <row r="47" spans="2:29">
      <c r="B47" s="45">
        <v>4020</v>
      </c>
      <c r="C47" s="55" t="s">
        <v>47</v>
      </c>
      <c r="D47" s="47">
        <f>SUMIFS('Data Sheet Actuals'!$D:$D,'Data Sheet Actuals'!$C:$C,'Country Summary'!$B47,'Data Sheet Actuals'!$A:$A,'Country Summary'!D$4)</f>
        <v>1412</v>
      </c>
      <c r="E47" s="33">
        <f t="shared" si="93"/>
        <v>1.5696175576797489E-3</v>
      </c>
      <c r="F47" s="31">
        <f>SUMIFS('Data Sheet Actuals'!$D:$D,'Data Sheet Actuals'!$C:$C,'Country Summary'!$B47,'Data Sheet Actuals'!$A:$A,'Country Summary'!F$4)</f>
        <v>1308</v>
      </c>
      <c r="G47" s="33">
        <f t="shared" ref="G47" si="179">IFERROR(F47/F$14,"")</f>
        <v>1.3662159936513988E-3</v>
      </c>
      <c r="H47" s="31">
        <f>SUMIFS('Data Sheet Actuals'!$D:$D,'Data Sheet Actuals'!$C:$C,'Country Summary'!$B47,'Data Sheet Actuals'!$A:$A,'Country Summary'!H$4)</f>
        <v>1515</v>
      </c>
      <c r="I47" s="33">
        <f t="shared" ref="I47" si="180">IFERROR(H47/H$14,"")</f>
        <v>1.7681816929820346E-3</v>
      </c>
      <c r="J47" s="31">
        <f>SUMIFS('Data Sheet Actuals'!$D:$D,'Data Sheet Actuals'!$C:$C,'Country Summary'!$B47,'Data Sheet Actuals'!$A:$A,'Country Summary'!J$4)</f>
        <v>1453</v>
      </c>
      <c r="K47" s="33">
        <f t="shared" ref="K47" si="181">IFERROR(J47/J$14,"")</f>
        <v>1.6738502644516378E-3</v>
      </c>
      <c r="L47" s="31">
        <f>SUMIFS('Data Sheet Actuals'!$D:$D,'Data Sheet Actuals'!$C:$C,'Country Summary'!$B47,'Data Sheet Actuals'!$A:$A,'Country Summary'!L$4)</f>
        <v>1326</v>
      </c>
      <c r="M47" s="33">
        <f t="shared" ref="M47" si="182">IFERROR(L47/L$14,"")</f>
        <v>1.5500688184965153E-3</v>
      </c>
      <c r="N47" s="31">
        <f>SUMIFS('Data Sheet Actuals'!$D:$D,'Data Sheet Actuals'!$C:$C,'Country Summary'!$B47,'Data Sheet Actuals'!$A:$A,'Country Summary'!N$4)</f>
        <v>1317</v>
      </c>
      <c r="O47" s="33">
        <f t="shared" ref="O47" si="183">IFERROR(N47/N$14,"")</f>
        <v>1.3316372905154813E-3</v>
      </c>
      <c r="P47" s="31">
        <f>SUMIFS('Data Sheet Actuals'!$D:$D,'Data Sheet Actuals'!$C:$C,'Country Summary'!$B47,'Data Sheet Actuals'!$A:$A,'Country Summary'!P$4)</f>
        <v>1312</v>
      </c>
      <c r="Q47" s="33">
        <f t="shared" ref="Q47" si="184">IFERROR(P47/P$14,"")</f>
        <v>1.4584548411301916E-3</v>
      </c>
      <c r="R47" s="31">
        <f>SUMIFS('Data Sheet Actuals'!$D:$D,'Data Sheet Actuals'!$C:$C,'Country Summary'!$B47,'Data Sheet Actuals'!$A:$A,'Country Summary'!R$4)</f>
        <v>1314</v>
      </c>
      <c r="S47" s="33">
        <f t="shared" ref="S47" si="185">IFERROR(R47/R$14,"")</f>
        <v>1.3724830394938364E-3</v>
      </c>
      <c r="T47" s="31">
        <f>SUMIFS('Data Sheet Actuals'!$D:$D,'Data Sheet Actuals'!$C:$C,'Country Summary'!$B47,'Data Sheet Actuals'!$A:$A,'Country Summary'!T$4)</f>
        <v>1209</v>
      </c>
      <c r="U47" s="33">
        <f t="shared" ref="U47" si="186">IFERROR(T47/T$14,"")</f>
        <v>1.4110440044985345E-3</v>
      </c>
      <c r="V47" s="31">
        <f>SUMIFS('Data Sheet Actuals'!$D:$D,'Data Sheet Actuals'!$C:$C,'Country Summary'!$B47,'Data Sheet Actuals'!$A:$A,'Country Summary'!V$4)</f>
        <v>1224</v>
      </c>
      <c r="W47" s="33">
        <f t="shared" ref="W47" si="187">IFERROR(V47/V$14,"")</f>
        <v>1.4100431684024809E-3</v>
      </c>
      <c r="X47" s="31">
        <f>SUMIFS('Data Sheet Actuals'!$D:$D,'Data Sheet Actuals'!$C:$C,'Country Summary'!$B47,'Data Sheet Actuals'!$A:$A,'Country Summary'!X$4)</f>
        <v>1258</v>
      </c>
      <c r="Y47" s="33">
        <f t="shared" ref="Y47" si="188">IFERROR(X47/X$14,"")</f>
        <v>1.4705781098556683E-3</v>
      </c>
      <c r="Z47" s="31">
        <f>SUMIFS('Data Sheet Actuals'!$D:$D,'Data Sheet Actuals'!$C:$C,'Country Summary'!$B47,'Data Sheet Actuals'!$A:$A,'Country Summary'!Z$4)</f>
        <v>1354</v>
      </c>
      <c r="AA47" s="33">
        <f t="shared" ref="AA47" si="189">IFERROR(Z47/Z$14,"")</f>
        <v>1.4730790078745428E-3</v>
      </c>
      <c r="AB47" s="31">
        <f t="shared" si="105"/>
        <v>16002</v>
      </c>
      <c r="AC47" s="33">
        <f t="shared" ref="AC47" si="190">IFERROR(AB47/AB$14,"")</f>
        <v>1.4840374136868141E-3</v>
      </c>
    </row>
    <row r="48" spans="2:29">
      <c r="B48" s="45">
        <v>4021</v>
      </c>
      <c r="C48" s="55" t="s">
        <v>123</v>
      </c>
      <c r="D48" s="47">
        <f>SUMIFS('Data Sheet Actuals'!$D:$D,'Data Sheet Actuals'!$C:$C,'Country Summary'!$B48,'Data Sheet Actuals'!$A:$A,'Country Summary'!D$4)</f>
        <v>3103</v>
      </c>
      <c r="E48" s="33">
        <f t="shared" si="93"/>
        <v>3.4493790945327629E-3</v>
      </c>
      <c r="F48" s="31">
        <f>SUMIFS('Data Sheet Actuals'!$D:$D,'Data Sheet Actuals'!$C:$C,'Country Summary'!$B48,'Data Sheet Actuals'!$A:$A,'Country Summary'!F$4)</f>
        <v>2879</v>
      </c>
      <c r="G48" s="33">
        <f t="shared" ref="G48" si="191">IFERROR(F48/F$14,"")</f>
        <v>3.0071374967296461E-3</v>
      </c>
      <c r="H48" s="31">
        <f>SUMIFS('Data Sheet Actuals'!$D:$D,'Data Sheet Actuals'!$C:$C,'Country Summary'!$B48,'Data Sheet Actuals'!$A:$A,'Country Summary'!H$4)</f>
        <v>3582</v>
      </c>
      <c r="I48" s="33">
        <f t="shared" ref="I48" si="192">IFERROR(H48/H$14,"")</f>
        <v>4.1806117651892061E-3</v>
      </c>
      <c r="J48" s="31">
        <f>SUMIFS('Data Sheet Actuals'!$D:$D,'Data Sheet Actuals'!$C:$C,'Country Summary'!$B48,'Data Sheet Actuals'!$A:$A,'Country Summary'!J$4)</f>
        <v>7275.1100000000006</v>
      </c>
      <c r="K48" s="33">
        <f t="shared" ref="K48" si="193">IFERROR(J48/J$14,"")</f>
        <v>8.3808980023501421E-3</v>
      </c>
      <c r="L48" s="31">
        <f>SUMIFS('Data Sheet Actuals'!$D:$D,'Data Sheet Actuals'!$C:$C,'Country Summary'!$B48,'Data Sheet Actuals'!$A:$A,'Country Summary'!L$4)</f>
        <v>6996.1100000000006</v>
      </c>
      <c r="M48" s="33">
        <f t="shared" ref="M48" si="194">IFERROR(L48/L$14,"")</f>
        <v>8.1783197298428787E-3</v>
      </c>
      <c r="N48" s="31">
        <f>SUMIFS('Data Sheet Actuals'!$D:$D,'Data Sheet Actuals'!$C:$C,'Country Summary'!$B48,'Data Sheet Actuals'!$A:$A,'Country Summary'!N$4)</f>
        <v>2893</v>
      </c>
      <c r="O48" s="33">
        <f t="shared" ref="O48" si="195">IFERROR(N48/N$14,"")</f>
        <v>2.9251531370245161E-3</v>
      </c>
      <c r="P48" s="31">
        <f>SUMIFS('Data Sheet Actuals'!$D:$D,'Data Sheet Actuals'!$C:$C,'Country Summary'!$B48,'Data Sheet Actuals'!$A:$A,'Country Summary'!P$4)</f>
        <v>2888</v>
      </c>
      <c r="Q48" s="33">
        <f t="shared" ref="Q48" si="196">IFERROR(P48/P$14,"")</f>
        <v>3.2103792539512148E-3</v>
      </c>
      <c r="R48" s="31">
        <f>SUMIFS('Data Sheet Actuals'!$D:$D,'Data Sheet Actuals'!$C:$C,'Country Summary'!$B48,'Data Sheet Actuals'!$A:$A,'Country Summary'!R$4)</f>
        <v>2891</v>
      </c>
      <c r="S48" s="33">
        <f t="shared" ref="S48" si="197">IFERROR(R48/R$14,"")</f>
        <v>3.0196715884145213E-3</v>
      </c>
      <c r="T48" s="31">
        <f>SUMIFS('Data Sheet Actuals'!$D:$D,'Data Sheet Actuals'!$C:$C,'Country Summary'!$B48,'Data Sheet Actuals'!$A:$A,'Country Summary'!T$4)</f>
        <v>2911</v>
      </c>
      <c r="U48" s="33">
        <f t="shared" ref="U48" si="198">IFERROR(T48/T$14,"")</f>
        <v>3.3974765071093744E-3</v>
      </c>
      <c r="V48" s="31">
        <f>SUMIFS('Data Sheet Actuals'!$D:$D,'Data Sheet Actuals'!$C:$C,'Country Summary'!$B48,'Data Sheet Actuals'!$A:$A,'Country Summary'!V$4)</f>
        <v>6776.1100000000006</v>
      </c>
      <c r="W48" s="33">
        <f t="shared" ref="W48" si="199">IFERROR(V48/V$14,"")</f>
        <v>7.8060519720945546E-3</v>
      </c>
      <c r="X48" s="31">
        <f>SUMIFS('Data Sheet Actuals'!$D:$D,'Data Sheet Actuals'!$C:$C,'Country Summary'!$B48,'Data Sheet Actuals'!$A:$A,'Country Summary'!X$4)</f>
        <v>6847.1100000000006</v>
      </c>
      <c r="Y48" s="33">
        <f t="shared" ref="Y48" si="200">IFERROR(X48/X$14,"")</f>
        <v>8.0041415594386701E-3</v>
      </c>
      <c r="Z48" s="31">
        <f>SUMIFS('Data Sheet Actuals'!$D:$D,'Data Sheet Actuals'!$C:$C,'Country Summary'!$B48,'Data Sheet Actuals'!$A:$A,'Country Summary'!Z$4)</f>
        <v>2981</v>
      </c>
      <c r="AA48" s="33">
        <f t="shared" ref="AA48" si="201">IFERROR(Z48/Z$14,"")</f>
        <v>3.2431672987252675E-3</v>
      </c>
      <c r="AB48" s="31">
        <f t="shared" si="105"/>
        <v>52022.44</v>
      </c>
      <c r="AC48" s="33">
        <f t="shared" ref="AC48" si="202">IFERROR(AB48/AB$14,"")</f>
        <v>4.8245998819695952E-3</v>
      </c>
    </row>
    <row r="49" spans="2:29">
      <c r="B49" s="45">
        <v>4022</v>
      </c>
      <c r="C49" s="55" t="s">
        <v>124</v>
      </c>
      <c r="D49" s="52">
        <f>SUMIFS('Data Sheet Actuals'!$D:$D,'Data Sheet Actuals'!$C:$C,'Country Summary'!$B49,'Data Sheet Actuals'!$A:$A,'Country Summary'!D$4)</f>
        <v>1310.91</v>
      </c>
      <c r="E49" s="33">
        <f t="shared" si="93"/>
        <v>1.4572431675198016E-3</v>
      </c>
      <c r="F49" s="40">
        <f>SUMIFS('Data Sheet Actuals'!$D:$D,'Data Sheet Actuals'!$C:$C,'Country Summary'!$B49,'Data Sheet Actuals'!$A:$A,'Country Summary'!F$4)</f>
        <v>1692.59</v>
      </c>
      <c r="G49" s="33">
        <f t="shared" ref="G49" si="203">IFERROR(F49/F$14,"")</f>
        <v>1.7679231870752455E-3</v>
      </c>
      <c r="H49" s="40">
        <f>SUMIFS('Data Sheet Actuals'!$D:$D,'Data Sheet Actuals'!$C:$C,'Country Summary'!$B49,'Data Sheet Actuals'!$A:$A,'Country Summary'!H$4)</f>
        <v>1901.9</v>
      </c>
      <c r="I49" s="33">
        <f t="shared" ref="I49" si="204">IFERROR(H49/H$14,"")</f>
        <v>2.2197391167541464E-3</v>
      </c>
      <c r="J49" s="40">
        <f>SUMIFS('Data Sheet Actuals'!$D:$D,'Data Sheet Actuals'!$C:$C,'Country Summary'!$B49,'Data Sheet Actuals'!$A:$A,'Country Summary'!J$4)</f>
        <v>1331.1299999999997</v>
      </c>
      <c r="K49" s="33">
        <f t="shared" ref="K49" si="205">IFERROR(J49/J$14,"")</f>
        <v>1.5334565055192761E-3</v>
      </c>
      <c r="L49" s="40">
        <f>SUMIFS('Data Sheet Actuals'!$D:$D,'Data Sheet Actuals'!$C:$C,'Country Summary'!$B49,'Data Sheet Actuals'!$A:$A,'Country Summary'!L$4)</f>
        <v>1223.52</v>
      </c>
      <c r="M49" s="33">
        <f t="shared" ref="M49" si="206">IFERROR(L49/L$14,"")</f>
        <v>1.4302716446507211E-3</v>
      </c>
      <c r="N49" s="40">
        <f>SUMIFS('Data Sheet Actuals'!$D:$D,'Data Sheet Actuals'!$C:$C,'Country Summary'!$B49,'Data Sheet Actuals'!$A:$A,'Country Summary'!N$4)</f>
        <v>1081.0999999999999</v>
      </c>
      <c r="O49" s="33">
        <f t="shared" ref="O49" si="207">IFERROR(N49/N$14,"")</f>
        <v>1.0931154705970288E-3</v>
      </c>
      <c r="P49" s="40">
        <f>SUMIFS('Data Sheet Actuals'!$D:$D,'Data Sheet Actuals'!$C:$C,'Country Summary'!$B49,'Data Sheet Actuals'!$A:$A,'Country Summary'!P$4)</f>
        <v>1193.3599999999999</v>
      </c>
      <c r="Q49" s="33">
        <f t="shared" ref="Q49" si="208">IFERROR(P49/P$14,"")</f>
        <v>1.3265713942157969E-3</v>
      </c>
      <c r="R49" s="40">
        <f>SUMIFS('Data Sheet Actuals'!$D:$D,'Data Sheet Actuals'!$C:$C,'Country Summary'!$B49,'Data Sheet Actuals'!$A:$A,'Country Summary'!R$4)</f>
        <v>1216.5900000000001</v>
      </c>
      <c r="S49" s="33">
        <f t="shared" ref="S49" si="209">IFERROR(R49/R$14,"")</f>
        <v>1.2707375502418619E-3</v>
      </c>
      <c r="T49" s="40">
        <f>SUMIFS('Data Sheet Actuals'!$D:$D,'Data Sheet Actuals'!$C:$C,'Country Summary'!$B49,'Data Sheet Actuals'!$A:$A,'Country Summary'!T$4)</f>
        <v>1099.5400000000002</v>
      </c>
      <c r="U49" s="33">
        <f t="shared" ref="U49" si="210">IFERROR(T49/T$14,"")</f>
        <v>1.2832914182847963E-3</v>
      </c>
      <c r="V49" s="40">
        <f>SUMIFS('Data Sheet Actuals'!$D:$D,'Data Sheet Actuals'!$C:$C,'Country Summary'!$B49,'Data Sheet Actuals'!$A:$A,'Country Summary'!V$4)</f>
        <v>1219.8899999999999</v>
      </c>
      <c r="W49" s="33">
        <f t="shared" ref="W49" si="211">IFERROR(V49/V$14,"")</f>
        <v>1.4053084646262273E-3</v>
      </c>
      <c r="X49" s="40">
        <f>SUMIFS('Data Sheet Actuals'!$D:$D,'Data Sheet Actuals'!$C:$C,'Country Summary'!$B49,'Data Sheet Actuals'!$A:$A,'Country Summary'!X$4)</f>
        <v>1744.0600000000002</v>
      </c>
      <c r="Y49" s="33">
        <f t="shared" ref="Y49" si="212">IFERROR(X49/X$14,"")</f>
        <v>2.0387730192964046E-3</v>
      </c>
      <c r="Z49" s="40">
        <f>SUMIFS('Data Sheet Actuals'!$D:$D,'Data Sheet Actuals'!$C:$C,'Country Summary'!$B49,'Data Sheet Actuals'!$A:$A,'Country Summary'!Z$4)</f>
        <v>1750.09</v>
      </c>
      <c r="AA49" s="33">
        <f t="shared" ref="AA49" si="213">IFERROR(Z49/Z$14,"")</f>
        <v>1.9040035752519635E-3</v>
      </c>
      <c r="AB49" s="31">
        <f t="shared" si="105"/>
        <v>16764.68</v>
      </c>
      <c r="AC49" s="33">
        <f t="shared" ref="AC49" si="214">IFERROR(AB49/AB$14,"")</f>
        <v>1.554768925664733E-3</v>
      </c>
    </row>
    <row r="50" spans="2:29">
      <c r="B50" s="45">
        <v>4023</v>
      </c>
      <c r="C50" s="55" t="s">
        <v>125</v>
      </c>
      <c r="D50" s="50">
        <f>SUMIFS('Data Sheet Actuals'!$D:$D,'Data Sheet Actuals'!$C:$C,'Country Summary'!$B50,'Data Sheet Actuals'!$A:$A,'Country Summary'!D$4)</f>
        <v>2394.6099999999997</v>
      </c>
      <c r="E50" s="33">
        <f t="shared" si="93"/>
        <v>2.6619135267673534E-3</v>
      </c>
      <c r="F50" s="38">
        <f>SUMIFS('Data Sheet Actuals'!$D:$D,'Data Sheet Actuals'!$C:$C,'Country Summary'!$B50,'Data Sheet Actuals'!$A:$A,'Country Summary'!F$4)</f>
        <v>2437.87</v>
      </c>
      <c r="G50" s="33">
        <f t="shared" ref="G50" si="215">IFERROR(F50/F$14,"")</f>
        <v>2.5463738413172288E-3</v>
      </c>
      <c r="H50" s="38">
        <f>SUMIFS('Data Sheet Actuals'!$D:$D,'Data Sheet Actuals'!$C:$C,'Country Summary'!$B50,'Data Sheet Actuals'!$A:$A,'Country Summary'!H$4)</f>
        <v>2748.1299999999997</v>
      </c>
      <c r="I50" s="33">
        <f t="shared" ref="I50" si="216">IFERROR(H50/H$14,"")</f>
        <v>3.2073882217390878E-3</v>
      </c>
      <c r="J50" s="38">
        <f>SUMIFS('Data Sheet Actuals'!$D:$D,'Data Sheet Actuals'!$C:$C,'Country Summary'!$B50,'Data Sheet Actuals'!$A:$A,'Country Summary'!J$4)</f>
        <v>2454.6600000000003</v>
      </c>
      <c r="K50" s="33">
        <f t="shared" ref="K50" si="217">IFERROR(J50/J$14,"")</f>
        <v>2.8277586305153874E-3</v>
      </c>
      <c r="L50" s="38">
        <f>SUMIFS('Data Sheet Actuals'!$D:$D,'Data Sheet Actuals'!$C:$C,'Country Summary'!$B50,'Data Sheet Actuals'!$A:$A,'Country Summary'!L$4)</f>
        <v>2480.11</v>
      </c>
      <c r="M50" s="33">
        <f t="shared" ref="M50" si="218">IFERROR(L50/L$14,"")</f>
        <v>2.8992014912831016E-3</v>
      </c>
      <c r="N50" s="38">
        <f>SUMIFS('Data Sheet Actuals'!$D:$D,'Data Sheet Actuals'!$C:$C,'Country Summary'!$B50,'Data Sheet Actuals'!$A:$A,'Country Summary'!N$4)</f>
        <v>2171.98</v>
      </c>
      <c r="O50" s="33">
        <f t="shared" ref="O50" si="219">IFERROR(N50/N$14,"")</f>
        <v>2.1961196372466329E-3</v>
      </c>
      <c r="P50" s="38">
        <f>SUMIFS('Data Sheet Actuals'!$D:$D,'Data Sheet Actuals'!$C:$C,'Country Summary'!$B50,'Data Sheet Actuals'!$A:$A,'Country Summary'!P$4)</f>
        <v>2401.69</v>
      </c>
      <c r="Q50" s="33">
        <f t="shared" ref="Q50" si="220">IFERROR(P50/P$14,"")</f>
        <v>2.6697838470990626E-3</v>
      </c>
      <c r="R50" s="38">
        <f>SUMIFS('Data Sheet Actuals'!$D:$D,'Data Sheet Actuals'!$C:$C,'Country Summary'!$B50,'Data Sheet Actuals'!$A:$A,'Country Summary'!R$4)</f>
        <v>2450.1000000000004</v>
      </c>
      <c r="S50" s="33">
        <f t="shared" ref="S50" si="221">IFERROR(R50/R$14,"")</f>
        <v>2.5591481697593982E-3</v>
      </c>
      <c r="T50" s="38">
        <f>SUMIFS('Data Sheet Actuals'!$D:$D,'Data Sheet Actuals'!$C:$C,'Country Summary'!$B50,'Data Sheet Actuals'!$A:$A,'Country Summary'!T$4)</f>
        <v>2204.3500000000004</v>
      </c>
      <c r="U50" s="33">
        <f t="shared" ref="U50" si="222">IFERROR(T50/T$14,"")</f>
        <v>2.5727335412045866E-3</v>
      </c>
      <c r="V50" s="38">
        <f>SUMIFS('Data Sheet Actuals'!$D:$D,'Data Sheet Actuals'!$C:$C,'Country Summary'!$B50,'Data Sheet Actuals'!$A:$A,'Country Summary'!V$4)</f>
        <v>2215.23</v>
      </c>
      <c r="W50" s="33">
        <f t="shared" ref="W50" si="223">IFERROR(V50/V$14,"")</f>
        <v>2.5519362156374409E-3</v>
      </c>
      <c r="X50" s="38">
        <f>SUMIFS('Data Sheet Actuals'!$D:$D,'Data Sheet Actuals'!$C:$C,'Country Summary'!$B50,'Data Sheet Actuals'!$A:$A,'Country Summary'!X$4)</f>
        <v>2180.6799999999998</v>
      </c>
      <c r="Y50" s="33">
        <f t="shared" ref="Y50" si="224">IFERROR(X50/X$14,"")</f>
        <v>2.5491735076312071E-3</v>
      </c>
      <c r="Z50" s="38">
        <f>SUMIFS('Data Sheet Actuals'!$D:$D,'Data Sheet Actuals'!$C:$C,'Country Summary'!$B50,'Data Sheet Actuals'!$A:$A,'Country Summary'!Z$4)</f>
        <v>2333.4400000000005</v>
      </c>
      <c r="AA50" s="33">
        <f t="shared" ref="AA50" si="225">IFERROR(Z50/Z$14,"")</f>
        <v>2.5386569277213986E-3</v>
      </c>
      <c r="AB50" s="31">
        <f t="shared" si="105"/>
        <v>28472.85</v>
      </c>
      <c r="AC50" s="33">
        <f t="shared" ref="AC50" si="226">IFERROR(AB50/AB$14,"")</f>
        <v>2.6405933429754155E-3</v>
      </c>
    </row>
    <row r="51" spans="2:29">
      <c r="B51" s="45">
        <v>4025</v>
      </c>
      <c r="C51" s="55" t="s">
        <v>126</v>
      </c>
      <c r="D51" s="47">
        <f>SUMIFS('Data Sheet Actuals'!$D:$D,'Data Sheet Actuals'!$C:$C,'Country Summary'!$B51,'Data Sheet Actuals'!$A:$A,'Country Summary'!D$4)</f>
        <v>868.54</v>
      </c>
      <c r="E51" s="33">
        <f t="shared" si="93"/>
        <v>9.6549265831952485E-4</v>
      </c>
      <c r="F51" s="31">
        <f>SUMIFS('Data Sheet Actuals'!$D:$D,'Data Sheet Actuals'!$C:$C,'Country Summary'!$B51,'Data Sheet Actuals'!$A:$A,'Country Summary'!F$4)</f>
        <v>907.70000000000027</v>
      </c>
      <c r="G51" s="33">
        <f t="shared" ref="G51" si="227">IFERROR(F51/F$14,"")</f>
        <v>9.4809958519676994E-4</v>
      </c>
      <c r="H51" s="31">
        <f>SUMIFS('Data Sheet Actuals'!$D:$D,'Data Sheet Actuals'!$C:$C,'Country Summary'!$B51,'Data Sheet Actuals'!$A:$A,'Country Summary'!H$4)</f>
        <v>744.79000000000008</v>
      </c>
      <c r="I51" s="33">
        <f t="shared" ref="I51" si="228">IFERROR(H51/H$14,"")</f>
        <v>8.6925679413603276E-4</v>
      </c>
      <c r="J51" s="31">
        <f>SUMIFS('Data Sheet Actuals'!$D:$D,'Data Sheet Actuals'!$C:$C,'Country Summary'!$B51,'Data Sheet Actuals'!$A:$A,'Country Summary'!J$4)</f>
        <v>810.16000000000008</v>
      </c>
      <c r="K51" s="33">
        <f t="shared" ref="K51" si="229">IFERROR(J51/J$14,"")</f>
        <v>9.3330112198770747E-4</v>
      </c>
      <c r="L51" s="31">
        <f>SUMIFS('Data Sheet Actuals'!$D:$D,'Data Sheet Actuals'!$C:$C,'Country Summary'!$B51,'Data Sheet Actuals'!$A:$A,'Country Summary'!L$4)</f>
        <v>809.46000000000015</v>
      </c>
      <c r="M51" s="33">
        <f t="shared" ref="M51" si="230">IFERROR(L51/L$14,"")</f>
        <v>9.4624336788852903E-4</v>
      </c>
      <c r="N51" s="31">
        <f>SUMIFS('Data Sheet Actuals'!$D:$D,'Data Sheet Actuals'!$C:$C,'Country Summary'!$B51,'Data Sheet Actuals'!$A:$A,'Country Summary'!N$4)</f>
        <v>989.34</v>
      </c>
      <c r="O51" s="33">
        <f t="shared" ref="O51" si="231">IFERROR(N51/N$14,"")</f>
        <v>1.0003356393307413E-3</v>
      </c>
      <c r="P51" s="31">
        <f>SUMIFS('Data Sheet Actuals'!$D:$D,'Data Sheet Actuals'!$C:$C,'Country Summary'!$B51,'Data Sheet Actuals'!$A:$A,'Country Summary'!P$4)</f>
        <v>928.63000000000011</v>
      </c>
      <c r="Q51" s="33">
        <f t="shared" ref="Q51" si="232">IFERROR(P51/P$14,"")</f>
        <v>1.0322903346941541E-3</v>
      </c>
      <c r="R51" s="31">
        <f>SUMIFS('Data Sheet Actuals'!$D:$D,'Data Sheet Actuals'!$C:$C,'Country Summary'!$B51,'Data Sheet Actuals'!$A:$A,'Country Summary'!R$4)</f>
        <v>1003.82</v>
      </c>
      <c r="S51" s="33">
        <f t="shared" ref="S51" si="233">IFERROR(R51/R$14,"")</f>
        <v>1.0484976595926201E-3</v>
      </c>
      <c r="T51" s="31">
        <f>SUMIFS('Data Sheet Actuals'!$D:$D,'Data Sheet Actuals'!$C:$C,'Country Summary'!$B51,'Data Sheet Actuals'!$A:$A,'Country Summary'!T$4)</f>
        <v>817.97</v>
      </c>
      <c r="U51" s="33">
        <f t="shared" ref="U51" si="234">IFERROR(T51/T$14,"")</f>
        <v>9.5466638904852469E-4</v>
      </c>
      <c r="V51" s="31">
        <f>SUMIFS('Data Sheet Actuals'!$D:$D,'Data Sheet Actuals'!$C:$C,'Country Summary'!$B51,'Data Sheet Actuals'!$A:$A,'Country Summary'!V$4)</f>
        <v>834.21</v>
      </c>
      <c r="W51" s="33">
        <f t="shared" ref="W51" si="235">IFERROR(V51/V$14,"")</f>
        <v>9.61006627053132E-4</v>
      </c>
      <c r="X51" s="31">
        <f>SUMIFS('Data Sheet Actuals'!$D:$D,'Data Sheet Actuals'!$C:$C,'Country Summary'!$B51,'Data Sheet Actuals'!$A:$A,'Country Summary'!X$4)</f>
        <v>840.8</v>
      </c>
      <c r="Y51" s="33">
        <f t="shared" ref="Y51" si="236">IFERROR(X51/X$14,"")</f>
        <v>9.8287923272388387E-4</v>
      </c>
      <c r="Z51" s="31">
        <f>SUMIFS('Data Sheet Actuals'!$D:$D,'Data Sheet Actuals'!$C:$C,'Country Summary'!$B51,'Data Sheet Actuals'!$A:$A,'Country Summary'!Z$4)</f>
        <v>805.63</v>
      </c>
      <c r="AA51" s="33">
        <f t="shared" ref="AA51" si="237">IFERROR(Z51/Z$14,"")</f>
        <v>8.7648200968535293E-4</v>
      </c>
      <c r="AB51" s="31">
        <f t="shared" si="105"/>
        <v>10361.049999999999</v>
      </c>
      <c r="AC51" s="33">
        <f t="shared" ref="AC51" si="238">IFERROR(AB51/AB$14,"")</f>
        <v>9.6089150387950026E-4</v>
      </c>
    </row>
    <row r="52" spans="2:29">
      <c r="B52" s="45">
        <v>4026</v>
      </c>
      <c r="C52" s="55" t="s">
        <v>127</v>
      </c>
      <c r="D52" s="47">
        <f>SUMIFS('Data Sheet Actuals'!$D:$D,'Data Sheet Actuals'!$C:$C,'Country Summary'!$B52,'Data Sheet Actuals'!$A:$A,'Country Summary'!D$4)</f>
        <v>926.43999999999994</v>
      </c>
      <c r="E52" s="33">
        <f t="shared" si="93"/>
        <v>1.0298558712017185E-3</v>
      </c>
      <c r="F52" s="31">
        <f>SUMIFS('Data Sheet Actuals'!$D:$D,'Data Sheet Actuals'!$C:$C,'Country Summary'!$B52,'Data Sheet Actuals'!$A:$A,'Country Summary'!F$4)</f>
        <v>968.26</v>
      </c>
      <c r="G52" s="33">
        <f t="shared" ref="G52" si="239">IFERROR(F52/F$14,"")</f>
        <v>1.0113549678997732E-3</v>
      </c>
      <c r="H52" s="31">
        <f>SUMIFS('Data Sheet Actuals'!$D:$D,'Data Sheet Actuals'!$C:$C,'Country Summary'!$B52,'Data Sheet Actuals'!$A:$A,'Country Summary'!H$4)</f>
        <v>794.47</v>
      </c>
      <c r="I52" s="33">
        <f t="shared" ref="I52" si="240">IFERROR(H52/H$14,"")</f>
        <v>9.2723914826629502E-4</v>
      </c>
      <c r="J52" s="31">
        <f>SUMIFS('Data Sheet Actuals'!$D:$D,'Data Sheet Actuals'!$C:$C,'Country Summary'!$B52,'Data Sheet Actuals'!$A:$A,'Country Summary'!J$4)</f>
        <v>864.13999999999976</v>
      </c>
      <c r="K52" s="33">
        <f t="shared" ref="K52" si="241">IFERROR(J52/J$14,"")</f>
        <v>9.9548586890794077E-4</v>
      </c>
      <c r="L52" s="31">
        <f>SUMIFS('Data Sheet Actuals'!$D:$D,'Data Sheet Actuals'!$C:$C,'Country Summary'!$B52,'Data Sheet Actuals'!$A:$A,'Country Summary'!L$4)</f>
        <v>863.42</v>
      </c>
      <c r="M52" s="33">
        <f t="shared" ref="M52" si="242">IFERROR(L52/L$14,"")</f>
        <v>1.0093215831570596E-3</v>
      </c>
      <c r="N52" s="31">
        <f>SUMIFS('Data Sheet Actuals'!$D:$D,'Data Sheet Actuals'!$C:$C,'Country Summary'!$B52,'Data Sheet Actuals'!$A:$A,'Country Summary'!N$4)</f>
        <v>1055.3000000000002</v>
      </c>
      <c r="O52" s="33">
        <f t="shared" ref="O52" si="243">IFERROR(N52/N$14,"")</f>
        <v>1.0670287264092542E-3</v>
      </c>
      <c r="P52" s="31">
        <f>SUMIFS('Data Sheet Actuals'!$D:$D,'Data Sheet Actuals'!$C:$C,'Country Summary'!$B52,'Data Sheet Actuals'!$A:$A,'Country Summary'!P$4)</f>
        <v>990.56999999999994</v>
      </c>
      <c r="Q52" s="33">
        <f t="shared" ref="Q52" si="244">IFERROR(P52/P$14,"")</f>
        <v>1.1011445213249497E-3</v>
      </c>
      <c r="R52" s="31">
        <f>SUMIFS('Data Sheet Actuals'!$D:$D,'Data Sheet Actuals'!$C:$C,'Country Summary'!$B52,'Data Sheet Actuals'!$A:$A,'Country Summary'!R$4)</f>
        <v>1070.7299999999998</v>
      </c>
      <c r="S52" s="33">
        <f t="shared" ref="S52" si="245">IFERROR(R52/R$14,"")</f>
        <v>1.1183856658122033E-3</v>
      </c>
      <c r="T52" s="31">
        <f>SUMIFS('Data Sheet Actuals'!$D:$D,'Data Sheet Actuals'!$C:$C,'Country Summary'!$B52,'Data Sheet Actuals'!$A:$A,'Country Summary'!T$4)</f>
        <v>872.49999999999989</v>
      </c>
      <c r="U52" s="33">
        <f t="shared" ref="U52" si="246">IFERROR(T52/T$14,"")</f>
        <v>1.0183092588295873E-3</v>
      </c>
      <c r="V52" s="31">
        <f>SUMIFS('Data Sheet Actuals'!$D:$D,'Data Sheet Actuals'!$C:$C,'Country Summary'!$B52,'Data Sheet Actuals'!$A:$A,'Country Summary'!V$4)</f>
        <v>889.80999999999983</v>
      </c>
      <c r="W52" s="33">
        <f t="shared" ref="W52" si="247">IFERROR(V52/V$14,"")</f>
        <v>1.025057607578604E-3</v>
      </c>
      <c r="X52" s="31">
        <f>SUMIFS('Data Sheet Actuals'!$D:$D,'Data Sheet Actuals'!$C:$C,'Country Summary'!$B52,'Data Sheet Actuals'!$A:$A,'Country Summary'!X$4)</f>
        <v>896.85</v>
      </c>
      <c r="Y52" s="33">
        <f t="shared" ref="Y52" si="248">IFERROR(X52/X$14,"")</f>
        <v>1.0484006183021114E-3</v>
      </c>
      <c r="Z52" s="31">
        <f>SUMIFS('Data Sheet Actuals'!$D:$D,'Data Sheet Actuals'!$C:$C,'Country Summary'!$B52,'Data Sheet Actuals'!$A:$A,'Country Summary'!Z$4)</f>
        <v>859.29999999999984</v>
      </c>
      <c r="AA52" s="33">
        <f t="shared" ref="AA52" si="249">IFERROR(Z52/Z$14,"")</f>
        <v>9.3487207641550544E-4</v>
      </c>
      <c r="AB52" s="31">
        <f t="shared" si="105"/>
        <v>11051.789999999997</v>
      </c>
      <c r="AC52" s="33">
        <f t="shared" ref="AC52" si="250">IFERROR(AB52/AB$14,"")</f>
        <v>1.0249512466072859E-3</v>
      </c>
    </row>
    <row r="53" spans="2:29">
      <c r="B53" s="45"/>
      <c r="C53" s="54"/>
      <c r="D53" s="48" t="s">
        <v>42</v>
      </c>
      <c r="E53" s="36" t="s">
        <v>42</v>
      </c>
      <c r="F53" s="35" t="s">
        <v>42</v>
      </c>
      <c r="G53" s="36" t="s">
        <v>42</v>
      </c>
      <c r="H53" s="35" t="s">
        <v>42</v>
      </c>
      <c r="I53" s="36" t="s">
        <v>42</v>
      </c>
      <c r="J53" s="35" t="s">
        <v>42</v>
      </c>
      <c r="K53" s="36" t="s">
        <v>42</v>
      </c>
      <c r="L53" s="35" t="s">
        <v>42</v>
      </c>
      <c r="M53" s="36" t="s">
        <v>42</v>
      </c>
      <c r="N53" s="35" t="s">
        <v>42</v>
      </c>
      <c r="O53" s="36" t="s">
        <v>42</v>
      </c>
      <c r="P53" s="35" t="s">
        <v>42</v>
      </c>
      <c r="Q53" s="36" t="s">
        <v>42</v>
      </c>
      <c r="R53" s="35" t="s">
        <v>42</v>
      </c>
      <c r="S53" s="36" t="s">
        <v>42</v>
      </c>
      <c r="T53" s="35" t="s">
        <v>42</v>
      </c>
      <c r="U53" s="36" t="s">
        <v>42</v>
      </c>
      <c r="V53" s="35" t="s">
        <v>42</v>
      </c>
      <c r="W53" s="36" t="s">
        <v>42</v>
      </c>
      <c r="X53" s="35" t="s">
        <v>42</v>
      </c>
      <c r="Y53" s="36" t="s">
        <v>42</v>
      </c>
      <c r="Z53" s="35" t="s">
        <v>42</v>
      </c>
      <c r="AA53" s="36" t="s">
        <v>42</v>
      </c>
      <c r="AB53" s="35" t="s">
        <v>42</v>
      </c>
      <c r="AC53" s="36" t="s">
        <v>42</v>
      </c>
    </row>
    <row r="54" spans="2:29">
      <c r="B54" s="45"/>
      <c r="C54" s="57" t="s">
        <v>128</v>
      </c>
      <c r="D54" s="64">
        <f>SUM(D40:D53)</f>
        <v>122747.59</v>
      </c>
      <c r="E54" s="65">
        <f>IFERROR(D54/D$14,"")</f>
        <v>0.13644955554311272</v>
      </c>
      <c r="F54" s="64">
        <f>SUM(F40:F53)</f>
        <v>121849.15999999997</v>
      </c>
      <c r="G54" s="65">
        <f>IFERROR(F54/F$14,"")</f>
        <v>0.12727237859708582</v>
      </c>
      <c r="H54" s="64">
        <f>SUM(H40:H53)</f>
        <v>126183.47999999998</v>
      </c>
      <c r="I54" s="65">
        <f>IFERROR(H54/H$14,"")</f>
        <v>0.14727083781700637</v>
      </c>
      <c r="J54" s="64">
        <f>SUM(J40:J53)</f>
        <v>127587.61000000002</v>
      </c>
      <c r="K54" s="65">
        <f>IFERROR(J54/J$14,"")</f>
        <v>0.14698042308276149</v>
      </c>
      <c r="L54" s="64">
        <f>SUM(L40:L53)</f>
        <v>125504.59000000001</v>
      </c>
      <c r="M54" s="65">
        <f>IFERROR(L54/L$14,"")</f>
        <v>0.14671248230557285</v>
      </c>
      <c r="N54" s="64">
        <f>SUM(N40:N53)</f>
        <v>120691.34</v>
      </c>
      <c r="O54" s="65">
        <f>IFERROR(N54/N$14,"")</f>
        <v>0.12203271752944779</v>
      </c>
      <c r="P54" s="64">
        <f>SUM(P40:P53)</f>
        <v>121238.94</v>
      </c>
      <c r="Q54" s="65">
        <f>IFERROR(P54/P$14,"")</f>
        <v>0.13477249921988785</v>
      </c>
      <c r="R54" s="64">
        <f>SUM(R40:R53)</f>
        <v>121806.34999999999</v>
      </c>
      <c r="S54" s="65">
        <f>IFERROR(R54/R$14,"")</f>
        <v>0.12722766322500004</v>
      </c>
      <c r="T54" s="64">
        <f>SUM(T40:T53)</f>
        <v>118560.98</v>
      </c>
      <c r="U54" s="65">
        <f>IFERROR(T54/T$14,"")</f>
        <v>0.13837449131221724</v>
      </c>
      <c r="V54" s="64">
        <f>SUM(V40:V53)</f>
        <v>122774.50999999998</v>
      </c>
      <c r="W54" s="65">
        <f>IFERROR(V54/V$14,"")</f>
        <v>0.14143575088191343</v>
      </c>
      <c r="X54" s="64">
        <f>SUM(X40:X53)</f>
        <v>123783.14</v>
      </c>
      <c r="Y54" s="65">
        <f>IFERROR(X54/X$14,"")</f>
        <v>0.14470013994689951</v>
      </c>
      <c r="Z54" s="64">
        <f>SUM(Z40:Z53)</f>
        <v>121723.78</v>
      </c>
      <c r="AA54" s="65">
        <f>IFERROR(Z54/Z$14,"")</f>
        <v>0.13242891069212637</v>
      </c>
      <c r="AB54" s="64">
        <f>SUM(AB40:AB53)</f>
        <v>1474451.47</v>
      </c>
      <c r="AC54" s="65">
        <f>IFERROR(AB54/AB$14,"")</f>
        <v>0.13674172891798031</v>
      </c>
    </row>
    <row r="55" spans="2:29">
      <c r="B55" s="45"/>
      <c r="C55" s="54"/>
      <c r="D55" s="48" t="s">
        <v>42</v>
      </c>
      <c r="E55" s="36" t="s">
        <v>42</v>
      </c>
      <c r="F55" s="35" t="s">
        <v>42</v>
      </c>
      <c r="G55" s="36" t="s">
        <v>42</v>
      </c>
      <c r="H55" s="35" t="s">
        <v>42</v>
      </c>
      <c r="I55" s="36" t="s">
        <v>42</v>
      </c>
      <c r="J55" s="35" t="s">
        <v>42</v>
      </c>
      <c r="K55" s="36" t="s">
        <v>42</v>
      </c>
      <c r="L55" s="35" t="s">
        <v>42</v>
      </c>
      <c r="M55" s="36" t="s">
        <v>42</v>
      </c>
      <c r="N55" s="35" t="s">
        <v>42</v>
      </c>
      <c r="O55" s="36" t="s">
        <v>42</v>
      </c>
      <c r="P55" s="35" t="s">
        <v>42</v>
      </c>
      <c r="Q55" s="36" t="s">
        <v>42</v>
      </c>
      <c r="R55" s="35" t="s">
        <v>42</v>
      </c>
      <c r="S55" s="36" t="s">
        <v>42</v>
      </c>
      <c r="T55" s="35" t="s">
        <v>42</v>
      </c>
      <c r="U55" s="36" t="s">
        <v>42</v>
      </c>
      <c r="V55" s="35" t="s">
        <v>42</v>
      </c>
      <c r="W55" s="36" t="s">
        <v>42</v>
      </c>
      <c r="X55" s="35" t="s">
        <v>42</v>
      </c>
      <c r="Y55" s="36" t="s">
        <v>42</v>
      </c>
      <c r="Z55" s="35" t="s">
        <v>42</v>
      </c>
      <c r="AA55" s="36" t="s">
        <v>42</v>
      </c>
      <c r="AB55" s="35" t="s">
        <v>42</v>
      </c>
      <c r="AC55" s="36" t="s">
        <v>42</v>
      </c>
    </row>
    <row r="56" spans="2:29">
      <c r="B56" s="45"/>
      <c r="C56" s="54"/>
      <c r="D56" s="47"/>
      <c r="E56" s="32"/>
      <c r="F56" s="31"/>
      <c r="G56" s="32"/>
      <c r="H56" s="31"/>
      <c r="I56" s="32"/>
      <c r="J56" s="31"/>
      <c r="K56" s="32"/>
      <c r="L56" s="31"/>
      <c r="M56" s="32"/>
      <c r="N56" s="31"/>
      <c r="O56" s="32"/>
      <c r="P56" s="31"/>
      <c r="Q56" s="32"/>
      <c r="R56" s="31"/>
      <c r="S56" s="32"/>
      <c r="T56" s="31"/>
      <c r="U56" s="32"/>
      <c r="V56" s="31"/>
      <c r="W56" s="32"/>
      <c r="X56" s="31"/>
      <c r="Y56" s="32"/>
      <c r="Z56" s="31"/>
      <c r="AA56" s="32"/>
      <c r="AB56" s="31"/>
      <c r="AC56" s="32"/>
    </row>
    <row r="57" spans="2:29">
      <c r="B57" s="45"/>
      <c r="C57" s="57" t="s">
        <v>130</v>
      </c>
      <c r="D57" s="64">
        <f>+D36+D54</f>
        <v>330620.86</v>
      </c>
      <c r="E57" s="65">
        <f>IFERROR(D57/D$14,"")</f>
        <v>0.36752712945550864</v>
      </c>
      <c r="F57" s="64">
        <f>+F36+F54</f>
        <v>337672.98999999993</v>
      </c>
      <c r="G57" s="65">
        <f>IFERROR(F57/F$14,"")</f>
        <v>0.35270201801382933</v>
      </c>
      <c r="H57" s="64">
        <f>+H36+H54</f>
        <v>309716.82</v>
      </c>
      <c r="I57" s="65">
        <f>IFERROR(H57/H$14,"")</f>
        <v>0.36147565091261524</v>
      </c>
      <c r="J57" s="64">
        <f>+J36+J54</f>
        <v>321764.66000000003</v>
      </c>
      <c r="K57" s="65">
        <f>IFERROR(J57/J$14,"")</f>
        <v>0.37067161819146</v>
      </c>
      <c r="L57" s="64">
        <f>+L36+L54</f>
        <v>307834.79000000004</v>
      </c>
      <c r="M57" s="65">
        <f>IFERROR(L57/L$14,"")</f>
        <v>0.35985302355009274</v>
      </c>
      <c r="N57" s="64">
        <f>+N36+N54</f>
        <v>351647.26999999996</v>
      </c>
      <c r="O57" s="65">
        <f>IFERROR(N57/N$14,"")</f>
        <v>0.35555551848137124</v>
      </c>
      <c r="P57" s="64">
        <f>+P36+P54</f>
        <v>335571.93</v>
      </c>
      <c r="Q57" s="65">
        <f>IFERROR(P57/P$14,"")</f>
        <v>0.37303087336577878</v>
      </c>
      <c r="R57" s="64">
        <f>+R36+R54</f>
        <v>339151.06</v>
      </c>
      <c r="S57" s="65">
        <f>IFERROR(R57/R$14,"")</f>
        <v>0.35424587342188468</v>
      </c>
      <c r="T57" s="64">
        <f>+T36+T54</f>
        <v>309320.37999999995</v>
      </c>
      <c r="U57" s="65">
        <f>IFERROR(T57/T$14,"")</f>
        <v>0.36101295919620208</v>
      </c>
      <c r="V57" s="64">
        <f>+V36+V54</f>
        <v>316115.57999999996</v>
      </c>
      <c r="W57" s="65">
        <f>IFERROR(V57/V$14,"")</f>
        <v>0.36416390033054563</v>
      </c>
      <c r="X57" s="64">
        <f>+X36+X54</f>
        <v>315206.51</v>
      </c>
      <c r="Y57" s="65">
        <f>IFERROR(X57/X$14,"")</f>
        <v>0.36847042423688542</v>
      </c>
      <c r="Z57" s="64">
        <f>+Z36+Z54</f>
        <v>315599.02</v>
      </c>
      <c r="AA57" s="65">
        <f>IFERROR(Z57/Z$14,"")</f>
        <v>0.34335472028639441</v>
      </c>
      <c r="AB57" s="64">
        <f>+AB36+AB54</f>
        <v>3890221.87</v>
      </c>
      <c r="AC57" s="65">
        <f>IFERROR(AB57/AB$14,"")</f>
        <v>0.36078207740424206</v>
      </c>
    </row>
    <row r="58" spans="2:29">
      <c r="B58" s="45"/>
      <c r="C58" s="54"/>
      <c r="D58" s="47"/>
      <c r="E58" s="32"/>
      <c r="F58" s="31"/>
      <c r="G58" s="32"/>
      <c r="H58" s="31"/>
      <c r="I58" s="32"/>
      <c r="J58" s="31"/>
      <c r="K58" s="32"/>
      <c r="L58" s="31"/>
      <c r="M58" s="32"/>
      <c r="N58" s="31"/>
      <c r="O58" s="32"/>
      <c r="P58" s="31"/>
      <c r="Q58" s="32"/>
      <c r="R58" s="31"/>
      <c r="S58" s="32"/>
      <c r="T58" s="31"/>
      <c r="U58" s="32"/>
      <c r="V58" s="31"/>
      <c r="W58" s="32"/>
      <c r="X58" s="31"/>
      <c r="Y58" s="32"/>
      <c r="Z58" s="31"/>
      <c r="AA58" s="32"/>
      <c r="AB58" s="31"/>
      <c r="AC58" s="32"/>
    </row>
    <row r="59" spans="2:29">
      <c r="B59" s="45"/>
      <c r="C59" s="57" t="s">
        <v>129</v>
      </c>
      <c r="D59" s="64">
        <f>D27-D57</f>
        <v>101273.92000000004</v>
      </c>
      <c r="E59" s="65">
        <f>IFERROR(D59/D$14,"")</f>
        <v>0.11257884062822546</v>
      </c>
      <c r="F59" s="64">
        <f>F27-F57</f>
        <v>129341.16000000027</v>
      </c>
      <c r="G59" s="65">
        <f>IFERROR(F59/F$14,"")</f>
        <v>0.13509782983900989</v>
      </c>
      <c r="H59" s="64">
        <f>H27-H57</f>
        <v>121970.83999999991</v>
      </c>
      <c r="I59" s="65">
        <f>IFERROR(H59/H$14,"")</f>
        <v>0.14235419562088494</v>
      </c>
      <c r="J59" s="64">
        <f>J27-J57</f>
        <v>100021.74999999994</v>
      </c>
      <c r="K59" s="65">
        <f>IFERROR(J59/J$14,"")</f>
        <v>0.11522466117578493</v>
      </c>
      <c r="L59" s="64">
        <f>L27-L57</f>
        <v>116630</v>
      </c>
      <c r="M59" s="65">
        <f>IFERROR(L59/L$14,"")</f>
        <v>0.13633825512914674</v>
      </c>
      <c r="N59" s="64">
        <f>N27-N57</f>
        <v>110708.41000000021</v>
      </c>
      <c r="O59" s="65">
        <f>IFERROR(N59/N$14,"")</f>
        <v>0.11193883608935255</v>
      </c>
      <c r="P59" s="64">
        <f>P27-P57</f>
        <v>66629.670000000042</v>
      </c>
      <c r="Q59" s="65">
        <f>IFERROR(P59/P$14,"")</f>
        <v>7.406735120000546E-2</v>
      </c>
      <c r="R59" s="64">
        <f>R27-R57</f>
        <v>96823.190000000119</v>
      </c>
      <c r="S59" s="65">
        <f>IFERROR(R59/R$14,"")</f>
        <v>0.1011325617235079</v>
      </c>
      <c r="T59" s="64">
        <f>T27-T57</f>
        <v>104496.69999999995</v>
      </c>
      <c r="U59" s="65">
        <f>IFERROR(T59/T$14,"")</f>
        <v>0.12195983624886844</v>
      </c>
      <c r="V59" s="64">
        <f>V27-V57</f>
        <v>111380.42000000004</v>
      </c>
      <c r="W59" s="65">
        <f>IFERROR(V59/V$14,"")</f>
        <v>0.12830980417875743</v>
      </c>
      <c r="X59" s="64">
        <f>X27-X57</f>
        <v>94939.75</v>
      </c>
      <c r="Y59" s="65">
        <f>IFERROR(X59/X$14,"")</f>
        <v>0.11098276478948306</v>
      </c>
      <c r="Z59" s="64">
        <f>Z27-Z57</f>
        <v>160509.42000000004</v>
      </c>
      <c r="AA59" s="65">
        <f>IFERROR(Z59/Z$14,"")</f>
        <v>0.17462559613598105</v>
      </c>
      <c r="AB59" s="64">
        <f>AB27-AB57</f>
        <v>1314725.2299999995</v>
      </c>
      <c r="AC59" s="65">
        <f>IFERROR(AB59/AB$14,"")</f>
        <v>0.12192859830258723</v>
      </c>
    </row>
    <row r="60" spans="2:29">
      <c r="B60" s="45"/>
      <c r="C60" s="54"/>
      <c r="D60" s="48" t="s">
        <v>49</v>
      </c>
      <c r="E60" s="36" t="s">
        <v>49</v>
      </c>
      <c r="F60" s="35" t="s">
        <v>49</v>
      </c>
      <c r="G60" s="36" t="s">
        <v>49</v>
      </c>
      <c r="H60" s="35" t="s">
        <v>49</v>
      </c>
      <c r="I60" s="36" t="s">
        <v>49</v>
      </c>
      <c r="J60" s="35" t="s">
        <v>49</v>
      </c>
      <c r="K60" s="36" t="s">
        <v>49</v>
      </c>
      <c r="L60" s="35" t="s">
        <v>49</v>
      </c>
      <c r="M60" s="36" t="s">
        <v>49</v>
      </c>
      <c r="N60" s="35" t="s">
        <v>49</v>
      </c>
      <c r="O60" s="36" t="s">
        <v>49</v>
      </c>
      <c r="P60" s="35" t="s">
        <v>49</v>
      </c>
      <c r="Q60" s="36" t="s">
        <v>49</v>
      </c>
      <c r="R60" s="35" t="s">
        <v>49</v>
      </c>
      <c r="S60" s="36" t="s">
        <v>49</v>
      </c>
      <c r="T60" s="35" t="s">
        <v>49</v>
      </c>
      <c r="U60" s="36" t="s">
        <v>49</v>
      </c>
      <c r="V60" s="35" t="s">
        <v>49</v>
      </c>
      <c r="W60" s="36" t="s">
        <v>49</v>
      </c>
      <c r="X60" s="35" t="s">
        <v>49</v>
      </c>
      <c r="Y60" s="36" t="s">
        <v>49</v>
      </c>
      <c r="Z60" s="35" t="s">
        <v>49</v>
      </c>
      <c r="AA60" s="36" t="s">
        <v>49</v>
      </c>
      <c r="AB60" s="35" t="s">
        <v>49</v>
      </c>
      <c r="AC60" s="36" t="s">
        <v>49</v>
      </c>
    </row>
    <row r="61" spans="2:29" ht="15" thickBot="1">
      <c r="B61" s="45"/>
      <c r="C61" s="56"/>
      <c r="D61" s="53"/>
      <c r="E61" s="42"/>
      <c r="F61" s="41"/>
      <c r="G61" s="42"/>
      <c r="H61" s="41"/>
      <c r="I61" s="42"/>
      <c r="J61" s="41"/>
      <c r="K61" s="42"/>
      <c r="L61" s="41"/>
      <c r="M61" s="42"/>
      <c r="N61" s="41"/>
      <c r="O61" s="42"/>
      <c r="P61" s="41"/>
      <c r="Q61" s="42"/>
      <c r="R61" s="41"/>
      <c r="S61" s="42"/>
      <c r="T61" s="41"/>
      <c r="U61" s="42"/>
      <c r="V61" s="41"/>
      <c r="W61" s="42"/>
      <c r="X61" s="41"/>
      <c r="Y61" s="42"/>
      <c r="Z61" s="41"/>
      <c r="AA61" s="42"/>
      <c r="AB61" s="41"/>
      <c r="AC61" s="42"/>
    </row>
  </sheetData>
  <mergeCells count="14">
    <mergeCell ref="C4:C5"/>
    <mergeCell ref="AB4:AC4"/>
    <mergeCell ref="P4:Q4"/>
    <mergeCell ref="R4:S4"/>
    <mergeCell ref="T4:U4"/>
    <mergeCell ref="V4:W4"/>
    <mergeCell ref="X4:Y4"/>
    <mergeCell ref="Z4:AA4"/>
    <mergeCell ref="N4:O4"/>
    <mergeCell ref="D4:E4"/>
    <mergeCell ref="F4:G4"/>
    <mergeCell ref="H4:I4"/>
    <mergeCell ref="J4:K4"/>
    <mergeCell ref="L4:M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555CA-3610-454D-9A15-9CD13E80220C}">
  <sheetPr codeName="Sheet15"/>
  <dimension ref="A1:AC61"/>
  <sheetViews>
    <sheetView zoomScale="80" zoomScaleNormal="80" workbookViewId="0">
      <selection sqref="A1:AC1048576"/>
    </sheetView>
  </sheetViews>
  <sheetFormatPr defaultRowHeight="14.5"/>
  <cols>
    <col min="1" max="1" width="3" style="24" bestFit="1" customWidth="1"/>
    <col min="2" max="2" width="2.7265625" style="25" customWidth="1"/>
    <col min="3" max="3" width="31.90625" bestFit="1" customWidth="1"/>
    <col min="4" max="4" width="13.08984375" style="26" customWidth="1"/>
    <col min="6" max="6" width="13.08984375" style="26" customWidth="1"/>
    <col min="8" max="8" width="13.08984375" style="26" customWidth="1"/>
    <col min="10" max="10" width="13.08984375" style="26" customWidth="1"/>
    <col min="12" max="12" width="13.08984375" style="26" customWidth="1"/>
    <col min="14" max="14" width="13.08984375" style="26" customWidth="1"/>
    <col min="16" max="16" width="13.08984375" style="26" customWidth="1"/>
    <col min="18" max="18" width="13.08984375" style="26" customWidth="1"/>
    <col min="20" max="20" width="13.08984375" style="26" customWidth="1"/>
    <col min="22" max="22" width="13.08984375" style="26" customWidth="1"/>
    <col min="24" max="24" width="13.08984375" style="26" customWidth="1"/>
    <col min="26" max="26" width="13.08984375" style="26" customWidth="1"/>
    <col min="28" max="28" width="13.08984375" style="26" customWidth="1"/>
    <col min="29" max="29" width="10.54296875" customWidth="1"/>
  </cols>
  <sheetData>
    <row r="1" spans="1:29">
      <c r="A1" s="24">
        <v>22</v>
      </c>
      <c r="B1" s="25">
        <f ca="1">VLOOKUP($A$1,'Profit Center Master'!$A:$G,7,0)</f>
        <v>3</v>
      </c>
    </row>
    <row r="3" spans="1:29" ht="21" thickBot="1">
      <c r="B3" s="43"/>
      <c r="C3" s="27" t="s">
        <v>1</v>
      </c>
      <c r="D3" s="62" t="str">
        <f>VLOOKUP($A$1,'Profit Center Master'!$A:$C,3,0)</f>
        <v>HO-IL</v>
      </c>
      <c r="E3" s="28" t="str">
        <f>VLOOKUP($A$1,'Profit Center Master'!$A:$D,4,0)</f>
        <v>HO-Illinois</v>
      </c>
      <c r="G3" s="24"/>
    </row>
    <row r="4" spans="1:29">
      <c r="B4" s="45"/>
      <c r="C4" s="58"/>
      <c r="D4" s="61" t="s">
        <v>28</v>
      </c>
      <c r="E4" s="60"/>
      <c r="F4" s="60" t="s">
        <v>29</v>
      </c>
      <c r="G4" s="60"/>
      <c r="H4" s="60" t="s">
        <v>30</v>
      </c>
      <c r="I4" s="60"/>
      <c r="J4" s="60" t="s">
        <v>31</v>
      </c>
      <c r="K4" s="60"/>
      <c r="L4" s="60" t="s">
        <v>32</v>
      </c>
      <c r="M4" s="60"/>
      <c r="N4" s="60" t="s">
        <v>33</v>
      </c>
      <c r="O4" s="60"/>
      <c r="P4" s="60" t="s">
        <v>34</v>
      </c>
      <c r="Q4" s="60"/>
      <c r="R4" s="60" t="s">
        <v>35</v>
      </c>
      <c r="S4" s="60"/>
      <c r="T4" s="60" t="s">
        <v>36</v>
      </c>
      <c r="U4" s="60"/>
      <c r="V4" s="60" t="s">
        <v>37</v>
      </c>
      <c r="W4" s="60"/>
      <c r="X4" s="60" t="s">
        <v>38</v>
      </c>
      <c r="Y4" s="60"/>
      <c r="Z4" s="60" t="s">
        <v>39</v>
      </c>
      <c r="AA4" s="60"/>
      <c r="AB4" s="60" t="s">
        <v>40</v>
      </c>
      <c r="AC4" s="60"/>
    </row>
    <row r="5" spans="1:29" ht="15" thickBot="1">
      <c r="B5" s="45"/>
      <c r="C5" s="59"/>
      <c r="D5" s="46">
        <v>2019</v>
      </c>
      <c r="E5" s="30" t="s">
        <v>41</v>
      </c>
      <c r="F5" s="29">
        <v>2019</v>
      </c>
      <c r="G5" s="30" t="s">
        <v>41</v>
      </c>
      <c r="H5" s="29">
        <v>2019</v>
      </c>
      <c r="I5" s="30" t="s">
        <v>41</v>
      </c>
      <c r="J5" s="29">
        <v>2019</v>
      </c>
      <c r="K5" s="30" t="s">
        <v>41</v>
      </c>
      <c r="L5" s="29">
        <v>2019</v>
      </c>
      <c r="M5" s="30" t="s">
        <v>41</v>
      </c>
      <c r="N5" s="29">
        <v>2019</v>
      </c>
      <c r="O5" s="30" t="s">
        <v>41</v>
      </c>
      <c r="P5" s="29">
        <v>2019</v>
      </c>
      <c r="Q5" s="30" t="s">
        <v>41</v>
      </c>
      <c r="R5" s="29">
        <v>2019</v>
      </c>
      <c r="S5" s="30" t="s">
        <v>41</v>
      </c>
      <c r="T5" s="29">
        <v>2019</v>
      </c>
      <c r="U5" s="30" t="s">
        <v>41</v>
      </c>
      <c r="V5" s="29">
        <v>2019</v>
      </c>
      <c r="W5" s="30" t="s">
        <v>41</v>
      </c>
      <c r="X5" s="29">
        <v>2019</v>
      </c>
      <c r="Y5" s="30" t="s">
        <v>41</v>
      </c>
      <c r="Z5" s="29">
        <v>2019</v>
      </c>
      <c r="AA5" s="30" t="s">
        <v>41</v>
      </c>
      <c r="AB5" s="29" t="s">
        <v>40</v>
      </c>
      <c r="AC5" s="30" t="s">
        <v>41</v>
      </c>
    </row>
    <row r="6" spans="1:29">
      <c r="B6" s="45"/>
      <c r="C6" s="54"/>
      <c r="D6" s="47"/>
      <c r="E6" s="32"/>
      <c r="F6" s="31"/>
      <c r="G6" s="32"/>
      <c r="H6" s="31"/>
      <c r="I6" s="32"/>
      <c r="J6" s="31"/>
      <c r="K6" s="32"/>
      <c r="L6" s="31"/>
      <c r="M6" s="32"/>
      <c r="N6" s="31"/>
      <c r="O6" s="32"/>
      <c r="P6" s="31"/>
      <c r="Q6" s="32"/>
      <c r="R6" s="31"/>
      <c r="S6" s="32"/>
      <c r="T6" s="31"/>
      <c r="U6" s="32"/>
      <c r="V6" s="31"/>
      <c r="W6" s="32"/>
      <c r="X6" s="31"/>
      <c r="Y6" s="32"/>
      <c r="Z6" s="31"/>
      <c r="AA6" s="32"/>
      <c r="AB6" s="31"/>
      <c r="AC6" s="32"/>
    </row>
    <row r="7" spans="1:29">
      <c r="B7" s="45">
        <v>1001</v>
      </c>
      <c r="C7" s="57" t="s">
        <v>103</v>
      </c>
      <c r="D7" s="47"/>
      <c r="E7" s="33"/>
      <c r="F7" s="31"/>
      <c r="G7" s="33"/>
      <c r="H7" s="31"/>
      <c r="I7" s="33"/>
      <c r="J7" s="31"/>
      <c r="K7" s="33"/>
      <c r="L7" s="31"/>
      <c r="M7" s="33"/>
      <c r="N7" s="31"/>
      <c r="O7" s="33"/>
      <c r="P7" s="31"/>
      <c r="Q7" s="33"/>
      <c r="R7" s="31"/>
      <c r="S7" s="33"/>
      <c r="T7" s="31"/>
      <c r="U7" s="33"/>
      <c r="V7" s="31"/>
      <c r="W7" s="33"/>
      <c r="X7" s="31"/>
      <c r="Y7" s="33"/>
      <c r="Z7" s="31"/>
      <c r="AA7" s="33"/>
      <c r="AB7" s="31"/>
      <c r="AC7" s="33"/>
    </row>
    <row r="8" spans="1:29">
      <c r="B8" s="45">
        <v>1001</v>
      </c>
      <c r="C8" s="63" t="s">
        <v>104</v>
      </c>
      <c r="D8" s="47">
        <f>-SUMIFS('Data Sheet Actuals'!$D:$D,'Data Sheet Actuals'!$C:$C,Client!$B8,'Data Sheet Actuals'!$E:$E,Client!$D$3,'Data Sheet Actuals'!$A:$A,Client!D$4)</f>
        <v>35610.89</v>
      </c>
      <c r="E8" s="34" t="str">
        <f>IFERROR(D8/#REF!,"")</f>
        <v/>
      </c>
      <c r="F8" s="47">
        <f>-SUMIFS('Data Sheet Actuals'!$D:$D,'Data Sheet Actuals'!$C:$C,Client!$B8,'Data Sheet Actuals'!$E:$E,Client!$D$3,'Data Sheet Actuals'!$A:$A,Client!F$4)</f>
        <v>37140.300000000003</v>
      </c>
      <c r="G8" s="34" t="str">
        <f>IFERROR(F8/#REF!,"")</f>
        <v/>
      </c>
      <c r="H8" s="47">
        <f>-SUMIFS('Data Sheet Actuals'!$D:$D,'Data Sheet Actuals'!$C:$C,Client!$B8,'Data Sheet Actuals'!$E:$E,Client!$D$3,'Data Sheet Actuals'!$A:$A,Client!H$4)</f>
        <v>32460.059999999998</v>
      </c>
      <c r="I8" s="34" t="str">
        <f>IFERROR(H8/#REF!,"")</f>
        <v/>
      </c>
      <c r="J8" s="47">
        <f>-SUMIFS('Data Sheet Actuals'!$D:$D,'Data Sheet Actuals'!$C:$C,Client!$B8,'Data Sheet Actuals'!$E:$E,Client!$D$3,'Data Sheet Actuals'!$A:$A,Client!J$4)</f>
        <v>32653.02</v>
      </c>
      <c r="K8" s="34" t="str">
        <f>IFERROR(J8/#REF!,"")</f>
        <v/>
      </c>
      <c r="L8" s="47">
        <f>-SUMIFS('Data Sheet Actuals'!$D:$D,'Data Sheet Actuals'!$C:$C,Client!$B8,'Data Sheet Actuals'!$E:$E,Client!$D$3,'Data Sheet Actuals'!$A:$A,Client!L$4)</f>
        <v>32190.92</v>
      </c>
      <c r="M8" s="34" t="str">
        <f>IFERROR(L8/#REF!,"")</f>
        <v/>
      </c>
      <c r="N8" s="47">
        <f>-SUMIFS('Data Sheet Actuals'!$D:$D,'Data Sheet Actuals'!$C:$C,Client!$B8,'Data Sheet Actuals'!$E:$E,Client!$D$3,'Data Sheet Actuals'!$A:$A,Client!N$4)</f>
        <v>36321.14</v>
      </c>
      <c r="O8" s="34" t="str">
        <f>IFERROR(N8/#REF!,"")</f>
        <v/>
      </c>
      <c r="P8" s="47">
        <f>-SUMIFS('Data Sheet Actuals'!$D:$D,'Data Sheet Actuals'!$C:$C,Client!$B8,'Data Sheet Actuals'!$E:$E,Client!$D$3,'Data Sheet Actuals'!$A:$A,Client!P$4)</f>
        <v>35610.89</v>
      </c>
      <c r="Q8" s="34" t="str">
        <f>IFERROR(P8/#REF!,"")</f>
        <v/>
      </c>
      <c r="R8" s="47">
        <f>-SUMIFS('Data Sheet Actuals'!$D:$D,'Data Sheet Actuals'!$C:$C,Client!$B8,'Data Sheet Actuals'!$E:$E,Client!$D$3,'Data Sheet Actuals'!$A:$A,Client!R$4)</f>
        <v>37140.300000000003</v>
      </c>
      <c r="S8" s="34" t="str">
        <f>IFERROR(R8/#REF!,"")</f>
        <v/>
      </c>
      <c r="T8" s="47">
        <f>-SUMIFS('Data Sheet Actuals'!$D:$D,'Data Sheet Actuals'!$C:$C,Client!$B8,'Data Sheet Actuals'!$E:$E,Client!$D$3,'Data Sheet Actuals'!$A:$A,Client!T$4)</f>
        <v>32460.059999999998</v>
      </c>
      <c r="U8" s="34" t="str">
        <f>IFERROR(T8/#REF!,"")</f>
        <v/>
      </c>
      <c r="V8" s="47">
        <f>-SUMIFS('Data Sheet Actuals'!$D:$D,'Data Sheet Actuals'!$C:$C,Client!$B8,'Data Sheet Actuals'!$E:$E,Client!$D$3,'Data Sheet Actuals'!$A:$A,Client!V$4)</f>
        <v>32653.02</v>
      </c>
      <c r="W8" s="34" t="str">
        <f>IFERROR(V8/#REF!,"")</f>
        <v/>
      </c>
      <c r="X8" s="47">
        <f>-SUMIFS('Data Sheet Actuals'!$D:$D,'Data Sheet Actuals'!$C:$C,Client!$B8,'Data Sheet Actuals'!$E:$E,Client!$D$3,'Data Sheet Actuals'!$A:$A,Client!X$4)</f>
        <v>32190.92</v>
      </c>
      <c r="Y8" s="34" t="str">
        <f>IFERROR(X8/#REF!,"")</f>
        <v/>
      </c>
      <c r="Z8" s="47">
        <f>-SUMIFS('Data Sheet Actuals'!$D:$D,'Data Sheet Actuals'!$C:$C,Client!$B8,'Data Sheet Actuals'!$E:$E,Client!$D$3,'Data Sheet Actuals'!$A:$A,Client!Z$4)</f>
        <v>34885.949999999997</v>
      </c>
      <c r="AA8" s="34" t="str">
        <f>IFERROR(Z8/#REF!,"")</f>
        <v/>
      </c>
      <c r="AB8" s="31">
        <f t="shared" ref="AB8:AB12" si="0">SUM(D8,F8,H8,J8,L8,N8,P8,R8,T8,V8,X8,Z8)</f>
        <v>411317.47000000003</v>
      </c>
      <c r="AC8" s="34" t="str">
        <f>IFERROR(AB8/#REF!,"")</f>
        <v/>
      </c>
    </row>
    <row r="9" spans="1:29">
      <c r="B9" s="45">
        <v>1002</v>
      </c>
      <c r="C9" s="63" t="s">
        <v>105</v>
      </c>
      <c r="D9" s="47">
        <f>-SUMIFS('Data Sheet Actuals'!$D:$D,'Data Sheet Actuals'!$C:$C,Client!$B9,'Data Sheet Actuals'!$E:$E,Client!$D$3,'Data Sheet Actuals'!$A:$A,Client!D$4)</f>
        <v>30269.260000000002</v>
      </c>
      <c r="E9" s="34" t="str">
        <f>IFERROR(D9/#REF!,"")</f>
        <v/>
      </c>
      <c r="F9" s="47">
        <f>-SUMIFS('Data Sheet Actuals'!$D:$D,'Data Sheet Actuals'!$C:$C,Client!$B9,'Data Sheet Actuals'!$E:$E,Client!$D$3,'Data Sheet Actuals'!$A:$A,Client!F$4)</f>
        <v>31569.25</v>
      </c>
      <c r="G9" s="34" t="str">
        <f>IFERROR(F9/#REF!,"")</f>
        <v/>
      </c>
      <c r="H9" s="47">
        <f>-SUMIFS('Data Sheet Actuals'!$D:$D,'Data Sheet Actuals'!$C:$C,Client!$B9,'Data Sheet Actuals'!$E:$E,Client!$D$3,'Data Sheet Actuals'!$A:$A,Client!H$4)</f>
        <v>27591.059999999998</v>
      </c>
      <c r="I9" s="34" t="str">
        <f>IFERROR(H9/#REF!,"")</f>
        <v/>
      </c>
      <c r="J9" s="47">
        <f>-SUMIFS('Data Sheet Actuals'!$D:$D,'Data Sheet Actuals'!$C:$C,Client!$B9,'Data Sheet Actuals'!$E:$E,Client!$D$3,'Data Sheet Actuals'!$A:$A,Client!J$4)</f>
        <v>27755.07</v>
      </c>
      <c r="K9" s="34" t="str">
        <f>IFERROR(J9/#REF!,"")</f>
        <v/>
      </c>
      <c r="L9" s="47">
        <f>-SUMIFS('Data Sheet Actuals'!$D:$D,'Data Sheet Actuals'!$C:$C,Client!$B9,'Data Sheet Actuals'!$E:$E,Client!$D$3,'Data Sheet Actuals'!$A:$A,Client!L$4)</f>
        <v>27362.28</v>
      </c>
      <c r="M9" s="34" t="str">
        <f>IFERROR(L9/#REF!,"")</f>
        <v/>
      </c>
      <c r="N9" s="47">
        <f>-SUMIFS('Data Sheet Actuals'!$D:$D,'Data Sheet Actuals'!$C:$C,Client!$B9,'Data Sheet Actuals'!$E:$E,Client!$D$3,'Data Sheet Actuals'!$A:$A,Client!N$4)</f>
        <v>30872.959999999999</v>
      </c>
      <c r="O9" s="34" t="str">
        <f>IFERROR(N9/#REF!,"")</f>
        <v/>
      </c>
      <c r="P9" s="47">
        <f>-SUMIFS('Data Sheet Actuals'!$D:$D,'Data Sheet Actuals'!$C:$C,Client!$B9,'Data Sheet Actuals'!$E:$E,Client!$D$3,'Data Sheet Actuals'!$A:$A,Client!P$4)</f>
        <v>30269.260000000002</v>
      </c>
      <c r="Q9" s="34" t="str">
        <f>IFERROR(P9/#REF!,"")</f>
        <v/>
      </c>
      <c r="R9" s="47">
        <f>-SUMIFS('Data Sheet Actuals'!$D:$D,'Data Sheet Actuals'!$C:$C,Client!$B9,'Data Sheet Actuals'!$E:$E,Client!$D$3,'Data Sheet Actuals'!$A:$A,Client!R$4)</f>
        <v>31569.25</v>
      </c>
      <c r="S9" s="34" t="str">
        <f>IFERROR(R9/#REF!,"")</f>
        <v/>
      </c>
      <c r="T9" s="47">
        <f>-SUMIFS('Data Sheet Actuals'!$D:$D,'Data Sheet Actuals'!$C:$C,Client!$B9,'Data Sheet Actuals'!$E:$E,Client!$D$3,'Data Sheet Actuals'!$A:$A,Client!T$4)</f>
        <v>27591.059999999998</v>
      </c>
      <c r="U9" s="34" t="str">
        <f>IFERROR(T9/#REF!,"")</f>
        <v/>
      </c>
      <c r="V9" s="47">
        <f>-SUMIFS('Data Sheet Actuals'!$D:$D,'Data Sheet Actuals'!$C:$C,Client!$B9,'Data Sheet Actuals'!$E:$E,Client!$D$3,'Data Sheet Actuals'!$A:$A,Client!V$4)</f>
        <v>27755.07</v>
      </c>
      <c r="W9" s="34" t="str">
        <f>IFERROR(V9/#REF!,"")</f>
        <v/>
      </c>
      <c r="X9" s="47">
        <f>-SUMIFS('Data Sheet Actuals'!$D:$D,'Data Sheet Actuals'!$C:$C,Client!$B9,'Data Sheet Actuals'!$E:$E,Client!$D$3,'Data Sheet Actuals'!$A:$A,Client!X$4)</f>
        <v>27362.28</v>
      </c>
      <c r="Y9" s="34" t="str">
        <f>IFERROR(X9/#REF!,"")</f>
        <v/>
      </c>
      <c r="Z9" s="47">
        <f>-SUMIFS('Data Sheet Actuals'!$D:$D,'Data Sheet Actuals'!$C:$C,Client!$B9,'Data Sheet Actuals'!$E:$E,Client!$D$3,'Data Sheet Actuals'!$A:$A,Client!Z$4)</f>
        <v>29653.059999999998</v>
      </c>
      <c r="AA9" s="34" t="str">
        <f>IFERROR(Z9/#REF!,"")</f>
        <v/>
      </c>
      <c r="AB9" s="31">
        <f t="shared" si="0"/>
        <v>349619.86000000004</v>
      </c>
      <c r="AC9" s="34" t="str">
        <f>IFERROR(AB9/#REF!,"")</f>
        <v/>
      </c>
    </row>
    <row r="10" spans="1:29">
      <c r="B10" s="45">
        <v>1003</v>
      </c>
      <c r="C10" s="63" t="s">
        <v>106</v>
      </c>
      <c r="D10" s="47">
        <f>-SUMIFS('Data Sheet Actuals'!$D:$D,'Data Sheet Actuals'!$C:$C,Client!$B10,'Data Sheet Actuals'!$E:$E,Client!$D$3,'Data Sheet Actuals'!$A:$A,Client!D$4)</f>
        <v>25728.86</v>
      </c>
      <c r="E10" s="34" t="str">
        <f>IFERROR(D10/#REF!,"")</f>
        <v/>
      </c>
      <c r="F10" s="47">
        <f>-SUMIFS('Data Sheet Actuals'!$D:$D,'Data Sheet Actuals'!$C:$C,Client!$B10,'Data Sheet Actuals'!$E:$E,Client!$D$3,'Data Sheet Actuals'!$A:$A,Client!F$4)</f>
        <v>26833.86</v>
      </c>
      <c r="G10" s="34" t="str">
        <f>IFERROR(F10/#REF!,"")</f>
        <v/>
      </c>
      <c r="H10" s="47">
        <f>-SUMIFS('Data Sheet Actuals'!$D:$D,'Data Sheet Actuals'!$C:$C,Client!$B10,'Data Sheet Actuals'!$E:$E,Client!$D$3,'Data Sheet Actuals'!$A:$A,Client!H$4)</f>
        <v>23452.400000000001</v>
      </c>
      <c r="I10" s="34" t="str">
        <f>IFERROR(H10/#REF!,"")</f>
        <v/>
      </c>
      <c r="J10" s="47">
        <f>-SUMIFS('Data Sheet Actuals'!$D:$D,'Data Sheet Actuals'!$C:$C,Client!$B10,'Data Sheet Actuals'!$E:$E,Client!$D$3,'Data Sheet Actuals'!$A:$A,Client!J$4)</f>
        <v>23591.8</v>
      </c>
      <c r="K10" s="34" t="str">
        <f>IFERROR(J10/#REF!,"")</f>
        <v/>
      </c>
      <c r="L10" s="47">
        <f>-SUMIFS('Data Sheet Actuals'!$D:$D,'Data Sheet Actuals'!$C:$C,Client!$B10,'Data Sheet Actuals'!$E:$E,Client!$D$3,'Data Sheet Actuals'!$A:$A,Client!L$4)</f>
        <v>23257.93</v>
      </c>
      <c r="M10" s="34" t="str">
        <f>IFERROR(L10/#REF!,"")</f>
        <v/>
      </c>
      <c r="N10" s="47">
        <f>-SUMIFS('Data Sheet Actuals'!$D:$D,'Data Sheet Actuals'!$C:$C,Client!$B10,'Data Sheet Actuals'!$E:$E,Client!$D$3,'Data Sheet Actuals'!$A:$A,Client!N$4)</f>
        <v>26242.019999999997</v>
      </c>
      <c r="O10" s="34" t="str">
        <f>IFERROR(N10/#REF!,"")</f>
        <v/>
      </c>
      <c r="P10" s="47">
        <f>-SUMIFS('Data Sheet Actuals'!$D:$D,'Data Sheet Actuals'!$C:$C,Client!$B10,'Data Sheet Actuals'!$E:$E,Client!$D$3,'Data Sheet Actuals'!$A:$A,Client!P$4)</f>
        <v>25728.86</v>
      </c>
      <c r="Q10" s="34" t="str">
        <f>IFERROR(P10/#REF!,"")</f>
        <v/>
      </c>
      <c r="R10" s="47">
        <f>-SUMIFS('Data Sheet Actuals'!$D:$D,'Data Sheet Actuals'!$C:$C,Client!$B10,'Data Sheet Actuals'!$E:$E,Client!$D$3,'Data Sheet Actuals'!$A:$A,Client!R$4)</f>
        <v>26833.86</v>
      </c>
      <c r="S10" s="34" t="str">
        <f>IFERROR(R10/#REF!,"")</f>
        <v/>
      </c>
      <c r="T10" s="47">
        <f>-SUMIFS('Data Sheet Actuals'!$D:$D,'Data Sheet Actuals'!$C:$C,Client!$B10,'Data Sheet Actuals'!$E:$E,Client!$D$3,'Data Sheet Actuals'!$A:$A,Client!T$4)</f>
        <v>23452.400000000001</v>
      </c>
      <c r="U10" s="34" t="str">
        <f>IFERROR(T10/#REF!,"")</f>
        <v/>
      </c>
      <c r="V10" s="47">
        <f>-SUMIFS('Data Sheet Actuals'!$D:$D,'Data Sheet Actuals'!$C:$C,Client!$B10,'Data Sheet Actuals'!$E:$E,Client!$D$3,'Data Sheet Actuals'!$A:$A,Client!V$4)</f>
        <v>23591.8</v>
      </c>
      <c r="W10" s="34" t="str">
        <f>IFERROR(V10/#REF!,"")</f>
        <v/>
      </c>
      <c r="X10" s="47">
        <f>-SUMIFS('Data Sheet Actuals'!$D:$D,'Data Sheet Actuals'!$C:$C,Client!$B10,'Data Sheet Actuals'!$E:$E,Client!$D$3,'Data Sheet Actuals'!$A:$A,Client!X$4)</f>
        <v>23257.93</v>
      </c>
      <c r="Y10" s="34" t="str">
        <f>IFERROR(X10/#REF!,"")</f>
        <v/>
      </c>
      <c r="Z10" s="47">
        <f>-SUMIFS('Data Sheet Actuals'!$D:$D,'Data Sheet Actuals'!$C:$C,Client!$B10,'Data Sheet Actuals'!$E:$E,Client!$D$3,'Data Sheet Actuals'!$A:$A,Client!Z$4)</f>
        <v>25205.1</v>
      </c>
      <c r="AA10" s="34" t="str">
        <f>IFERROR(Z10/#REF!,"")</f>
        <v/>
      </c>
      <c r="AB10" s="31">
        <f t="shared" si="0"/>
        <v>297176.81999999995</v>
      </c>
      <c r="AC10" s="34" t="str">
        <f>IFERROR(AB10/#REF!,"")</f>
        <v/>
      </c>
    </row>
    <row r="11" spans="1:29">
      <c r="B11" s="45">
        <v>1004</v>
      </c>
      <c r="C11" s="63" t="s">
        <v>107</v>
      </c>
      <c r="D11" s="47">
        <f>-SUMIFS('Data Sheet Actuals'!$D:$D,'Data Sheet Actuals'!$C:$C,Client!$B11,'Data Sheet Actuals'!$E:$E,Client!$D$3,'Data Sheet Actuals'!$A:$A,Client!D$4)</f>
        <v>21869.54</v>
      </c>
      <c r="E11" s="34" t="str">
        <f>IFERROR(D11/#REF!,"")</f>
        <v/>
      </c>
      <c r="F11" s="47">
        <f>-SUMIFS('Data Sheet Actuals'!$D:$D,'Data Sheet Actuals'!$C:$C,Client!$B11,'Data Sheet Actuals'!$E:$E,Client!$D$3,'Data Sheet Actuals'!$A:$A,Client!F$4)</f>
        <v>22808.78</v>
      </c>
      <c r="G11" s="34" t="str">
        <f>IFERROR(F11/#REF!,"")</f>
        <v/>
      </c>
      <c r="H11" s="47">
        <f>-SUMIFS('Data Sheet Actuals'!$D:$D,'Data Sheet Actuals'!$C:$C,Client!$B11,'Data Sheet Actuals'!$E:$E,Client!$D$3,'Data Sheet Actuals'!$A:$A,Client!H$4)</f>
        <v>19934.54</v>
      </c>
      <c r="I11" s="34" t="str">
        <f>IFERROR(H11/#REF!,"")</f>
        <v/>
      </c>
      <c r="J11" s="47">
        <f>-SUMIFS('Data Sheet Actuals'!$D:$D,'Data Sheet Actuals'!$C:$C,Client!$B11,'Data Sheet Actuals'!$E:$E,Client!$D$3,'Data Sheet Actuals'!$A:$A,Client!J$4)</f>
        <v>20053.04</v>
      </c>
      <c r="K11" s="34" t="str">
        <f>IFERROR(J11/#REF!,"")</f>
        <v/>
      </c>
      <c r="L11" s="47">
        <f>-SUMIFS('Data Sheet Actuals'!$D:$D,'Data Sheet Actuals'!$C:$C,Client!$B11,'Data Sheet Actuals'!$E:$E,Client!$D$3,'Data Sheet Actuals'!$A:$A,Client!L$4)</f>
        <v>19769.25</v>
      </c>
      <c r="M11" s="34" t="str">
        <f>IFERROR(L11/#REF!,"")</f>
        <v/>
      </c>
      <c r="N11" s="47">
        <f>-SUMIFS('Data Sheet Actuals'!$D:$D,'Data Sheet Actuals'!$C:$C,Client!$B11,'Data Sheet Actuals'!$E:$E,Client!$D$3,'Data Sheet Actuals'!$A:$A,Client!N$4)</f>
        <v>22305.72</v>
      </c>
      <c r="O11" s="34" t="str">
        <f>IFERROR(N11/#REF!,"")</f>
        <v/>
      </c>
      <c r="P11" s="47">
        <f>-SUMIFS('Data Sheet Actuals'!$D:$D,'Data Sheet Actuals'!$C:$C,Client!$B11,'Data Sheet Actuals'!$E:$E,Client!$D$3,'Data Sheet Actuals'!$A:$A,Client!P$4)</f>
        <v>21869.54</v>
      </c>
      <c r="Q11" s="34" t="str">
        <f>IFERROR(P11/#REF!,"")</f>
        <v/>
      </c>
      <c r="R11" s="47">
        <f>-SUMIFS('Data Sheet Actuals'!$D:$D,'Data Sheet Actuals'!$C:$C,Client!$B11,'Data Sheet Actuals'!$E:$E,Client!$D$3,'Data Sheet Actuals'!$A:$A,Client!R$4)</f>
        <v>22808.78</v>
      </c>
      <c r="S11" s="34" t="str">
        <f>IFERROR(R11/#REF!,"")</f>
        <v/>
      </c>
      <c r="T11" s="47">
        <f>-SUMIFS('Data Sheet Actuals'!$D:$D,'Data Sheet Actuals'!$C:$C,Client!$B11,'Data Sheet Actuals'!$E:$E,Client!$D$3,'Data Sheet Actuals'!$A:$A,Client!T$4)</f>
        <v>19934.54</v>
      </c>
      <c r="U11" s="34" t="str">
        <f>IFERROR(T11/#REF!,"")</f>
        <v/>
      </c>
      <c r="V11" s="47">
        <f>-SUMIFS('Data Sheet Actuals'!$D:$D,'Data Sheet Actuals'!$C:$C,Client!$B11,'Data Sheet Actuals'!$E:$E,Client!$D$3,'Data Sheet Actuals'!$A:$A,Client!V$4)</f>
        <v>20053.04</v>
      </c>
      <c r="W11" s="34" t="str">
        <f>IFERROR(V11/#REF!,"")</f>
        <v/>
      </c>
      <c r="X11" s="47">
        <f>-SUMIFS('Data Sheet Actuals'!$D:$D,'Data Sheet Actuals'!$C:$C,Client!$B11,'Data Sheet Actuals'!$E:$E,Client!$D$3,'Data Sheet Actuals'!$A:$A,Client!X$4)</f>
        <v>19769.25</v>
      </c>
      <c r="Y11" s="34" t="str">
        <f>IFERROR(X11/#REF!,"")</f>
        <v/>
      </c>
      <c r="Z11" s="47">
        <f>-SUMIFS('Data Sheet Actuals'!$D:$D,'Data Sheet Actuals'!$C:$C,Client!$B11,'Data Sheet Actuals'!$E:$E,Client!$D$3,'Data Sheet Actuals'!$A:$A,Client!Z$4)</f>
        <v>21424.33</v>
      </c>
      <c r="AA11" s="34" t="str">
        <f>IFERROR(Z11/#REF!,"")</f>
        <v/>
      </c>
      <c r="AB11" s="31">
        <f t="shared" si="0"/>
        <v>252600.35000000003</v>
      </c>
      <c r="AC11" s="34" t="str">
        <f>IFERROR(AB11/#REF!,"")</f>
        <v/>
      </c>
    </row>
    <row r="12" spans="1:29">
      <c r="B12" s="45">
        <v>1005</v>
      </c>
      <c r="C12" s="63" t="s">
        <v>108</v>
      </c>
      <c r="D12" s="47">
        <f>-SUMIFS('Data Sheet Actuals'!$D:$D,'Data Sheet Actuals'!$C:$C,Client!$B12,'Data Sheet Actuals'!$E:$E,Client!$D$3,'Data Sheet Actuals'!$A:$A,Client!D$4)</f>
        <v>3280.4300000000003</v>
      </c>
      <c r="E12" s="34" t="str">
        <f>IFERROR(D12/#REF!,"")</f>
        <v/>
      </c>
      <c r="F12" s="47">
        <f>-SUMIFS('Data Sheet Actuals'!$D:$D,'Data Sheet Actuals'!$C:$C,Client!$B12,'Data Sheet Actuals'!$E:$E,Client!$D$3,'Data Sheet Actuals'!$A:$A,Client!F$4)</f>
        <v>3421.3199999999997</v>
      </c>
      <c r="G12" s="34" t="str">
        <f>IFERROR(F12/#REF!,"")</f>
        <v/>
      </c>
      <c r="H12" s="47">
        <f>-SUMIFS('Data Sheet Actuals'!$D:$D,'Data Sheet Actuals'!$C:$C,Client!$B12,'Data Sheet Actuals'!$E:$E,Client!$D$3,'Data Sheet Actuals'!$A:$A,Client!H$4)</f>
        <v>2990.18</v>
      </c>
      <c r="I12" s="34" t="str">
        <f>IFERROR(H12/#REF!,"")</f>
        <v/>
      </c>
      <c r="J12" s="47">
        <f>-SUMIFS('Data Sheet Actuals'!$D:$D,'Data Sheet Actuals'!$C:$C,Client!$B12,'Data Sheet Actuals'!$E:$E,Client!$D$3,'Data Sheet Actuals'!$A:$A,Client!J$4)</f>
        <v>3007.95</v>
      </c>
      <c r="K12" s="34" t="str">
        <f>IFERROR(J12/#REF!,"")</f>
        <v/>
      </c>
      <c r="L12" s="47">
        <f>-SUMIFS('Data Sheet Actuals'!$D:$D,'Data Sheet Actuals'!$C:$C,Client!$B12,'Data Sheet Actuals'!$E:$E,Client!$D$3,'Data Sheet Actuals'!$A:$A,Client!L$4)</f>
        <v>2965.38</v>
      </c>
      <c r="M12" s="34" t="str">
        <f>IFERROR(L12/#REF!,"")</f>
        <v/>
      </c>
      <c r="N12" s="47">
        <f>-SUMIFS('Data Sheet Actuals'!$D:$D,'Data Sheet Actuals'!$C:$C,Client!$B12,'Data Sheet Actuals'!$E:$E,Client!$D$3,'Data Sheet Actuals'!$A:$A,Client!N$4)</f>
        <v>3345.86</v>
      </c>
      <c r="O12" s="34" t="str">
        <f>IFERROR(N12/#REF!,"")</f>
        <v/>
      </c>
      <c r="P12" s="47">
        <f>-SUMIFS('Data Sheet Actuals'!$D:$D,'Data Sheet Actuals'!$C:$C,Client!$B12,'Data Sheet Actuals'!$E:$E,Client!$D$3,'Data Sheet Actuals'!$A:$A,Client!P$4)</f>
        <v>3280.4300000000003</v>
      </c>
      <c r="Q12" s="34" t="str">
        <f>IFERROR(P12/#REF!,"")</f>
        <v/>
      </c>
      <c r="R12" s="47">
        <f>-SUMIFS('Data Sheet Actuals'!$D:$D,'Data Sheet Actuals'!$C:$C,Client!$B12,'Data Sheet Actuals'!$E:$E,Client!$D$3,'Data Sheet Actuals'!$A:$A,Client!R$4)</f>
        <v>3421.3199999999997</v>
      </c>
      <c r="S12" s="34" t="str">
        <f>IFERROR(R12/#REF!,"")</f>
        <v/>
      </c>
      <c r="T12" s="47">
        <f>-SUMIFS('Data Sheet Actuals'!$D:$D,'Data Sheet Actuals'!$C:$C,Client!$B12,'Data Sheet Actuals'!$E:$E,Client!$D$3,'Data Sheet Actuals'!$A:$A,Client!T$4)</f>
        <v>2990.18</v>
      </c>
      <c r="U12" s="34" t="str">
        <f>IFERROR(T12/#REF!,"")</f>
        <v/>
      </c>
      <c r="V12" s="47">
        <f>-SUMIFS('Data Sheet Actuals'!$D:$D,'Data Sheet Actuals'!$C:$C,Client!$B12,'Data Sheet Actuals'!$E:$E,Client!$D$3,'Data Sheet Actuals'!$A:$A,Client!V$4)</f>
        <v>3007.95</v>
      </c>
      <c r="W12" s="34" t="str">
        <f>IFERROR(V12/#REF!,"")</f>
        <v/>
      </c>
      <c r="X12" s="47">
        <f>-SUMIFS('Data Sheet Actuals'!$D:$D,'Data Sheet Actuals'!$C:$C,Client!$B12,'Data Sheet Actuals'!$E:$E,Client!$D$3,'Data Sheet Actuals'!$A:$A,Client!X$4)</f>
        <v>2965.38</v>
      </c>
      <c r="Y12" s="34" t="str">
        <f>IFERROR(X12/#REF!,"")</f>
        <v/>
      </c>
      <c r="Z12" s="47">
        <f>-SUMIFS('Data Sheet Actuals'!$D:$D,'Data Sheet Actuals'!$C:$C,Client!$B12,'Data Sheet Actuals'!$E:$E,Client!$D$3,'Data Sheet Actuals'!$A:$A,Client!Z$4)</f>
        <v>3213.64</v>
      </c>
      <c r="AA12" s="34" t="str">
        <f>IFERROR(Z12/#REF!,"")</f>
        <v/>
      </c>
      <c r="AB12" s="31">
        <f t="shared" si="0"/>
        <v>37890.020000000004</v>
      </c>
      <c r="AC12" s="34" t="str">
        <f>IFERROR(AB12/#REF!,"")</f>
        <v/>
      </c>
    </row>
    <row r="13" spans="1:29">
      <c r="B13" s="45"/>
      <c r="C13" s="54"/>
      <c r="D13" s="48" t="s">
        <v>42</v>
      </c>
      <c r="E13" s="36" t="s">
        <v>42</v>
      </c>
      <c r="F13" s="35" t="s">
        <v>42</v>
      </c>
      <c r="G13" s="36" t="s">
        <v>42</v>
      </c>
      <c r="H13" s="35" t="s">
        <v>42</v>
      </c>
      <c r="I13" s="36" t="s">
        <v>42</v>
      </c>
      <c r="J13" s="35" t="s">
        <v>42</v>
      </c>
      <c r="K13" s="36" t="s">
        <v>42</v>
      </c>
      <c r="L13" s="35" t="s">
        <v>42</v>
      </c>
      <c r="M13" s="36" t="s">
        <v>42</v>
      </c>
      <c r="N13" s="35" t="s">
        <v>42</v>
      </c>
      <c r="O13" s="36" t="s">
        <v>42</v>
      </c>
      <c r="P13" s="35" t="s">
        <v>42</v>
      </c>
      <c r="Q13" s="36" t="s">
        <v>42</v>
      </c>
      <c r="R13" s="35" t="s">
        <v>42</v>
      </c>
      <c r="S13" s="36" t="s">
        <v>42</v>
      </c>
      <c r="T13" s="35" t="s">
        <v>42</v>
      </c>
      <c r="U13" s="36" t="s">
        <v>42</v>
      </c>
      <c r="V13" s="35" t="s">
        <v>42</v>
      </c>
      <c r="W13" s="36" t="s">
        <v>42</v>
      </c>
      <c r="X13" s="35" t="s">
        <v>42</v>
      </c>
      <c r="Y13" s="36" t="s">
        <v>42</v>
      </c>
      <c r="Z13" s="35" t="s">
        <v>42</v>
      </c>
      <c r="AA13" s="36" t="s">
        <v>42</v>
      </c>
      <c r="AB13" s="35" t="s">
        <v>42</v>
      </c>
      <c r="AC13" s="36" t="s">
        <v>42</v>
      </c>
    </row>
    <row r="14" spans="1:29">
      <c r="B14" s="45"/>
      <c r="C14" s="57" t="s">
        <v>43</v>
      </c>
      <c r="D14" s="64">
        <f>SUM(D8:D13)</f>
        <v>116758.97999999998</v>
      </c>
      <c r="E14" s="65" t="str">
        <f>IFERROR(D14/#REF!,"")</f>
        <v/>
      </c>
      <c r="F14" s="64">
        <f>SUM(F8:F13)</f>
        <v>121773.51000000001</v>
      </c>
      <c r="G14" s="65" t="str">
        <f>IFERROR(F14/#REF!,"")</f>
        <v/>
      </c>
      <c r="H14" s="64">
        <f>SUM(H8:H13)</f>
        <v>106428.23999999999</v>
      </c>
      <c r="I14" s="65" t="str">
        <f>IFERROR(H14/#REF!,"")</f>
        <v/>
      </c>
      <c r="J14" s="64">
        <f>SUM(J8:J13)</f>
        <v>107060.87999999999</v>
      </c>
      <c r="K14" s="65" t="str">
        <f>IFERROR(J14/#REF!,"")</f>
        <v/>
      </c>
      <c r="L14" s="64">
        <f>SUM(L8:L13)</f>
        <v>105545.76000000001</v>
      </c>
      <c r="M14" s="65" t="str">
        <f>IFERROR(L14/#REF!,"")</f>
        <v/>
      </c>
      <c r="N14" s="64">
        <f>SUM(N8:N13)</f>
        <v>119087.7</v>
      </c>
      <c r="O14" s="65" t="str">
        <f>IFERROR(N14/#REF!,"")</f>
        <v/>
      </c>
      <c r="P14" s="64">
        <f>SUM(P8:P13)</f>
        <v>116758.97999999998</v>
      </c>
      <c r="Q14" s="65" t="str">
        <f>IFERROR(P14/#REF!,"")</f>
        <v/>
      </c>
      <c r="R14" s="64">
        <f>SUM(R8:R13)</f>
        <v>121773.51000000001</v>
      </c>
      <c r="S14" s="65" t="str">
        <f>IFERROR(R14/#REF!,"")</f>
        <v/>
      </c>
      <c r="T14" s="64">
        <f>SUM(T8:T13)</f>
        <v>106428.23999999999</v>
      </c>
      <c r="U14" s="65" t="str">
        <f>IFERROR(T14/#REF!,"")</f>
        <v/>
      </c>
      <c r="V14" s="64">
        <f>SUM(V8:V13)</f>
        <v>107060.87999999999</v>
      </c>
      <c r="W14" s="65" t="str">
        <f>IFERROR(V14/#REF!,"")</f>
        <v/>
      </c>
      <c r="X14" s="64">
        <f>SUM(X8:X13)</f>
        <v>105545.76000000001</v>
      </c>
      <c r="Y14" s="65" t="str">
        <f>IFERROR(X14/#REF!,"")</f>
        <v/>
      </c>
      <c r="Z14" s="64">
        <f>SUM(Z8:Z13)</f>
        <v>114382.07999999999</v>
      </c>
      <c r="AA14" s="65" t="str">
        <f>IFERROR(Z14/#REF!,"")</f>
        <v/>
      </c>
      <c r="AB14" s="64">
        <f>SUM(AB8:AB13)</f>
        <v>1348604.52</v>
      </c>
      <c r="AC14" s="65" t="str">
        <f>IFERROR(AB14/#REF!,"")</f>
        <v/>
      </c>
    </row>
    <row r="15" spans="1:29">
      <c r="B15" s="45"/>
      <c r="C15" s="54"/>
      <c r="D15" s="48" t="s">
        <v>42</v>
      </c>
      <c r="E15" s="36" t="s">
        <v>42</v>
      </c>
      <c r="F15" s="35" t="s">
        <v>42</v>
      </c>
      <c r="G15" s="36" t="s">
        <v>42</v>
      </c>
      <c r="H15" s="35" t="s">
        <v>42</v>
      </c>
      <c r="I15" s="36" t="s">
        <v>42</v>
      </c>
      <c r="J15" s="35" t="s">
        <v>42</v>
      </c>
      <c r="K15" s="36" t="s">
        <v>42</v>
      </c>
      <c r="L15" s="35" t="s">
        <v>42</v>
      </c>
      <c r="M15" s="36" t="s">
        <v>42</v>
      </c>
      <c r="N15" s="35" t="s">
        <v>42</v>
      </c>
      <c r="O15" s="36" t="s">
        <v>42</v>
      </c>
      <c r="P15" s="35" t="s">
        <v>42</v>
      </c>
      <c r="Q15" s="36" t="s">
        <v>42</v>
      </c>
      <c r="R15" s="35" t="s">
        <v>42</v>
      </c>
      <c r="S15" s="36" t="s">
        <v>42</v>
      </c>
      <c r="T15" s="35" t="s">
        <v>42</v>
      </c>
      <c r="U15" s="36" t="s">
        <v>42</v>
      </c>
      <c r="V15" s="35" t="s">
        <v>42</v>
      </c>
      <c r="W15" s="36" t="s">
        <v>42</v>
      </c>
      <c r="X15" s="35" t="s">
        <v>42</v>
      </c>
      <c r="Y15" s="36" t="s">
        <v>42</v>
      </c>
      <c r="Z15" s="35" t="s">
        <v>42</v>
      </c>
      <c r="AA15" s="36" t="s">
        <v>42</v>
      </c>
      <c r="AB15" s="35" t="s">
        <v>42</v>
      </c>
      <c r="AC15" s="36" t="s">
        <v>42</v>
      </c>
    </row>
    <row r="16" spans="1:29">
      <c r="B16" s="45"/>
      <c r="C16" s="54"/>
      <c r="D16" s="47"/>
      <c r="E16" s="32"/>
      <c r="F16" s="31"/>
      <c r="G16" s="32"/>
      <c r="H16" s="31"/>
      <c r="I16" s="32"/>
      <c r="J16" s="31"/>
      <c r="K16" s="32"/>
      <c r="L16" s="31"/>
      <c r="M16" s="32"/>
      <c r="N16" s="31"/>
      <c r="O16" s="32"/>
      <c r="P16" s="31"/>
      <c r="Q16" s="32"/>
      <c r="R16" s="31"/>
      <c r="S16" s="32"/>
      <c r="T16" s="31"/>
      <c r="U16" s="32"/>
      <c r="V16" s="31"/>
      <c r="W16" s="32"/>
      <c r="X16" s="31"/>
      <c r="Y16" s="32"/>
      <c r="Z16" s="31"/>
      <c r="AA16" s="32"/>
      <c r="AB16" s="31"/>
      <c r="AC16" s="32"/>
    </row>
    <row r="17" spans="2:29">
      <c r="B17" s="45"/>
      <c r="C17" s="57" t="s">
        <v>44</v>
      </c>
      <c r="D17" s="47"/>
      <c r="E17" s="32"/>
      <c r="F17" s="31"/>
      <c r="G17" s="32"/>
      <c r="H17" s="31"/>
      <c r="I17" s="32"/>
      <c r="J17" s="31"/>
      <c r="K17" s="32"/>
      <c r="L17" s="31"/>
      <c r="M17" s="32"/>
      <c r="N17" s="31"/>
      <c r="O17" s="32"/>
      <c r="P17" s="31"/>
      <c r="Q17" s="32"/>
      <c r="R17" s="31"/>
      <c r="S17" s="32"/>
      <c r="T17" s="31"/>
      <c r="U17" s="32"/>
      <c r="V17" s="31"/>
      <c r="W17" s="32"/>
      <c r="X17" s="31"/>
      <c r="Y17" s="32"/>
      <c r="Z17" s="31"/>
      <c r="AA17" s="32"/>
      <c r="AB17" s="31"/>
      <c r="AC17" s="32"/>
    </row>
    <row r="18" spans="2:29">
      <c r="B18" s="45">
        <v>2001</v>
      </c>
      <c r="C18" s="63" t="s">
        <v>104</v>
      </c>
      <c r="D18" s="47">
        <f>SUMIFS('Data Sheet Actuals'!$D:$D,'Data Sheet Actuals'!$C:$C,Client!$B18,'Data Sheet Actuals'!$E:$E,Client!$D$3,'Data Sheet Actuals'!$A:$A,Client!D$4)</f>
        <v>18420.98</v>
      </c>
      <c r="E18" s="33">
        <f>IFERROR(D18/D8,"")</f>
        <v>0.51728502152010236</v>
      </c>
      <c r="F18" s="31">
        <f>SUMIFS('Data Sheet Actuals'!$D:$D,'Data Sheet Actuals'!$C:$C,Client!$B18,'Data Sheet Actuals'!$E:$E,Client!$D$3,'Data Sheet Actuals'!$A:$A,Client!F$4)</f>
        <v>19100.050000000003</v>
      </c>
      <c r="G18" s="33">
        <f>IFERROR(F18/F8,"")</f>
        <v>0.51426752072546533</v>
      </c>
      <c r="H18" s="31">
        <f>SUMIFS('Data Sheet Actuals'!$D:$D,'Data Sheet Actuals'!$C:$C,Client!$B18,'Data Sheet Actuals'!$E:$E,Client!$D$3,'Data Sheet Actuals'!$A:$A,Client!H$4)</f>
        <v>19849.879999999997</v>
      </c>
      <c r="I18" s="33">
        <f>IFERROR(H18/H8,"")</f>
        <v>0.61151704587114131</v>
      </c>
      <c r="J18" s="31">
        <f>SUMIFS('Data Sheet Actuals'!$D:$D,'Data Sheet Actuals'!$C:$C,Client!$B18,'Data Sheet Actuals'!$E:$E,Client!$D$3,'Data Sheet Actuals'!$A:$A,Client!J$4)</f>
        <v>19576.05</v>
      </c>
      <c r="K18" s="33">
        <f>IFERROR(J18/J8,"")</f>
        <v>0.59951728814057625</v>
      </c>
      <c r="L18" s="31">
        <f>SUMIFS('Data Sheet Actuals'!$D:$D,'Data Sheet Actuals'!$C:$C,Client!$B18,'Data Sheet Actuals'!$E:$E,Client!$D$3,'Data Sheet Actuals'!$A:$A,Client!L$4)</f>
        <v>16277.439999999999</v>
      </c>
      <c r="M18" s="33">
        <f>IFERROR(L18/L8,"")</f>
        <v>0.50565314691223484</v>
      </c>
      <c r="N18" s="31">
        <f>SUMIFS('Data Sheet Actuals'!$D:$D,'Data Sheet Actuals'!$C:$C,Client!$B18,'Data Sheet Actuals'!$E:$E,Client!$D$3,'Data Sheet Actuals'!$A:$A,Client!N$4)</f>
        <v>18670.920000000002</v>
      </c>
      <c r="O18" s="33">
        <f>IFERROR(N18/N8,"")</f>
        <v>0.51405104575462124</v>
      </c>
      <c r="P18" s="31">
        <f>SUMIFS('Data Sheet Actuals'!$D:$D,'Data Sheet Actuals'!$C:$C,Client!$B18,'Data Sheet Actuals'!$E:$E,Client!$D$3,'Data Sheet Actuals'!$A:$A,Client!P$4)</f>
        <v>17763.120000000003</v>
      </c>
      <c r="Q18" s="33">
        <f>IFERROR(P18/P8,"")</f>
        <v>0.49881145907895036</v>
      </c>
      <c r="R18" s="31">
        <f>SUMIFS('Data Sheet Actuals'!$D:$D,'Data Sheet Actuals'!$C:$C,Client!$B18,'Data Sheet Actuals'!$E:$E,Client!$D$3,'Data Sheet Actuals'!$A:$A,Client!R$4)</f>
        <v>18892.59</v>
      </c>
      <c r="S18" s="33">
        <f>IFERROR(R18/R8,"")</f>
        <v>0.50868167462298364</v>
      </c>
      <c r="T18" s="31">
        <f>SUMIFS('Data Sheet Actuals'!$D:$D,'Data Sheet Actuals'!$C:$C,Client!$B18,'Data Sheet Actuals'!$E:$E,Client!$D$3,'Data Sheet Actuals'!$A:$A,Client!T$4)</f>
        <v>21098.91</v>
      </c>
      <c r="U18" s="33">
        <f>IFERROR(T18/T8,"")</f>
        <v>0.64999602588534966</v>
      </c>
      <c r="V18" s="31">
        <f>SUMIFS('Data Sheet Actuals'!$D:$D,'Data Sheet Actuals'!$C:$C,Client!$B18,'Data Sheet Actuals'!$E:$E,Client!$D$3,'Data Sheet Actuals'!$A:$A,Client!V$4)</f>
        <v>16244.16</v>
      </c>
      <c r="W18" s="33">
        <f>IFERROR(V18/V8,"")</f>
        <v>0.49747802806601044</v>
      </c>
      <c r="X18" s="31">
        <f>SUMIFS('Data Sheet Actuals'!$D:$D,'Data Sheet Actuals'!$C:$C,Client!$B18,'Data Sheet Actuals'!$E:$E,Client!$D$3,'Data Sheet Actuals'!$A:$A,Client!X$4)</f>
        <v>18023.5</v>
      </c>
      <c r="Y18" s="33">
        <f>IFERROR(X18/X8,"")</f>
        <v>0.55989390797156469</v>
      </c>
      <c r="Z18" s="31">
        <f>SUMIFS('Data Sheet Actuals'!$D:$D,'Data Sheet Actuals'!$C:$C,Client!$B18,'Data Sheet Actuals'!$E:$E,Client!$D$3,'Data Sheet Actuals'!$A:$A,Client!Z$4)</f>
        <v>15102.21</v>
      </c>
      <c r="AA18" s="33">
        <f>IFERROR(Z18/Z8,"")</f>
        <v>0.43290235753935324</v>
      </c>
      <c r="AB18" s="31">
        <f t="shared" ref="AB18:AB22" si="1">SUM(D18,F18,H18,J18,L18,N18,P18,R18,T18,V18,X18,Z18)</f>
        <v>219019.81</v>
      </c>
      <c r="AC18" s="33">
        <f>IFERROR(AB18/AB8,"")</f>
        <v>0.53248360688399643</v>
      </c>
    </row>
    <row r="19" spans="2:29">
      <c r="B19" s="45">
        <v>2002</v>
      </c>
      <c r="C19" s="63" t="s">
        <v>105</v>
      </c>
      <c r="D19" s="47">
        <f>SUMIFS('Data Sheet Actuals'!$D:$D,'Data Sheet Actuals'!$C:$C,Client!$B19,'Data Sheet Actuals'!$E:$E,Client!$D$3,'Data Sheet Actuals'!$A:$A,Client!D$4)</f>
        <v>16374.489999999998</v>
      </c>
      <c r="E19" s="33">
        <f t="shared" ref="E19:G22" si="2">IFERROR(D19/D9,"")</f>
        <v>0.54096102778858801</v>
      </c>
      <c r="F19" s="31">
        <f>SUMIFS('Data Sheet Actuals'!$D:$D,'Data Sheet Actuals'!$C:$C,Client!$B19,'Data Sheet Actuals'!$E:$E,Client!$D$3,'Data Sheet Actuals'!$A:$A,Client!F$4)</f>
        <v>16993.419999999998</v>
      </c>
      <c r="G19" s="33">
        <f t="shared" si="2"/>
        <v>0.53829026663604607</v>
      </c>
      <c r="H19" s="31">
        <f>SUMIFS('Data Sheet Actuals'!$D:$D,'Data Sheet Actuals'!$C:$C,Client!$B19,'Data Sheet Actuals'!$E:$E,Client!$D$3,'Data Sheet Actuals'!$A:$A,Client!H$4)</f>
        <v>17718.47</v>
      </c>
      <c r="I19" s="33">
        <f t="shared" ref="I19" si="3">IFERROR(H19/H9,"")</f>
        <v>0.64218156170875651</v>
      </c>
      <c r="J19" s="31">
        <f>SUMIFS('Data Sheet Actuals'!$D:$D,'Data Sheet Actuals'!$C:$C,Client!$B19,'Data Sheet Actuals'!$E:$E,Client!$D$3,'Data Sheet Actuals'!$A:$A,Client!J$4)</f>
        <v>16822.23</v>
      </c>
      <c r="K19" s="33">
        <f t="shared" ref="K19" si="4">IFERROR(J19/J9,"")</f>
        <v>0.60609575115465386</v>
      </c>
      <c r="L19" s="31">
        <f>SUMIFS('Data Sheet Actuals'!$D:$D,'Data Sheet Actuals'!$C:$C,Client!$B19,'Data Sheet Actuals'!$E:$E,Client!$D$3,'Data Sheet Actuals'!$A:$A,Client!L$4)</f>
        <v>12026.2</v>
      </c>
      <c r="M19" s="33">
        <f t="shared" ref="M19" si="5">IFERROR(L19/L9,"")</f>
        <v>0.43951746711165884</v>
      </c>
      <c r="N19" s="31">
        <f>SUMIFS('Data Sheet Actuals'!$D:$D,'Data Sheet Actuals'!$C:$C,Client!$B19,'Data Sheet Actuals'!$E:$E,Client!$D$3,'Data Sheet Actuals'!$A:$A,Client!N$4)</f>
        <v>16153.010000000002</v>
      </c>
      <c r="O19" s="33">
        <f t="shared" ref="O19" si="6">IFERROR(N19/N9,"")</f>
        <v>0.52320898287692541</v>
      </c>
      <c r="P19" s="31">
        <f>SUMIFS('Data Sheet Actuals'!$D:$D,'Data Sheet Actuals'!$C:$C,Client!$B19,'Data Sheet Actuals'!$E:$E,Client!$D$3,'Data Sheet Actuals'!$A:$A,Client!P$4)</f>
        <v>15721.369999999999</v>
      </c>
      <c r="Q19" s="33">
        <f t="shared" ref="Q19" si="7">IFERROR(P19/P9,"")</f>
        <v>0.51938402194173228</v>
      </c>
      <c r="R19" s="31">
        <f>SUMIFS('Data Sheet Actuals'!$D:$D,'Data Sheet Actuals'!$C:$C,Client!$B19,'Data Sheet Actuals'!$E:$E,Client!$D$3,'Data Sheet Actuals'!$A:$A,Client!R$4)</f>
        <v>14105.82</v>
      </c>
      <c r="S19" s="33">
        <f t="shared" ref="S19" si="8">IFERROR(R19/R9,"")</f>
        <v>0.44682151143913779</v>
      </c>
      <c r="T19" s="31">
        <f>SUMIFS('Data Sheet Actuals'!$D:$D,'Data Sheet Actuals'!$C:$C,Client!$B19,'Data Sheet Actuals'!$E:$E,Client!$D$3,'Data Sheet Actuals'!$A:$A,Client!T$4)</f>
        <v>16778.57</v>
      </c>
      <c r="U19" s="33">
        <f t="shared" ref="U19" si="9">IFERROR(T19/T9,"")</f>
        <v>0.60811617966109321</v>
      </c>
      <c r="V19" s="31">
        <f>SUMIFS('Data Sheet Actuals'!$D:$D,'Data Sheet Actuals'!$C:$C,Client!$B19,'Data Sheet Actuals'!$E:$E,Client!$D$3,'Data Sheet Actuals'!$A:$A,Client!V$4)</f>
        <v>14648.91</v>
      </c>
      <c r="W19" s="33">
        <f t="shared" ref="W19" si="10">IFERROR(V19/V9,"")</f>
        <v>0.52779221958366529</v>
      </c>
      <c r="X19" s="31">
        <f>SUMIFS('Data Sheet Actuals'!$D:$D,'Data Sheet Actuals'!$C:$C,Client!$B19,'Data Sheet Actuals'!$E:$E,Client!$D$3,'Data Sheet Actuals'!$A:$A,Client!X$4)</f>
        <v>16178.75</v>
      </c>
      <c r="Y19" s="33">
        <f t="shared" ref="Y19" si="11">IFERROR(X19/X9,"")</f>
        <v>0.59127930859562872</v>
      </c>
      <c r="Z19" s="31">
        <f>SUMIFS('Data Sheet Actuals'!$D:$D,'Data Sheet Actuals'!$C:$C,Client!$B19,'Data Sheet Actuals'!$E:$E,Client!$D$3,'Data Sheet Actuals'!$A:$A,Client!Z$4)</f>
        <v>13214.03</v>
      </c>
      <c r="AA19" s="33">
        <f t="shared" ref="AA19" si="12">IFERROR(Z19/Z9,"")</f>
        <v>0.44562112645372859</v>
      </c>
      <c r="AB19" s="31">
        <f t="shared" si="1"/>
        <v>186735.27000000002</v>
      </c>
      <c r="AC19" s="33">
        <f t="shared" ref="AC19" si="13">IFERROR(AB19/AB9,"")</f>
        <v>0.53410944675740102</v>
      </c>
    </row>
    <row r="20" spans="2:29">
      <c r="B20" s="45">
        <v>2003</v>
      </c>
      <c r="C20" s="63" t="s">
        <v>106</v>
      </c>
      <c r="D20" s="47">
        <f>SUMIFS('Data Sheet Actuals'!$D:$D,'Data Sheet Actuals'!$C:$C,Client!$B20,'Data Sheet Actuals'!$E:$E,Client!$D$3,'Data Sheet Actuals'!$A:$A,Client!D$4)</f>
        <v>14407.68</v>
      </c>
      <c r="E20" s="33">
        <f t="shared" si="2"/>
        <v>0.55998128172021611</v>
      </c>
      <c r="F20" s="31">
        <f>SUMIFS('Data Sheet Actuals'!$D:$D,'Data Sheet Actuals'!$C:$C,Client!$B20,'Data Sheet Actuals'!$E:$E,Client!$D$3,'Data Sheet Actuals'!$A:$A,Client!F$4)</f>
        <v>14625.56</v>
      </c>
      <c r="G20" s="33">
        <f t="shared" si="2"/>
        <v>0.54504122776223773</v>
      </c>
      <c r="H20" s="31">
        <f>SUMIFS('Data Sheet Actuals'!$D:$D,'Data Sheet Actuals'!$C:$C,Client!$B20,'Data Sheet Actuals'!$E:$E,Client!$D$3,'Data Sheet Actuals'!$A:$A,Client!H$4)</f>
        <v>13242.81</v>
      </c>
      <c r="I20" s="33">
        <f t="shared" ref="I20" si="14">IFERROR(H20/H10,"")</f>
        <v>0.56466758199587241</v>
      </c>
      <c r="J20" s="31">
        <f>SUMIFS('Data Sheet Actuals'!$D:$D,'Data Sheet Actuals'!$C:$C,Client!$B20,'Data Sheet Actuals'!$E:$E,Client!$D$3,'Data Sheet Actuals'!$A:$A,Client!J$4)</f>
        <v>15634.54</v>
      </c>
      <c r="K20" s="33">
        <f t="shared" ref="K20" si="15">IFERROR(J20/J10,"")</f>
        <v>0.66271077238701592</v>
      </c>
      <c r="L20" s="31">
        <f>SUMIFS('Data Sheet Actuals'!$D:$D,'Data Sheet Actuals'!$C:$C,Client!$B20,'Data Sheet Actuals'!$E:$E,Client!$D$3,'Data Sheet Actuals'!$A:$A,Client!L$4)</f>
        <v>10320.09</v>
      </c>
      <c r="M20" s="33">
        <f t="shared" ref="M20" si="16">IFERROR(L20/L10,"")</f>
        <v>0.44372349559913543</v>
      </c>
      <c r="N20" s="31">
        <f>SUMIFS('Data Sheet Actuals'!$D:$D,'Data Sheet Actuals'!$C:$C,Client!$B20,'Data Sheet Actuals'!$E:$E,Client!$D$3,'Data Sheet Actuals'!$A:$A,Client!N$4)</f>
        <v>12958.18</v>
      </c>
      <c r="O20" s="33">
        <f t="shared" ref="O20" si="17">IFERROR(N20/N10,"")</f>
        <v>0.49379506608104107</v>
      </c>
      <c r="P20" s="31">
        <f>SUMIFS('Data Sheet Actuals'!$D:$D,'Data Sheet Actuals'!$C:$C,Client!$B20,'Data Sheet Actuals'!$E:$E,Client!$D$3,'Data Sheet Actuals'!$A:$A,Client!P$4)</f>
        <v>12853.73</v>
      </c>
      <c r="Q20" s="33">
        <f t="shared" ref="Q20" si="18">IFERROR(P20/P10,"")</f>
        <v>0.49958412459782514</v>
      </c>
      <c r="R20" s="31">
        <f>SUMIFS('Data Sheet Actuals'!$D:$D,'Data Sheet Actuals'!$C:$C,Client!$B20,'Data Sheet Actuals'!$E:$E,Client!$D$3,'Data Sheet Actuals'!$A:$A,Client!R$4)</f>
        <v>13178.779999999999</v>
      </c>
      <c r="S20" s="33">
        <f t="shared" ref="S20" si="19">IFERROR(R20/R10,"")</f>
        <v>0.49112501891267224</v>
      </c>
      <c r="T20" s="31">
        <f>SUMIFS('Data Sheet Actuals'!$D:$D,'Data Sheet Actuals'!$C:$C,Client!$B20,'Data Sheet Actuals'!$E:$E,Client!$D$3,'Data Sheet Actuals'!$A:$A,Client!T$4)</f>
        <v>13418.08</v>
      </c>
      <c r="U20" s="33">
        <f t="shared" ref="U20" si="20">IFERROR(T20/T10,"")</f>
        <v>0.57214101755044255</v>
      </c>
      <c r="V20" s="31">
        <f>SUMIFS('Data Sheet Actuals'!$D:$D,'Data Sheet Actuals'!$C:$C,Client!$B20,'Data Sheet Actuals'!$E:$E,Client!$D$3,'Data Sheet Actuals'!$A:$A,Client!V$4)</f>
        <v>11166.470000000001</v>
      </c>
      <c r="W20" s="33">
        <f t="shared" ref="W20" si="21">IFERROR(V20/V10,"")</f>
        <v>0.4733199671072153</v>
      </c>
      <c r="X20" s="31">
        <f>SUMIFS('Data Sheet Actuals'!$D:$D,'Data Sheet Actuals'!$C:$C,Client!$B20,'Data Sheet Actuals'!$E:$E,Client!$D$3,'Data Sheet Actuals'!$A:$A,Client!X$4)</f>
        <v>12058.95</v>
      </c>
      <c r="Y20" s="33">
        <f t="shared" ref="Y20" si="22">IFERROR(X20/X10,"")</f>
        <v>0.51848767280665131</v>
      </c>
      <c r="Z20" s="31">
        <f>SUMIFS('Data Sheet Actuals'!$D:$D,'Data Sheet Actuals'!$C:$C,Client!$B20,'Data Sheet Actuals'!$E:$E,Client!$D$3,'Data Sheet Actuals'!$A:$A,Client!Z$4)</f>
        <v>11546.189999999999</v>
      </c>
      <c r="AA20" s="33">
        <f t="shared" ref="AA20" si="23">IFERROR(Z20/Z10,"")</f>
        <v>0.45808943428115734</v>
      </c>
      <c r="AB20" s="31">
        <f t="shared" si="1"/>
        <v>155411.06</v>
      </c>
      <c r="AC20" s="33">
        <f t="shared" ref="AC20" si="24">IFERROR(AB20/AB10,"")</f>
        <v>0.52295821726607084</v>
      </c>
    </row>
    <row r="21" spans="2:29">
      <c r="B21" s="45">
        <v>2004</v>
      </c>
      <c r="C21" s="63" t="s">
        <v>107</v>
      </c>
      <c r="D21" s="47">
        <f>SUMIFS('Data Sheet Actuals'!$D:$D,'Data Sheet Actuals'!$C:$C,Client!$B21,'Data Sheet Actuals'!$E:$E,Client!$D$3,'Data Sheet Actuals'!$A:$A,Client!D$4)</f>
        <v>10920.08</v>
      </c>
      <c r="E21" s="33">
        <f t="shared" si="2"/>
        <v>0.49932828948391228</v>
      </c>
      <c r="F21" s="31">
        <f>SUMIFS('Data Sheet Actuals'!$D:$D,'Data Sheet Actuals'!$C:$C,Client!$B21,'Data Sheet Actuals'!$E:$E,Client!$D$3,'Data Sheet Actuals'!$A:$A,Client!F$4)</f>
        <v>11603.04</v>
      </c>
      <c r="G21" s="33">
        <f t="shared" si="2"/>
        <v>0.50870936542857625</v>
      </c>
      <c r="H21" s="31">
        <f>SUMIFS('Data Sheet Actuals'!$D:$D,'Data Sheet Actuals'!$C:$C,Client!$B21,'Data Sheet Actuals'!$E:$E,Client!$D$3,'Data Sheet Actuals'!$A:$A,Client!H$4)</f>
        <v>12339.98</v>
      </c>
      <c r="I21" s="33">
        <f t="shared" ref="I21" si="25">IFERROR(H21/H11,"")</f>
        <v>0.61902506905100385</v>
      </c>
      <c r="J21" s="31">
        <f>SUMIFS('Data Sheet Actuals'!$D:$D,'Data Sheet Actuals'!$C:$C,Client!$B21,'Data Sheet Actuals'!$E:$E,Client!$D$3,'Data Sheet Actuals'!$A:$A,Client!J$4)</f>
        <v>13732.18</v>
      </c>
      <c r="K21" s="33">
        <f t="shared" ref="K21" si="26">IFERROR(J21/J11,"")</f>
        <v>0.68479292915188916</v>
      </c>
      <c r="L21" s="31">
        <f>SUMIFS('Data Sheet Actuals'!$D:$D,'Data Sheet Actuals'!$C:$C,Client!$B21,'Data Sheet Actuals'!$E:$E,Client!$D$3,'Data Sheet Actuals'!$A:$A,Client!L$4)</f>
        <v>9124.17</v>
      </c>
      <c r="M21" s="33">
        <f t="shared" ref="M21" si="27">IFERROR(L21/L11,"")</f>
        <v>0.46153344208809138</v>
      </c>
      <c r="N21" s="31">
        <f>SUMIFS('Data Sheet Actuals'!$D:$D,'Data Sheet Actuals'!$C:$C,Client!$B21,'Data Sheet Actuals'!$E:$E,Client!$D$3,'Data Sheet Actuals'!$A:$A,Client!N$4)</f>
        <v>12369.92</v>
      </c>
      <c r="O21" s="33">
        <f t="shared" ref="O21" si="28">IFERROR(N21/N11,"")</f>
        <v>0.55456268616301108</v>
      </c>
      <c r="P21" s="31">
        <f>SUMIFS('Data Sheet Actuals'!$D:$D,'Data Sheet Actuals'!$C:$C,Client!$B21,'Data Sheet Actuals'!$E:$E,Client!$D$3,'Data Sheet Actuals'!$A:$A,Client!P$4)</f>
        <v>9580.02</v>
      </c>
      <c r="Q21" s="33">
        <f t="shared" ref="Q21" si="29">IFERROR(P21/P11,"")</f>
        <v>0.43805310948469883</v>
      </c>
      <c r="R21" s="31">
        <f>SUMIFS('Data Sheet Actuals'!$D:$D,'Data Sheet Actuals'!$C:$C,Client!$B21,'Data Sheet Actuals'!$E:$E,Client!$D$3,'Data Sheet Actuals'!$A:$A,Client!R$4)</f>
        <v>11534.93</v>
      </c>
      <c r="S21" s="33">
        <f t="shared" ref="S21" si="30">IFERROR(R21/R11,"")</f>
        <v>0.50572323464911328</v>
      </c>
      <c r="T21" s="31">
        <f>SUMIFS('Data Sheet Actuals'!$D:$D,'Data Sheet Actuals'!$C:$C,Client!$B21,'Data Sheet Actuals'!$E:$E,Client!$D$3,'Data Sheet Actuals'!$A:$A,Client!T$4)</f>
        <v>12125.99</v>
      </c>
      <c r="U21" s="33">
        <f t="shared" ref="U21" si="31">IFERROR(T21/T11,"")</f>
        <v>0.60829043459242094</v>
      </c>
      <c r="V21" s="31">
        <f>SUMIFS('Data Sheet Actuals'!$D:$D,'Data Sheet Actuals'!$C:$C,Client!$B21,'Data Sheet Actuals'!$E:$E,Client!$D$3,'Data Sheet Actuals'!$A:$A,Client!V$4)</f>
        <v>10485.16</v>
      </c>
      <c r="W21" s="33">
        <f t="shared" ref="W21" si="32">IFERROR(V21/V11,"")</f>
        <v>0.5228713451925493</v>
      </c>
      <c r="X21" s="31">
        <f>SUMIFS('Data Sheet Actuals'!$D:$D,'Data Sheet Actuals'!$C:$C,Client!$B21,'Data Sheet Actuals'!$E:$E,Client!$D$3,'Data Sheet Actuals'!$A:$A,Client!X$4)</f>
        <v>10867.82</v>
      </c>
      <c r="Y21" s="33">
        <f t="shared" ref="Y21" si="33">IFERROR(X21/X11,"")</f>
        <v>0.54973355084284936</v>
      </c>
      <c r="Z21" s="31">
        <f>SUMIFS('Data Sheet Actuals'!$D:$D,'Data Sheet Actuals'!$C:$C,Client!$B21,'Data Sheet Actuals'!$E:$E,Client!$D$3,'Data Sheet Actuals'!$A:$A,Client!Z$4)</f>
        <v>9388.26</v>
      </c>
      <c r="AA21" s="33">
        <f t="shared" ref="AA21" si="34">IFERROR(Z21/Z11,"")</f>
        <v>0.43820553548232311</v>
      </c>
      <c r="AB21" s="31">
        <f t="shared" si="1"/>
        <v>134071.55000000002</v>
      </c>
      <c r="AC21" s="33">
        <f t="shared" ref="AC21" si="35">IFERROR(AB21/AB11,"")</f>
        <v>0.53076549577227428</v>
      </c>
    </row>
    <row r="22" spans="2:29">
      <c r="B22" s="45">
        <v>2005</v>
      </c>
      <c r="C22" s="63" t="s">
        <v>109</v>
      </c>
      <c r="D22" s="47">
        <f>SUMIFS('Data Sheet Actuals'!$D:$D,'Data Sheet Actuals'!$C:$C,Client!$B22,'Data Sheet Actuals'!$E:$E,Client!$D$3,'Data Sheet Actuals'!$A:$A,Client!D$4)</f>
        <v>1726.59</v>
      </c>
      <c r="E22" s="33">
        <f t="shared" si="2"/>
        <v>0.52633038961355672</v>
      </c>
      <c r="F22" s="31">
        <f>SUMIFS('Data Sheet Actuals'!$D:$D,'Data Sheet Actuals'!$C:$C,Client!$B22,'Data Sheet Actuals'!$E:$E,Client!$D$3,'Data Sheet Actuals'!$A:$A,Client!F$4)</f>
        <v>1803.63</v>
      </c>
      <c r="G22" s="33">
        <f t="shared" si="2"/>
        <v>0.5271737224229246</v>
      </c>
      <c r="H22" s="31">
        <f>SUMIFS('Data Sheet Actuals'!$D:$D,'Data Sheet Actuals'!$C:$C,Client!$B22,'Data Sheet Actuals'!$E:$E,Client!$D$3,'Data Sheet Actuals'!$A:$A,Client!H$4)</f>
        <v>1668.67</v>
      </c>
      <c r="I22" s="33">
        <f t="shared" ref="I22" si="36">IFERROR(H22/H12,"")</f>
        <v>0.55805001705582946</v>
      </c>
      <c r="J22" s="31">
        <f>SUMIFS('Data Sheet Actuals'!$D:$D,'Data Sheet Actuals'!$C:$C,Client!$B22,'Data Sheet Actuals'!$E:$E,Client!$D$3,'Data Sheet Actuals'!$A:$A,Client!J$4)</f>
        <v>1914.9699999999998</v>
      </c>
      <c r="K22" s="33">
        <f t="shared" ref="K22" si="37">IFERROR(J22/J12,"")</f>
        <v>0.63663624727804646</v>
      </c>
      <c r="L22" s="31">
        <f>SUMIFS('Data Sheet Actuals'!$D:$D,'Data Sheet Actuals'!$C:$C,Client!$B22,'Data Sheet Actuals'!$E:$E,Client!$D$3,'Data Sheet Actuals'!$A:$A,Client!L$4)</f>
        <v>1427.62</v>
      </c>
      <c r="M22" s="33">
        <f t="shared" ref="M22" si="38">IFERROR(L22/L12,"")</f>
        <v>0.48142902427344886</v>
      </c>
      <c r="N22" s="31">
        <f>SUMIFS('Data Sheet Actuals'!$D:$D,'Data Sheet Actuals'!$C:$C,Client!$B22,'Data Sheet Actuals'!$E:$E,Client!$D$3,'Data Sheet Actuals'!$A:$A,Client!N$4)</f>
        <v>1827.73</v>
      </c>
      <c r="O22" s="33">
        <f t="shared" ref="O22" si="39">IFERROR(N22/N12,"")</f>
        <v>0.54626613187640849</v>
      </c>
      <c r="P22" s="31">
        <f>SUMIFS('Data Sheet Actuals'!$D:$D,'Data Sheet Actuals'!$C:$C,Client!$B22,'Data Sheet Actuals'!$E:$E,Client!$D$3,'Data Sheet Actuals'!$A:$A,Client!P$4)</f>
        <v>1660.08</v>
      </c>
      <c r="Q22" s="33">
        <f t="shared" ref="Q22" si="40">IFERROR(P22/P12,"")</f>
        <v>0.50605560856351139</v>
      </c>
      <c r="R22" s="31">
        <f>SUMIFS('Data Sheet Actuals'!$D:$D,'Data Sheet Actuals'!$C:$C,Client!$B22,'Data Sheet Actuals'!$E:$E,Client!$D$3,'Data Sheet Actuals'!$A:$A,Client!R$4)</f>
        <v>1746.25</v>
      </c>
      <c r="S22" s="33">
        <f t="shared" ref="S22" si="41">IFERROR(R22/R12,"")</f>
        <v>0.51040241778027196</v>
      </c>
      <c r="T22" s="31">
        <f>SUMIFS('Data Sheet Actuals'!$D:$D,'Data Sheet Actuals'!$C:$C,Client!$B22,'Data Sheet Actuals'!$E:$E,Client!$D$3,'Data Sheet Actuals'!$A:$A,Client!T$4)</f>
        <v>1714.46</v>
      </c>
      <c r="U22" s="33">
        <f t="shared" ref="U22" si="42">IFERROR(T22/T12,"")</f>
        <v>0.57336347644623409</v>
      </c>
      <c r="V22" s="31">
        <f>SUMIFS('Data Sheet Actuals'!$D:$D,'Data Sheet Actuals'!$C:$C,Client!$B22,'Data Sheet Actuals'!$E:$E,Client!$D$3,'Data Sheet Actuals'!$A:$A,Client!V$4)</f>
        <v>1384.3400000000001</v>
      </c>
      <c r="W22" s="33">
        <f t="shared" ref="W22" si="43">IFERROR(V22/V12,"")</f>
        <v>0.46022706494456367</v>
      </c>
      <c r="X22" s="31">
        <f>SUMIFS('Data Sheet Actuals'!$D:$D,'Data Sheet Actuals'!$C:$C,Client!$B22,'Data Sheet Actuals'!$E:$E,Client!$D$3,'Data Sheet Actuals'!$A:$A,Client!X$4)</f>
        <v>1677.12</v>
      </c>
      <c r="Y22" s="33">
        <f t="shared" ref="Y22" si="44">IFERROR(X22/X12,"")</f>
        <v>0.5655666390142241</v>
      </c>
      <c r="Z22" s="31">
        <f>SUMIFS('Data Sheet Actuals'!$D:$D,'Data Sheet Actuals'!$C:$C,Client!$B22,'Data Sheet Actuals'!$E:$E,Client!$D$3,'Data Sheet Actuals'!$A:$A,Client!Z$4)</f>
        <v>1332.54</v>
      </c>
      <c r="AA22" s="33">
        <f t="shared" ref="AA22" si="45">IFERROR(Z22/Z12,"")</f>
        <v>0.41465129883870006</v>
      </c>
      <c r="AB22" s="31">
        <f t="shared" si="1"/>
        <v>19884</v>
      </c>
      <c r="AC22" s="33">
        <f t="shared" ref="AC22" si="46">IFERROR(AB22/AB12,"")</f>
        <v>0.52478198744682636</v>
      </c>
    </row>
    <row r="23" spans="2:29">
      <c r="B23" s="45"/>
      <c r="C23" s="54"/>
      <c r="D23" s="48" t="s">
        <v>42</v>
      </c>
      <c r="E23" s="36" t="s">
        <v>42</v>
      </c>
      <c r="F23" s="35" t="s">
        <v>42</v>
      </c>
      <c r="G23" s="36" t="s">
        <v>42</v>
      </c>
      <c r="H23" s="35" t="s">
        <v>42</v>
      </c>
      <c r="I23" s="36" t="s">
        <v>42</v>
      </c>
      <c r="J23" s="35" t="s">
        <v>42</v>
      </c>
      <c r="K23" s="36" t="s">
        <v>42</v>
      </c>
      <c r="L23" s="35" t="s">
        <v>42</v>
      </c>
      <c r="M23" s="36" t="s">
        <v>42</v>
      </c>
      <c r="N23" s="35" t="s">
        <v>42</v>
      </c>
      <c r="O23" s="36" t="s">
        <v>42</v>
      </c>
      <c r="P23" s="35" t="s">
        <v>42</v>
      </c>
      <c r="Q23" s="36" t="s">
        <v>42</v>
      </c>
      <c r="R23" s="35" t="s">
        <v>42</v>
      </c>
      <c r="S23" s="36" t="s">
        <v>42</v>
      </c>
      <c r="T23" s="35" t="s">
        <v>42</v>
      </c>
      <c r="U23" s="36" t="s">
        <v>42</v>
      </c>
      <c r="V23" s="35" t="s">
        <v>42</v>
      </c>
      <c r="W23" s="36" t="s">
        <v>42</v>
      </c>
      <c r="X23" s="35" t="s">
        <v>42</v>
      </c>
      <c r="Y23" s="36" t="s">
        <v>42</v>
      </c>
      <c r="Z23" s="35" t="s">
        <v>42</v>
      </c>
      <c r="AA23" s="36" t="s">
        <v>42</v>
      </c>
      <c r="AB23" s="35" t="s">
        <v>42</v>
      </c>
      <c r="AC23" s="36" t="s">
        <v>42</v>
      </c>
    </row>
    <row r="24" spans="2:29">
      <c r="B24" s="45"/>
      <c r="C24" s="57" t="s">
        <v>45</v>
      </c>
      <c r="D24" s="64">
        <f>SUM(D18:D23)</f>
        <v>61849.82</v>
      </c>
      <c r="E24" s="65">
        <f>IFERROR(D24/D$14,"")</f>
        <v>0.5297221678366838</v>
      </c>
      <c r="F24" s="64">
        <f>SUM(F18:F23)</f>
        <v>64125.7</v>
      </c>
      <c r="G24" s="65">
        <f>IFERROR(F24/F$14,"")</f>
        <v>0.5265981082420963</v>
      </c>
      <c r="H24" s="64">
        <f>SUM(H18:H23)</f>
        <v>64819.81</v>
      </c>
      <c r="I24" s="65">
        <f>IFERROR(H24/H$14,"")</f>
        <v>0.60904709126074064</v>
      </c>
      <c r="J24" s="64">
        <f>SUM(J18:J23)</f>
        <v>67679.97</v>
      </c>
      <c r="K24" s="65">
        <f>IFERROR(J24/J$14,"")</f>
        <v>0.63216340086126699</v>
      </c>
      <c r="L24" s="64">
        <f>SUM(L18:L23)</f>
        <v>49175.519999999997</v>
      </c>
      <c r="M24" s="65">
        <f>IFERROR(L24/L$14,"")</f>
        <v>0.46591658442745587</v>
      </c>
      <c r="N24" s="64">
        <f>SUM(N18:N23)</f>
        <v>61979.760000000009</v>
      </c>
      <c r="O24" s="65">
        <f>IFERROR(N24/N$14,"")</f>
        <v>0.52045475729231494</v>
      </c>
      <c r="P24" s="64">
        <f>SUM(P18:P23)</f>
        <v>57578.320000000007</v>
      </c>
      <c r="Q24" s="65">
        <f>IFERROR(P24/P$14,"")</f>
        <v>0.49313825797381938</v>
      </c>
      <c r="R24" s="64">
        <f>SUM(R18:R23)</f>
        <v>59458.37</v>
      </c>
      <c r="S24" s="65">
        <f>IFERROR(R24/R$14,"")</f>
        <v>0.48827015005151775</v>
      </c>
      <c r="T24" s="64">
        <f>SUM(T18:T23)</f>
        <v>65136.009999999995</v>
      </c>
      <c r="U24" s="65">
        <f>IFERROR(T24/T$14,"")</f>
        <v>0.61201810722417282</v>
      </c>
      <c r="V24" s="64">
        <f>SUM(V18:V23)</f>
        <v>53929.039999999994</v>
      </c>
      <c r="W24" s="65">
        <f>IFERROR(V24/V$14,"")</f>
        <v>0.50372311529664238</v>
      </c>
      <c r="X24" s="64">
        <f>SUM(X18:X23)</f>
        <v>58806.14</v>
      </c>
      <c r="Y24" s="65">
        <f>IFERROR(X24/X$14,"")</f>
        <v>0.55716250468043427</v>
      </c>
      <c r="Z24" s="64">
        <f>SUM(Z18:Z23)</f>
        <v>50583.229999999996</v>
      </c>
      <c r="AA24" s="65">
        <f>IFERROR(Z24/Z$14,"")</f>
        <v>0.44223037384877073</v>
      </c>
      <c r="AB24" s="64">
        <f>SUM(AB18:AB23)</f>
        <v>715121.69000000006</v>
      </c>
      <c r="AC24" s="65">
        <f>IFERROR(AB24/AB$14,"")</f>
        <v>0.53026790240922528</v>
      </c>
    </row>
    <row r="25" spans="2:29">
      <c r="B25" s="45"/>
      <c r="C25" s="54"/>
      <c r="D25" s="48" t="s">
        <v>42</v>
      </c>
      <c r="E25" s="36" t="s">
        <v>42</v>
      </c>
      <c r="F25" s="35" t="s">
        <v>42</v>
      </c>
      <c r="G25" s="36" t="s">
        <v>42</v>
      </c>
      <c r="H25" s="35" t="s">
        <v>42</v>
      </c>
      <c r="I25" s="36" t="s">
        <v>42</v>
      </c>
      <c r="J25" s="35" t="s">
        <v>42</v>
      </c>
      <c r="K25" s="36" t="s">
        <v>42</v>
      </c>
      <c r="L25" s="35" t="s">
        <v>42</v>
      </c>
      <c r="M25" s="36" t="s">
        <v>42</v>
      </c>
      <c r="N25" s="35" t="s">
        <v>42</v>
      </c>
      <c r="O25" s="36" t="s">
        <v>42</v>
      </c>
      <c r="P25" s="35" t="s">
        <v>42</v>
      </c>
      <c r="Q25" s="36" t="s">
        <v>42</v>
      </c>
      <c r="R25" s="35" t="s">
        <v>42</v>
      </c>
      <c r="S25" s="36" t="s">
        <v>42</v>
      </c>
      <c r="T25" s="35" t="s">
        <v>42</v>
      </c>
      <c r="U25" s="36" t="s">
        <v>42</v>
      </c>
      <c r="V25" s="35" t="s">
        <v>42</v>
      </c>
      <c r="W25" s="36" t="s">
        <v>42</v>
      </c>
      <c r="X25" s="35" t="s">
        <v>42</v>
      </c>
      <c r="Y25" s="36" t="s">
        <v>42</v>
      </c>
      <c r="Z25" s="35" t="s">
        <v>42</v>
      </c>
      <c r="AA25" s="36" t="s">
        <v>42</v>
      </c>
      <c r="AB25" s="35" t="s">
        <v>42</v>
      </c>
      <c r="AC25" s="36" t="s">
        <v>42</v>
      </c>
    </row>
    <row r="26" spans="2:29">
      <c r="B26" s="45"/>
      <c r="C26" s="54"/>
      <c r="D26" s="47"/>
      <c r="E26" s="32"/>
      <c r="F26" s="31"/>
      <c r="G26" s="32"/>
      <c r="H26" s="31"/>
      <c r="I26" s="32"/>
      <c r="J26" s="31"/>
      <c r="K26" s="32"/>
      <c r="L26" s="31"/>
      <c r="M26" s="32"/>
      <c r="N26" s="31"/>
      <c r="O26" s="32"/>
      <c r="P26" s="31"/>
      <c r="Q26" s="32"/>
      <c r="R26" s="31"/>
      <c r="S26" s="32"/>
      <c r="T26" s="31"/>
      <c r="U26" s="32"/>
      <c r="V26" s="31"/>
      <c r="W26" s="32"/>
      <c r="X26" s="31"/>
      <c r="Y26" s="32"/>
      <c r="Z26" s="31"/>
      <c r="AA26" s="32"/>
      <c r="AB26" s="31"/>
      <c r="AC26" s="32"/>
    </row>
    <row r="27" spans="2:29">
      <c r="B27" s="45"/>
      <c r="C27" s="57" t="s">
        <v>0</v>
      </c>
      <c r="D27" s="64">
        <f>D14-D24</f>
        <v>54909.159999999982</v>
      </c>
      <c r="E27" s="65">
        <f>IFERROR(D27/D$14,"")</f>
        <v>0.4702778321633162</v>
      </c>
      <c r="F27" s="64">
        <f>F14-F24</f>
        <v>57647.810000000012</v>
      </c>
      <c r="G27" s="65">
        <f>IFERROR(F27/F$14,"")</f>
        <v>0.47340189175790376</v>
      </c>
      <c r="H27" s="64">
        <f>H14-H24</f>
        <v>41608.429999999993</v>
      </c>
      <c r="I27" s="65">
        <f>IFERROR(H27/H$14,"")</f>
        <v>0.39095290873925942</v>
      </c>
      <c r="J27" s="64">
        <f>J14-J24</f>
        <v>39380.909999999989</v>
      </c>
      <c r="K27" s="65">
        <f>IFERROR(J27/J$14,"")</f>
        <v>0.36783659913873296</v>
      </c>
      <c r="L27" s="64">
        <f>L14-L24</f>
        <v>56370.240000000013</v>
      </c>
      <c r="M27" s="65">
        <f>IFERROR(L27/L$14,"")</f>
        <v>0.53408341557254413</v>
      </c>
      <c r="N27" s="64">
        <f>N14-N24</f>
        <v>57107.939999999988</v>
      </c>
      <c r="O27" s="65">
        <f>IFERROR(N27/N$14,"")</f>
        <v>0.47954524270768506</v>
      </c>
      <c r="P27" s="64">
        <f>P14-P24</f>
        <v>59180.659999999974</v>
      </c>
      <c r="Q27" s="65">
        <f>IFERROR(P27/P$14,"")</f>
        <v>0.50686174202618062</v>
      </c>
      <c r="R27" s="64">
        <f>R14-R24</f>
        <v>62315.140000000007</v>
      </c>
      <c r="S27" s="65">
        <f>IFERROR(R27/R$14,"")</f>
        <v>0.51172984994848225</v>
      </c>
      <c r="T27" s="64">
        <f>T14-T24</f>
        <v>41292.229999999996</v>
      </c>
      <c r="U27" s="65">
        <f>IFERROR(T27/T$14,"")</f>
        <v>0.38798189277582718</v>
      </c>
      <c r="V27" s="64">
        <f>V14-V24</f>
        <v>53131.839999999997</v>
      </c>
      <c r="W27" s="65">
        <f>IFERROR(V27/V$14,"")</f>
        <v>0.49627688470335757</v>
      </c>
      <c r="X27" s="64">
        <f>X14-X24</f>
        <v>46739.62000000001</v>
      </c>
      <c r="Y27" s="65">
        <f>IFERROR(X27/X$14,"")</f>
        <v>0.44283749531956573</v>
      </c>
      <c r="Z27" s="64">
        <f>Z14-Z24</f>
        <v>63798.849999999991</v>
      </c>
      <c r="AA27" s="65">
        <f>IFERROR(Z27/Z$14,"")</f>
        <v>0.55776962615122927</v>
      </c>
      <c r="AB27" s="64">
        <f>AB14-AB24</f>
        <v>633482.82999999996</v>
      </c>
      <c r="AC27" s="65">
        <f>IFERROR(AB27/AB$14,"")</f>
        <v>0.46973209759077478</v>
      </c>
    </row>
    <row r="28" spans="2:29">
      <c r="B28" s="45"/>
      <c r="C28" s="54"/>
      <c r="D28" s="47"/>
      <c r="E28" s="32"/>
      <c r="F28" s="31"/>
      <c r="G28" s="32"/>
      <c r="H28" s="31"/>
      <c r="I28" s="32"/>
      <c r="J28" s="31"/>
      <c r="K28" s="32"/>
      <c r="L28" s="31"/>
      <c r="M28" s="32"/>
      <c r="N28" s="31"/>
      <c r="O28" s="32"/>
      <c r="P28" s="31"/>
      <c r="Q28" s="32"/>
      <c r="R28" s="31"/>
      <c r="S28" s="32"/>
      <c r="T28" s="31"/>
      <c r="U28" s="32"/>
      <c r="V28" s="31"/>
      <c r="W28" s="32"/>
      <c r="X28" s="31"/>
      <c r="Y28" s="32"/>
      <c r="Z28" s="31"/>
      <c r="AA28" s="32"/>
      <c r="AB28" s="31"/>
      <c r="AC28" s="32"/>
    </row>
    <row r="29" spans="2:29">
      <c r="B29" s="45"/>
      <c r="C29" s="57" t="s">
        <v>46</v>
      </c>
      <c r="D29" s="47"/>
      <c r="E29" s="32"/>
      <c r="F29" s="31"/>
      <c r="G29" s="32"/>
      <c r="H29" s="31"/>
      <c r="I29" s="32"/>
      <c r="J29" s="31"/>
      <c r="K29" s="32"/>
      <c r="L29" s="31"/>
      <c r="M29" s="32"/>
      <c r="N29" s="31"/>
      <c r="O29" s="32"/>
      <c r="P29" s="31"/>
      <c r="Q29" s="32"/>
      <c r="R29" s="31"/>
      <c r="S29" s="32"/>
      <c r="T29" s="31"/>
      <c r="U29" s="32"/>
      <c r="V29" s="31"/>
      <c r="W29" s="32"/>
      <c r="X29" s="31"/>
      <c r="Y29" s="32"/>
      <c r="Z29" s="31"/>
      <c r="AA29" s="32"/>
      <c r="AB29" s="31"/>
      <c r="AC29" s="32"/>
    </row>
    <row r="30" spans="2:29">
      <c r="B30" s="45">
        <v>3001</v>
      </c>
      <c r="C30" s="57" t="s">
        <v>110</v>
      </c>
      <c r="D30" s="47"/>
      <c r="E30" s="33"/>
      <c r="F30" s="31"/>
      <c r="G30" s="33"/>
      <c r="H30" s="31"/>
      <c r="I30" s="33"/>
      <c r="J30" s="31"/>
      <c r="K30" s="33"/>
      <c r="L30" s="31"/>
      <c r="M30" s="33"/>
      <c r="N30" s="31"/>
      <c r="O30" s="33"/>
      <c r="P30" s="31"/>
      <c r="Q30" s="33"/>
      <c r="R30" s="31"/>
      <c r="S30" s="33"/>
      <c r="T30" s="31"/>
      <c r="U30" s="33"/>
      <c r="V30" s="31"/>
      <c r="W30" s="33"/>
      <c r="X30" s="31"/>
      <c r="Y30" s="33"/>
      <c r="Z30" s="31"/>
      <c r="AA30" s="33"/>
      <c r="AB30" s="31"/>
      <c r="AC30" s="33"/>
    </row>
    <row r="31" spans="2:29">
      <c r="B31" s="45">
        <v>3001</v>
      </c>
      <c r="C31" s="55" t="s">
        <v>111</v>
      </c>
      <c r="D31" s="47">
        <f>SUMIFS('Data Sheet Actuals'!$D:$D,'Data Sheet Actuals'!$C:$C,Client!$B31,'Data Sheet Actuals'!$E:$E,Client!$D$3,'Data Sheet Actuals'!$A:$A,Client!D$4)</f>
        <v>11799.08</v>
      </c>
      <c r="E31" s="33">
        <f t="shared" ref="E31:G34" si="47">IFERROR(D31/D$14,"")</f>
        <v>0.10105501092935208</v>
      </c>
      <c r="F31" s="31">
        <f>SUMIFS('Data Sheet Actuals'!$D:$D,'Data Sheet Actuals'!$C:$C,Client!$B31,'Data Sheet Actuals'!$E:$E,Client!$D$3,'Data Sheet Actuals'!$A:$A,Client!F$4)</f>
        <v>10386.049999999999</v>
      </c>
      <c r="G31" s="33">
        <f t="shared" si="47"/>
        <v>8.5289895971627977E-2</v>
      </c>
      <c r="H31" s="31">
        <f>SUMIFS('Data Sheet Actuals'!$D:$D,'Data Sheet Actuals'!$C:$C,Client!$B31,'Data Sheet Actuals'!$E:$E,Client!$D$3,'Data Sheet Actuals'!$A:$A,Client!H$4)</f>
        <v>8912.19</v>
      </c>
      <c r="I31" s="33">
        <f t="shared" ref="I31" si="48">IFERROR(H31/H$14,"")</f>
        <v>8.3738958757562848E-2</v>
      </c>
      <c r="J31" s="31">
        <f>SUMIFS('Data Sheet Actuals'!$D:$D,'Data Sheet Actuals'!$C:$C,Client!$B31,'Data Sheet Actuals'!$E:$E,Client!$D$3,'Data Sheet Actuals'!$A:$A,Client!J$4)</f>
        <v>10992.349999999999</v>
      </c>
      <c r="K31" s="33">
        <f t="shared" ref="K31" si="49">IFERROR(J31/J$14,"")</f>
        <v>0.10267382446323997</v>
      </c>
      <c r="L31" s="31">
        <f>SUMIFS('Data Sheet Actuals'!$D:$D,'Data Sheet Actuals'!$C:$C,Client!$B31,'Data Sheet Actuals'!$E:$E,Client!$D$3,'Data Sheet Actuals'!$A:$A,Client!L$4)</f>
        <v>6773.74</v>
      </c>
      <c r="M31" s="33">
        <f t="shared" ref="M31" si="50">IFERROR(L31/L$14,"")</f>
        <v>6.4178229423901056E-2</v>
      </c>
      <c r="N31" s="31">
        <f>SUMIFS('Data Sheet Actuals'!$D:$D,'Data Sheet Actuals'!$C:$C,Client!$B31,'Data Sheet Actuals'!$E:$E,Client!$D$3,'Data Sheet Actuals'!$A:$A,Client!N$4)</f>
        <v>10820.61</v>
      </c>
      <c r="O31" s="33">
        <f t="shared" ref="O31" si="51">IFERROR(N31/N$14,"")</f>
        <v>9.0862532402590707E-2</v>
      </c>
      <c r="P31" s="31">
        <f>SUMIFS('Data Sheet Actuals'!$D:$D,'Data Sheet Actuals'!$C:$C,Client!$B31,'Data Sheet Actuals'!$E:$E,Client!$D$3,'Data Sheet Actuals'!$A:$A,Client!P$4)</f>
        <v>8078.32</v>
      </c>
      <c r="Q31" s="33">
        <f t="shared" ref="Q31" si="52">IFERROR(P31/P$14,"")</f>
        <v>6.9187997360031755E-2</v>
      </c>
      <c r="R31" s="31">
        <f>SUMIFS('Data Sheet Actuals'!$D:$D,'Data Sheet Actuals'!$C:$C,Client!$B31,'Data Sheet Actuals'!$E:$E,Client!$D$3,'Data Sheet Actuals'!$A:$A,Client!R$4)</f>
        <v>8819.0099999999984</v>
      </c>
      <c r="S31" s="33">
        <f t="shared" ref="S31" si="53">IFERROR(R31/R$14,"")</f>
        <v>7.2421415790675639E-2</v>
      </c>
      <c r="T31" s="31">
        <f>SUMIFS('Data Sheet Actuals'!$D:$D,'Data Sheet Actuals'!$C:$C,Client!$B31,'Data Sheet Actuals'!$E:$E,Client!$D$3,'Data Sheet Actuals'!$A:$A,Client!T$4)</f>
        <v>10153.189999999999</v>
      </c>
      <c r="U31" s="33">
        <f t="shared" ref="U31" si="54">IFERROR(T31/T$14,"")</f>
        <v>9.5399397753829246E-2</v>
      </c>
      <c r="V31" s="31">
        <f>SUMIFS('Data Sheet Actuals'!$D:$D,'Data Sheet Actuals'!$C:$C,Client!$B31,'Data Sheet Actuals'!$E:$E,Client!$D$3,'Data Sheet Actuals'!$A:$A,Client!V$4)</f>
        <v>8254.0299999999988</v>
      </c>
      <c r="W31" s="33">
        <f t="shared" ref="W31" si="55">IFERROR(V31/V$14,"")</f>
        <v>7.7096601485061575E-2</v>
      </c>
      <c r="X31" s="31">
        <f>SUMIFS('Data Sheet Actuals'!$D:$D,'Data Sheet Actuals'!$C:$C,Client!$B31,'Data Sheet Actuals'!$E:$E,Client!$D$3,'Data Sheet Actuals'!$A:$A,Client!X$4)</f>
        <v>10603.970000000001</v>
      </c>
      <c r="Y31" s="33">
        <f t="shared" ref="Y31" si="56">IFERROR(X31/X$14,"")</f>
        <v>0.10046798658705001</v>
      </c>
      <c r="Z31" s="31">
        <f>SUMIFS('Data Sheet Actuals'!$D:$D,'Data Sheet Actuals'!$C:$C,Client!$B31,'Data Sheet Actuals'!$E:$E,Client!$D$3,'Data Sheet Actuals'!$A:$A,Client!Z$4)</f>
        <v>7812.85</v>
      </c>
      <c r="AA31" s="33">
        <f t="shared" ref="AA31" si="57">IFERROR(Z31/Z$14,"")</f>
        <v>6.83048428565034E-2</v>
      </c>
      <c r="AB31" s="31">
        <f t="shared" ref="AB31:AB34" si="58">SUM(D31,F31,H31,J31,L31,N31,P31,R31,T31,V31,X31,Z31)</f>
        <v>113405.39</v>
      </c>
      <c r="AC31" s="33">
        <f t="shared" ref="AC31" si="59">IFERROR(AB31/AB$14,"")</f>
        <v>8.4090916438571625E-2</v>
      </c>
    </row>
    <row r="32" spans="2:29">
      <c r="B32" s="45">
        <v>3002</v>
      </c>
      <c r="C32" s="55" t="s">
        <v>113</v>
      </c>
      <c r="D32" s="47">
        <f>SUMIFS('Data Sheet Actuals'!$D:$D,'Data Sheet Actuals'!$C:$C,Client!$B32,'Data Sheet Actuals'!$E:$E,Client!$D$3,'Data Sheet Actuals'!$A:$A,Client!D$4)</f>
        <v>10069.48</v>
      </c>
      <c r="E32" s="33">
        <f t="shared" si="47"/>
        <v>8.6241589297885279E-2</v>
      </c>
      <c r="F32" s="31">
        <f>SUMIFS('Data Sheet Actuals'!$D:$D,'Data Sheet Actuals'!$C:$C,Client!$B32,'Data Sheet Actuals'!$E:$E,Client!$D$3,'Data Sheet Actuals'!$A:$A,Client!F$4)</f>
        <v>9649.2099999999991</v>
      </c>
      <c r="G32" s="33">
        <f t="shared" si="47"/>
        <v>7.923899048323399E-2</v>
      </c>
      <c r="H32" s="31">
        <f>SUMIFS('Data Sheet Actuals'!$D:$D,'Data Sheet Actuals'!$C:$C,Client!$B32,'Data Sheet Actuals'!$E:$E,Client!$D$3,'Data Sheet Actuals'!$A:$A,Client!H$4)</f>
        <v>8628.59</v>
      </c>
      <c r="I32" s="33">
        <f t="shared" ref="I32" si="60">IFERROR(H32/H$14,"")</f>
        <v>8.1074252472839919E-2</v>
      </c>
      <c r="J32" s="31">
        <f>SUMIFS('Data Sheet Actuals'!$D:$D,'Data Sheet Actuals'!$C:$C,Client!$B32,'Data Sheet Actuals'!$E:$E,Client!$D$3,'Data Sheet Actuals'!$A:$A,Client!J$4)</f>
        <v>7188.57</v>
      </c>
      <c r="K32" s="33">
        <f t="shared" ref="K32" si="61">IFERROR(J32/J$14,"")</f>
        <v>6.7144693748080533E-2</v>
      </c>
      <c r="L32" s="31">
        <f>SUMIFS('Data Sheet Actuals'!$D:$D,'Data Sheet Actuals'!$C:$C,Client!$B32,'Data Sheet Actuals'!$E:$E,Client!$D$3,'Data Sheet Actuals'!$A:$A,Client!L$4)</f>
        <v>6545.65</v>
      </c>
      <c r="M32" s="33">
        <f t="shared" ref="M32" si="62">IFERROR(L32/L$14,"")</f>
        <v>6.2017176246587251E-2</v>
      </c>
      <c r="N32" s="31">
        <f>SUMIFS('Data Sheet Actuals'!$D:$D,'Data Sheet Actuals'!$C:$C,Client!$B32,'Data Sheet Actuals'!$E:$E,Client!$D$3,'Data Sheet Actuals'!$A:$A,Client!N$4)</f>
        <v>9829.52</v>
      </c>
      <c r="O32" s="33">
        <f t="shared" ref="O32" si="63">IFERROR(N32/N$14,"")</f>
        <v>8.2540178372745465E-2</v>
      </c>
      <c r="P32" s="31">
        <f>SUMIFS('Data Sheet Actuals'!$D:$D,'Data Sheet Actuals'!$C:$C,Client!$B32,'Data Sheet Actuals'!$E:$E,Client!$D$3,'Data Sheet Actuals'!$A:$A,Client!P$4)</f>
        <v>7106.3700000000008</v>
      </c>
      <c r="Q32" s="33">
        <f t="shared" ref="Q32" si="64">IFERROR(P32/P$14,"")</f>
        <v>6.0863584111474786E-2</v>
      </c>
      <c r="R32" s="31">
        <f>SUMIFS('Data Sheet Actuals'!$D:$D,'Data Sheet Actuals'!$C:$C,Client!$B32,'Data Sheet Actuals'!$E:$E,Client!$D$3,'Data Sheet Actuals'!$A:$A,Client!R$4)</f>
        <v>7707.4400000000005</v>
      </c>
      <c r="S32" s="33">
        <f t="shared" ref="S32" si="65">IFERROR(R32/R$14,"")</f>
        <v>6.3293240048677257E-2</v>
      </c>
      <c r="T32" s="31">
        <f>SUMIFS('Data Sheet Actuals'!$D:$D,'Data Sheet Actuals'!$C:$C,Client!$B32,'Data Sheet Actuals'!$E:$E,Client!$D$3,'Data Sheet Actuals'!$A:$A,Client!T$4)</f>
        <v>8659.08</v>
      </c>
      <c r="U32" s="33">
        <f t="shared" ref="U32" si="66">IFERROR(T32/T$14,"")</f>
        <v>8.1360736586454874E-2</v>
      </c>
      <c r="V32" s="31">
        <f>SUMIFS('Data Sheet Actuals'!$D:$D,'Data Sheet Actuals'!$C:$C,Client!$B32,'Data Sheet Actuals'!$E:$E,Client!$D$3,'Data Sheet Actuals'!$A:$A,Client!V$4)</f>
        <v>6681.91</v>
      </c>
      <c r="W32" s="33">
        <f t="shared" ref="W32" si="67">IFERROR(V32/V$14,"")</f>
        <v>6.2412246191139102E-2</v>
      </c>
      <c r="X32" s="31">
        <f>SUMIFS('Data Sheet Actuals'!$D:$D,'Data Sheet Actuals'!$C:$C,Client!$B32,'Data Sheet Actuals'!$E:$E,Client!$D$3,'Data Sheet Actuals'!$A:$A,Client!X$4)</f>
        <v>8040.35</v>
      </c>
      <c r="Y32" s="33">
        <f t="shared" ref="Y32" si="68">IFERROR(X32/X$14,"")</f>
        <v>7.6178806235323901E-2</v>
      </c>
      <c r="Z32" s="31">
        <f>SUMIFS('Data Sheet Actuals'!$D:$D,'Data Sheet Actuals'!$C:$C,Client!$B32,'Data Sheet Actuals'!$E:$E,Client!$D$3,'Data Sheet Actuals'!$A:$A,Client!Z$4)</f>
        <v>6681.93</v>
      </c>
      <c r="AA32" s="33">
        <f t="shared" ref="AA32" si="69">IFERROR(Z32/Z$14,"")</f>
        <v>5.8417629754590937E-2</v>
      </c>
      <c r="AB32" s="31">
        <f t="shared" si="58"/>
        <v>96788.1</v>
      </c>
      <c r="AC32" s="33">
        <f t="shared" ref="AC32" si="70">IFERROR(AB32/AB$14,"")</f>
        <v>7.1769075785093769E-2</v>
      </c>
    </row>
    <row r="33" spans="2:29">
      <c r="B33" s="45">
        <v>3003</v>
      </c>
      <c r="C33" s="55" t="s">
        <v>112</v>
      </c>
      <c r="D33" s="47">
        <f>SUMIFS('Data Sheet Actuals'!$D:$D,'Data Sheet Actuals'!$C:$C,Client!$B33,'Data Sheet Actuals'!$E:$E,Client!$D$3,'Data Sheet Actuals'!$A:$A,Client!D$4)</f>
        <v>6865.03</v>
      </c>
      <c r="E33" s="33">
        <f t="shared" si="47"/>
        <v>5.8796591063059997E-2</v>
      </c>
      <c r="F33" s="31">
        <f>SUMIFS('Data Sheet Actuals'!$D:$D,'Data Sheet Actuals'!$C:$C,Client!$B33,'Data Sheet Actuals'!$E:$E,Client!$D$3,'Data Sheet Actuals'!$A:$A,Client!F$4)</f>
        <v>7431.99</v>
      </c>
      <c r="G33" s="33">
        <f t="shared" si="47"/>
        <v>6.1031253841660631E-2</v>
      </c>
      <c r="H33" s="31">
        <f>SUMIFS('Data Sheet Actuals'!$D:$D,'Data Sheet Actuals'!$C:$C,Client!$B33,'Data Sheet Actuals'!$E:$E,Client!$D$3,'Data Sheet Actuals'!$A:$A,Client!H$4)</f>
        <v>8040.93</v>
      </c>
      <c r="I33" s="33">
        <f t="shared" ref="I33" si="71">IFERROR(H33/H$14,"")</f>
        <v>7.5552597693995513E-2</v>
      </c>
      <c r="J33" s="31">
        <f>SUMIFS('Data Sheet Actuals'!$D:$D,'Data Sheet Actuals'!$C:$C,Client!$B33,'Data Sheet Actuals'!$E:$E,Client!$D$3,'Data Sheet Actuals'!$A:$A,Client!J$4)</f>
        <v>8629.2099999999991</v>
      </c>
      <c r="K33" s="33">
        <f t="shared" ref="K33" si="72">IFERROR(J33/J$14,"")</f>
        <v>8.0600962741946447E-2</v>
      </c>
      <c r="L33" s="31">
        <f>SUMIFS('Data Sheet Actuals'!$D:$D,'Data Sheet Actuals'!$C:$C,Client!$B33,'Data Sheet Actuals'!$E:$E,Client!$D$3,'Data Sheet Actuals'!$A:$A,Client!L$4)</f>
        <v>6225.09</v>
      </c>
      <c r="M33" s="33">
        <f t="shared" ref="M33" si="73">IFERROR(L33/L$14,"")</f>
        <v>5.8980010187050617E-2</v>
      </c>
      <c r="N33" s="31">
        <f>SUMIFS('Data Sheet Actuals'!$D:$D,'Data Sheet Actuals'!$C:$C,Client!$B33,'Data Sheet Actuals'!$E:$E,Client!$D$3,'Data Sheet Actuals'!$A:$A,Client!N$4)</f>
        <v>7744.3700000000008</v>
      </c>
      <c r="O33" s="33">
        <f t="shared" ref="O33" si="74">IFERROR(N33/N$14,"")</f>
        <v>6.5030813425735828E-2</v>
      </c>
      <c r="P33" s="31">
        <f>SUMIFS('Data Sheet Actuals'!$D:$D,'Data Sheet Actuals'!$C:$C,Client!$B33,'Data Sheet Actuals'!$E:$E,Client!$D$3,'Data Sheet Actuals'!$A:$A,Client!P$4)</f>
        <v>6001.88</v>
      </c>
      <c r="Q33" s="33">
        <f t="shared" ref="Q33" si="75">IFERROR(P33/P$14,"")</f>
        <v>5.140401192268039E-2</v>
      </c>
      <c r="R33" s="31">
        <f>SUMIFS('Data Sheet Actuals'!$D:$D,'Data Sheet Actuals'!$C:$C,Client!$B33,'Data Sheet Actuals'!$E:$E,Client!$D$3,'Data Sheet Actuals'!$A:$A,Client!R$4)</f>
        <v>7258.6399999999994</v>
      </c>
      <c r="S33" s="33">
        <f t="shared" ref="S33" si="76">IFERROR(R33/R$14,"")</f>
        <v>5.9607709427115955E-2</v>
      </c>
      <c r="T33" s="31">
        <f>SUMIFS('Data Sheet Actuals'!$D:$D,'Data Sheet Actuals'!$C:$C,Client!$B33,'Data Sheet Actuals'!$E:$E,Client!$D$3,'Data Sheet Actuals'!$A:$A,Client!T$4)</f>
        <v>8409.59</v>
      </c>
      <c r="U33" s="33">
        <f t="shared" ref="U33" si="77">IFERROR(T33/T$14,"")</f>
        <v>7.9016527944087034E-2</v>
      </c>
      <c r="V33" s="31">
        <f>SUMIFS('Data Sheet Actuals'!$D:$D,'Data Sheet Actuals'!$C:$C,Client!$B33,'Data Sheet Actuals'!$E:$E,Client!$D$3,'Data Sheet Actuals'!$A:$A,Client!V$4)</f>
        <v>6160.53</v>
      </c>
      <c r="W33" s="33">
        <f t="shared" ref="W33" si="78">IFERROR(V33/V$14,"")</f>
        <v>5.7542306769755677E-2</v>
      </c>
      <c r="X33" s="31">
        <f>SUMIFS('Data Sheet Actuals'!$D:$D,'Data Sheet Actuals'!$C:$C,Client!$B33,'Data Sheet Actuals'!$E:$E,Client!$D$3,'Data Sheet Actuals'!$A:$A,Client!X$4)</f>
        <v>8047.3899999999994</v>
      </c>
      <c r="Y33" s="33">
        <f t="shared" ref="Y33" si="79">IFERROR(X33/X$14,"")</f>
        <v>7.6245507162011991E-2</v>
      </c>
      <c r="Z33" s="31">
        <f>SUMIFS('Data Sheet Actuals'!$D:$D,'Data Sheet Actuals'!$C:$C,Client!$B33,'Data Sheet Actuals'!$E:$E,Client!$D$3,'Data Sheet Actuals'!$A:$A,Client!Z$4)</f>
        <v>5077.7199999999993</v>
      </c>
      <c r="AA33" s="33">
        <f t="shared" ref="AA33" si="80">IFERROR(Z33/Z$14,"")</f>
        <v>4.4392618144380655E-2</v>
      </c>
      <c r="AB33" s="31">
        <f t="shared" si="58"/>
        <v>85892.37</v>
      </c>
      <c r="AC33" s="33">
        <f t="shared" ref="AC33" si="81">IFERROR(AB33/AB$14,"")</f>
        <v>6.3689813230049089E-2</v>
      </c>
    </row>
    <row r="34" spans="2:29">
      <c r="B34" s="45">
        <v>3004</v>
      </c>
      <c r="C34" s="55" t="s">
        <v>114</v>
      </c>
      <c r="D34" s="47">
        <f>SUMIFS('Data Sheet Actuals'!$D:$D,'Data Sheet Actuals'!$C:$C,Client!$B34,'Data Sheet Actuals'!$E:$E,Client!$D$3,'Data Sheet Actuals'!$A:$A,Client!D$4)</f>
        <v>1215.92</v>
      </c>
      <c r="E34" s="33">
        <f t="shared" si="47"/>
        <v>1.0413931331020537E-2</v>
      </c>
      <c r="F34" s="31">
        <f>SUMIFS('Data Sheet Actuals'!$D:$D,'Data Sheet Actuals'!$C:$C,Client!$B34,'Data Sheet Actuals'!$E:$E,Client!$D$3,'Data Sheet Actuals'!$A:$A,Client!F$4)</f>
        <v>764.17000000000007</v>
      </c>
      <c r="G34" s="33">
        <f t="shared" si="47"/>
        <v>6.2753385362711482E-3</v>
      </c>
      <c r="H34" s="31">
        <f>SUMIFS('Data Sheet Actuals'!$D:$D,'Data Sheet Actuals'!$C:$C,Client!$B34,'Data Sheet Actuals'!$E:$E,Client!$D$3,'Data Sheet Actuals'!$A:$A,Client!H$4)</f>
        <v>1153.08</v>
      </c>
      <c r="I34" s="33">
        <f t="shared" ref="I34" si="82">IFERROR(H34/H$14,"")</f>
        <v>1.083434246399264E-2</v>
      </c>
      <c r="J34" s="31">
        <f>SUMIFS('Data Sheet Actuals'!$D:$D,'Data Sheet Actuals'!$C:$C,Client!$B34,'Data Sheet Actuals'!$E:$E,Client!$D$3,'Data Sheet Actuals'!$A:$A,Client!J$4)</f>
        <v>1111.77</v>
      </c>
      <c r="K34" s="33">
        <f t="shared" ref="K34" si="83">IFERROR(J34/J$14,"")</f>
        <v>1.0384465362137879E-2</v>
      </c>
      <c r="L34" s="31">
        <f>SUMIFS('Data Sheet Actuals'!$D:$D,'Data Sheet Actuals'!$C:$C,Client!$B34,'Data Sheet Actuals'!$E:$E,Client!$D$3,'Data Sheet Actuals'!$A:$A,Client!L$4)</f>
        <v>822.1400000000001</v>
      </c>
      <c r="M34" s="33">
        <f t="shared" ref="M34" si="84">IFERROR(L34/L$14,"")</f>
        <v>7.7894175947949024E-3</v>
      </c>
      <c r="N34" s="31">
        <f>SUMIFS('Data Sheet Actuals'!$D:$D,'Data Sheet Actuals'!$C:$C,Client!$B34,'Data Sheet Actuals'!$E:$E,Client!$D$3,'Data Sheet Actuals'!$A:$A,Client!N$4)</f>
        <v>1136.77</v>
      </c>
      <c r="O34" s="33">
        <f t="shared" ref="O34" si="85">IFERROR(N34/N$14,"")</f>
        <v>9.5456541691543283E-3</v>
      </c>
      <c r="P34" s="31">
        <f>SUMIFS('Data Sheet Actuals'!$D:$D,'Data Sheet Actuals'!$C:$C,Client!$B34,'Data Sheet Actuals'!$E:$E,Client!$D$3,'Data Sheet Actuals'!$A:$A,Client!P$4)</f>
        <v>1055.17</v>
      </c>
      <c r="Q34" s="33">
        <f t="shared" ref="Q34" si="86">IFERROR(P34/P$14,"")</f>
        <v>9.0371635654919232E-3</v>
      </c>
      <c r="R34" s="31">
        <f>SUMIFS('Data Sheet Actuals'!$D:$D,'Data Sheet Actuals'!$C:$C,Client!$B34,'Data Sheet Actuals'!$E:$E,Client!$D$3,'Data Sheet Actuals'!$A:$A,Client!R$4)</f>
        <v>1044.81</v>
      </c>
      <c r="S34" s="33">
        <f t="shared" ref="S34" si="87">IFERROR(R34/R$14,"")</f>
        <v>8.5799448500745341E-3</v>
      </c>
      <c r="T34" s="31">
        <f>SUMIFS('Data Sheet Actuals'!$D:$D,'Data Sheet Actuals'!$C:$C,Client!$B34,'Data Sheet Actuals'!$E:$E,Client!$D$3,'Data Sheet Actuals'!$A:$A,Client!T$4)</f>
        <v>827.90000000000009</v>
      </c>
      <c r="U34" s="33">
        <f t="shared" ref="U34" si="88">IFERROR(T34/T$14,"")</f>
        <v>7.7789503988790962E-3</v>
      </c>
      <c r="V34" s="31">
        <f>SUMIFS('Data Sheet Actuals'!$D:$D,'Data Sheet Actuals'!$C:$C,Client!$B34,'Data Sheet Actuals'!$E:$E,Client!$D$3,'Data Sheet Actuals'!$A:$A,Client!V$4)</f>
        <v>785.81999999999994</v>
      </c>
      <c r="W34" s="33">
        <f t="shared" ref="W34" si="89">IFERROR(V34/V$14,"")</f>
        <v>7.3399359317801241E-3</v>
      </c>
      <c r="X34" s="31">
        <f>SUMIFS('Data Sheet Actuals'!$D:$D,'Data Sheet Actuals'!$C:$C,Client!$B34,'Data Sheet Actuals'!$E:$E,Client!$D$3,'Data Sheet Actuals'!$A:$A,Client!X$4)</f>
        <v>910.06999999999994</v>
      </c>
      <c r="Y34" s="33">
        <f t="shared" ref="Y34" si="90">IFERROR(X34/X$14,"")</f>
        <v>8.6225159589546733E-3</v>
      </c>
      <c r="Z34" s="31">
        <f>SUMIFS('Data Sheet Actuals'!$D:$D,'Data Sheet Actuals'!$C:$C,Client!$B34,'Data Sheet Actuals'!$E:$E,Client!$D$3,'Data Sheet Actuals'!$A:$A,Client!Z$4)</f>
        <v>801.39</v>
      </c>
      <c r="AA34" s="33">
        <f t="shared" ref="AA34" si="91">IFERROR(Z34/Z$14,"")</f>
        <v>7.006254825930776E-3</v>
      </c>
      <c r="AB34" s="31">
        <f t="shared" si="58"/>
        <v>11629.009999999998</v>
      </c>
      <c r="AC34" s="33">
        <f t="shared" ref="AC34" si="92">IFERROR(AB34/AB$14,"")</f>
        <v>8.6229949755766786E-3</v>
      </c>
    </row>
    <row r="35" spans="2:29">
      <c r="B35" s="45"/>
      <c r="C35" s="54"/>
      <c r="D35" s="48" t="s">
        <v>42</v>
      </c>
      <c r="E35" s="36" t="s">
        <v>42</v>
      </c>
      <c r="F35" s="35" t="s">
        <v>42</v>
      </c>
      <c r="G35" s="36" t="s">
        <v>42</v>
      </c>
      <c r="H35" s="35" t="s">
        <v>42</v>
      </c>
      <c r="I35" s="36" t="s">
        <v>42</v>
      </c>
      <c r="J35" s="35" t="s">
        <v>42</v>
      </c>
      <c r="K35" s="36" t="s">
        <v>42</v>
      </c>
      <c r="L35" s="35" t="s">
        <v>42</v>
      </c>
      <c r="M35" s="36" t="s">
        <v>42</v>
      </c>
      <c r="N35" s="35" t="s">
        <v>42</v>
      </c>
      <c r="O35" s="36" t="s">
        <v>42</v>
      </c>
      <c r="P35" s="35" t="s">
        <v>42</v>
      </c>
      <c r="Q35" s="36" t="s">
        <v>42</v>
      </c>
      <c r="R35" s="35" t="s">
        <v>42</v>
      </c>
      <c r="S35" s="36" t="s">
        <v>42</v>
      </c>
      <c r="T35" s="35" t="s">
        <v>42</v>
      </c>
      <c r="U35" s="36" t="s">
        <v>42</v>
      </c>
      <c r="V35" s="35" t="s">
        <v>42</v>
      </c>
      <c r="W35" s="36" t="s">
        <v>42</v>
      </c>
      <c r="X35" s="35" t="s">
        <v>42</v>
      </c>
      <c r="Y35" s="36" t="s">
        <v>42</v>
      </c>
      <c r="Z35" s="35" t="s">
        <v>42</v>
      </c>
      <c r="AA35" s="36" t="s">
        <v>42</v>
      </c>
      <c r="AB35" s="35" t="s">
        <v>42</v>
      </c>
      <c r="AC35" s="36" t="s">
        <v>42</v>
      </c>
    </row>
    <row r="36" spans="2:29">
      <c r="B36" s="45"/>
      <c r="C36" s="57" t="s">
        <v>115</v>
      </c>
      <c r="D36" s="64">
        <f>SUM(D30:D35)</f>
        <v>29949.509999999995</v>
      </c>
      <c r="E36" s="65">
        <f>IFERROR(D36/D$14,"")</f>
        <v>0.25650712262131786</v>
      </c>
      <c r="F36" s="64">
        <f>SUM(F30:F35)</f>
        <v>28231.42</v>
      </c>
      <c r="G36" s="65">
        <f>IFERROR(F36/F$14,"")</f>
        <v>0.23183547883279373</v>
      </c>
      <c r="H36" s="64">
        <f>SUM(H30:H35)</f>
        <v>26734.79</v>
      </c>
      <c r="I36" s="65">
        <f>IFERROR(H36/H$14,"")</f>
        <v>0.25120015138839091</v>
      </c>
      <c r="J36" s="64">
        <f>SUM(J30:J35)</f>
        <v>27921.899999999998</v>
      </c>
      <c r="K36" s="65">
        <f>IFERROR(J36/J$14,"")</f>
        <v>0.26080394631540482</v>
      </c>
      <c r="L36" s="64">
        <f>SUM(L30:L35)</f>
        <v>20366.62</v>
      </c>
      <c r="M36" s="65">
        <f>IFERROR(L36/L$14,"")</f>
        <v>0.19296483345233381</v>
      </c>
      <c r="N36" s="64">
        <f>SUM(N30:N35)</f>
        <v>29531.27</v>
      </c>
      <c r="O36" s="65">
        <f>IFERROR(N36/N$14,"")</f>
        <v>0.24797917837022632</v>
      </c>
      <c r="P36" s="64">
        <f>SUM(P30:P35)</f>
        <v>22241.739999999998</v>
      </c>
      <c r="Q36" s="65">
        <f>IFERROR(P36/P$14,"")</f>
        <v>0.19049275695967882</v>
      </c>
      <c r="R36" s="64">
        <f>SUM(R30:R35)</f>
        <v>24829.899999999998</v>
      </c>
      <c r="S36" s="65">
        <f>IFERROR(R36/R$14,"")</f>
        <v>0.20390231011654339</v>
      </c>
      <c r="T36" s="64">
        <f>SUM(T30:T35)</f>
        <v>28049.759999999998</v>
      </c>
      <c r="U36" s="65">
        <f>IFERROR(T36/T$14,"")</f>
        <v>0.26355561268325023</v>
      </c>
      <c r="V36" s="64">
        <f>SUM(V30:V35)</f>
        <v>21882.289999999997</v>
      </c>
      <c r="W36" s="65">
        <f>IFERROR(V36/V$14,"")</f>
        <v>0.20439109037773648</v>
      </c>
      <c r="X36" s="64">
        <f>SUM(X30:X35)</f>
        <v>27601.78</v>
      </c>
      <c r="Y36" s="65">
        <f>IFERROR(X36/X$14,"")</f>
        <v>0.26151481594334058</v>
      </c>
      <c r="Z36" s="64">
        <f>SUM(Z30:Z35)</f>
        <v>20373.89</v>
      </c>
      <c r="AA36" s="65">
        <f>IFERROR(Z36/Z$14,"")</f>
        <v>0.17812134558140577</v>
      </c>
      <c r="AB36" s="64">
        <f>SUM(AB30:AB35)</f>
        <v>307714.87</v>
      </c>
      <c r="AC36" s="65">
        <f>IFERROR(AB36/AB$14,"")</f>
        <v>0.22817280042929117</v>
      </c>
    </row>
    <row r="37" spans="2:29">
      <c r="B37" s="45"/>
      <c r="C37" s="54"/>
      <c r="D37" s="48" t="s">
        <v>42</v>
      </c>
      <c r="E37" s="36" t="s">
        <v>42</v>
      </c>
      <c r="F37" s="35" t="s">
        <v>42</v>
      </c>
      <c r="G37" s="36" t="s">
        <v>42</v>
      </c>
      <c r="H37" s="35" t="s">
        <v>42</v>
      </c>
      <c r="I37" s="36" t="s">
        <v>42</v>
      </c>
      <c r="J37" s="35" t="s">
        <v>42</v>
      </c>
      <c r="K37" s="36" t="s">
        <v>42</v>
      </c>
      <c r="L37" s="35" t="s">
        <v>42</v>
      </c>
      <c r="M37" s="36" t="s">
        <v>42</v>
      </c>
      <c r="N37" s="35" t="s">
        <v>42</v>
      </c>
      <c r="O37" s="36" t="s">
        <v>42</v>
      </c>
      <c r="P37" s="35" t="s">
        <v>42</v>
      </c>
      <c r="Q37" s="36" t="s">
        <v>42</v>
      </c>
      <c r="R37" s="35" t="s">
        <v>42</v>
      </c>
      <c r="S37" s="36" t="s">
        <v>42</v>
      </c>
      <c r="T37" s="35" t="s">
        <v>42</v>
      </c>
      <c r="U37" s="36" t="s">
        <v>42</v>
      </c>
      <c r="V37" s="35" t="s">
        <v>42</v>
      </c>
      <c r="W37" s="36" t="s">
        <v>42</v>
      </c>
      <c r="X37" s="35" t="s">
        <v>42</v>
      </c>
      <c r="Y37" s="36" t="s">
        <v>42</v>
      </c>
      <c r="Z37" s="35" t="s">
        <v>42</v>
      </c>
      <c r="AA37" s="36" t="s">
        <v>42</v>
      </c>
      <c r="AB37" s="35" t="s">
        <v>42</v>
      </c>
      <c r="AC37" s="36" t="s">
        <v>42</v>
      </c>
    </row>
    <row r="38" spans="2:29">
      <c r="B38" s="45"/>
      <c r="C38" s="54"/>
      <c r="D38" s="47"/>
      <c r="E38" s="32"/>
      <c r="F38" s="31"/>
      <c r="G38" s="32"/>
      <c r="H38" s="31"/>
      <c r="I38" s="32"/>
      <c r="J38" s="31"/>
      <c r="K38" s="32"/>
      <c r="L38" s="31"/>
      <c r="M38" s="32"/>
      <c r="N38" s="31"/>
      <c r="O38" s="32"/>
      <c r="P38" s="31"/>
      <c r="Q38" s="32"/>
      <c r="R38" s="31"/>
      <c r="S38" s="32"/>
      <c r="T38" s="31"/>
      <c r="U38" s="32"/>
      <c r="V38" s="31"/>
      <c r="W38" s="32"/>
      <c r="X38" s="31"/>
      <c r="Y38" s="32"/>
      <c r="Z38" s="31"/>
      <c r="AA38" s="32"/>
      <c r="AB38" s="31"/>
      <c r="AC38" s="32"/>
    </row>
    <row r="39" spans="2:29">
      <c r="B39" s="45" t="e">
        <v>#N/A</v>
      </c>
      <c r="C39" s="57" t="s">
        <v>116</v>
      </c>
      <c r="D39" s="47"/>
      <c r="E39" s="32"/>
      <c r="F39" s="31"/>
      <c r="G39" s="32"/>
      <c r="H39" s="31"/>
      <c r="I39" s="32"/>
      <c r="J39" s="31"/>
      <c r="K39" s="32"/>
      <c r="L39" s="31"/>
      <c r="M39" s="32"/>
      <c r="N39" s="31"/>
      <c r="O39" s="32"/>
      <c r="P39" s="31"/>
      <c r="Q39" s="32"/>
      <c r="R39" s="31"/>
      <c r="S39" s="32"/>
      <c r="T39" s="31"/>
      <c r="U39" s="32"/>
      <c r="V39" s="31"/>
      <c r="W39" s="32"/>
      <c r="X39" s="31"/>
      <c r="Y39" s="32"/>
      <c r="Z39" s="31"/>
      <c r="AA39" s="32"/>
      <c r="AB39" s="31"/>
      <c r="AC39" s="32"/>
    </row>
    <row r="40" spans="2:29">
      <c r="B40" s="45">
        <v>4010</v>
      </c>
      <c r="C40" s="55" t="s">
        <v>117</v>
      </c>
      <c r="D40" s="47">
        <f>SUMIFS('Data Sheet Actuals'!$D:$D,'Data Sheet Actuals'!$C:$C,Client!$B40,'Data Sheet Actuals'!$E:$E,Client!$D$3,'Data Sheet Actuals'!$A:$A,Client!D$4)</f>
        <v>0</v>
      </c>
      <c r="E40" s="33">
        <f t="shared" ref="E40:E52" si="93">IFERROR(D40/D$14,"")</f>
        <v>0</v>
      </c>
      <c r="F40" s="31">
        <f>SUMIFS('Data Sheet Actuals'!$D:$D,'Data Sheet Actuals'!$C:$C,Client!$B40,'Data Sheet Actuals'!$E:$E,Client!$D$3,'Data Sheet Actuals'!$A:$A,Client!F$4)</f>
        <v>0</v>
      </c>
      <c r="G40" s="33">
        <f t="shared" ref="G40" si="94">IFERROR(F40/F$14,"")</f>
        <v>0</v>
      </c>
      <c r="H40" s="31">
        <f>SUMIFS('Data Sheet Actuals'!$D:$D,'Data Sheet Actuals'!$C:$C,Client!$B40,'Data Sheet Actuals'!$E:$E,Client!$D$3,'Data Sheet Actuals'!$A:$A,Client!H$4)</f>
        <v>0</v>
      </c>
      <c r="I40" s="33">
        <f t="shared" ref="I40" si="95">IFERROR(H40/H$14,"")</f>
        <v>0</v>
      </c>
      <c r="J40" s="31">
        <f>SUMIFS('Data Sheet Actuals'!$D:$D,'Data Sheet Actuals'!$C:$C,Client!$B40,'Data Sheet Actuals'!$E:$E,Client!$D$3,'Data Sheet Actuals'!$A:$A,Client!J$4)</f>
        <v>0</v>
      </c>
      <c r="K40" s="33">
        <f t="shared" ref="K40" si="96">IFERROR(J40/J$14,"")</f>
        <v>0</v>
      </c>
      <c r="L40" s="31">
        <f>SUMIFS('Data Sheet Actuals'!$D:$D,'Data Sheet Actuals'!$C:$C,Client!$B40,'Data Sheet Actuals'!$E:$E,Client!$D$3,'Data Sheet Actuals'!$A:$A,Client!L$4)</f>
        <v>0</v>
      </c>
      <c r="M40" s="33">
        <f t="shared" ref="M40" si="97">IFERROR(L40/L$14,"")</f>
        <v>0</v>
      </c>
      <c r="N40" s="31">
        <f>SUMIFS('Data Sheet Actuals'!$D:$D,'Data Sheet Actuals'!$C:$C,Client!$B40,'Data Sheet Actuals'!$E:$E,Client!$D$3,'Data Sheet Actuals'!$A:$A,Client!N$4)</f>
        <v>0</v>
      </c>
      <c r="O40" s="33">
        <f t="shared" ref="O40" si="98">IFERROR(N40/N$14,"")</f>
        <v>0</v>
      </c>
      <c r="P40" s="31">
        <f>SUMIFS('Data Sheet Actuals'!$D:$D,'Data Sheet Actuals'!$C:$C,Client!$B40,'Data Sheet Actuals'!$E:$E,Client!$D$3,'Data Sheet Actuals'!$A:$A,Client!P$4)</f>
        <v>0</v>
      </c>
      <c r="Q40" s="33">
        <f t="shared" ref="Q40" si="99">IFERROR(P40/P$14,"")</f>
        <v>0</v>
      </c>
      <c r="R40" s="31">
        <f>SUMIFS('Data Sheet Actuals'!$D:$D,'Data Sheet Actuals'!$C:$C,Client!$B40,'Data Sheet Actuals'!$E:$E,Client!$D$3,'Data Sheet Actuals'!$A:$A,Client!R$4)</f>
        <v>0</v>
      </c>
      <c r="S40" s="33">
        <f t="shared" ref="S40" si="100">IFERROR(R40/R$14,"")</f>
        <v>0</v>
      </c>
      <c r="T40" s="31">
        <f>SUMIFS('Data Sheet Actuals'!$D:$D,'Data Sheet Actuals'!$C:$C,Client!$B40,'Data Sheet Actuals'!$E:$E,Client!$D$3,'Data Sheet Actuals'!$A:$A,Client!T$4)</f>
        <v>0</v>
      </c>
      <c r="U40" s="33">
        <f t="shared" ref="U40" si="101">IFERROR(T40/T$14,"")</f>
        <v>0</v>
      </c>
      <c r="V40" s="31">
        <f>SUMIFS('Data Sheet Actuals'!$D:$D,'Data Sheet Actuals'!$C:$C,Client!$B40,'Data Sheet Actuals'!$E:$E,Client!$D$3,'Data Sheet Actuals'!$A:$A,Client!V$4)</f>
        <v>0</v>
      </c>
      <c r="W40" s="33">
        <f t="shared" ref="W40" si="102">IFERROR(V40/V$14,"")</f>
        <v>0</v>
      </c>
      <c r="X40" s="31">
        <f>SUMIFS('Data Sheet Actuals'!$D:$D,'Data Sheet Actuals'!$C:$C,Client!$B40,'Data Sheet Actuals'!$E:$E,Client!$D$3,'Data Sheet Actuals'!$A:$A,Client!X$4)</f>
        <v>0</v>
      </c>
      <c r="Y40" s="33">
        <f t="shared" ref="Y40" si="103">IFERROR(X40/X$14,"")</f>
        <v>0</v>
      </c>
      <c r="Z40" s="31">
        <f>SUMIFS('Data Sheet Actuals'!$D:$D,'Data Sheet Actuals'!$C:$C,Client!$B40,'Data Sheet Actuals'!$E:$E,Client!$D$3,'Data Sheet Actuals'!$A:$A,Client!Z$4)</f>
        <v>0</v>
      </c>
      <c r="AA40" s="33">
        <f t="shared" ref="AA40" si="104">IFERROR(Z40/Z$14,"")</f>
        <v>0</v>
      </c>
      <c r="AB40" s="31">
        <f t="shared" ref="AB40:AB52" si="105">SUM(D40,F40,H40,J40,L40,N40,P40,R40,T40,V40,X40,Z40)</f>
        <v>0</v>
      </c>
      <c r="AC40" s="33">
        <f t="shared" ref="AC40" si="106">IFERROR(AB40/AB$14,"")</f>
        <v>0</v>
      </c>
    </row>
    <row r="41" spans="2:29">
      <c r="B41" s="45">
        <v>4011</v>
      </c>
      <c r="C41" s="55" t="s">
        <v>120</v>
      </c>
      <c r="D41" s="51">
        <f>SUMIFS('Data Sheet Actuals'!$D:$D,'Data Sheet Actuals'!$C:$C,Client!$B41,'Data Sheet Actuals'!$E:$E,Client!$D$3,'Data Sheet Actuals'!$A:$A,Client!D$4)</f>
        <v>895.39</v>
      </c>
      <c r="E41" s="33">
        <f t="shared" si="93"/>
        <v>7.6687035121409943E-3</v>
      </c>
      <c r="F41" s="39">
        <f>SUMIFS('Data Sheet Actuals'!$D:$D,'Data Sheet Actuals'!$C:$C,Client!$B41,'Data Sheet Actuals'!$E:$E,Client!$D$3,'Data Sheet Actuals'!$A:$A,Client!F$4)</f>
        <v>861.38</v>
      </c>
      <c r="G41" s="33">
        <f t="shared" ref="G41" si="107">IFERROR(F41/F$14,"")</f>
        <v>7.0736238119439932E-3</v>
      </c>
      <c r="H41" s="39">
        <f>SUMIFS('Data Sheet Actuals'!$D:$D,'Data Sheet Actuals'!$C:$C,Client!$B41,'Data Sheet Actuals'!$E:$E,Client!$D$3,'Data Sheet Actuals'!$A:$A,Client!H$4)</f>
        <v>1071.77</v>
      </c>
      <c r="I41" s="33">
        <f t="shared" ref="I41" si="108">IFERROR(H41/H$14,"")</f>
        <v>1.0070353507678037E-2</v>
      </c>
      <c r="J41" s="39">
        <f>SUMIFS('Data Sheet Actuals'!$D:$D,'Data Sheet Actuals'!$C:$C,Client!$B41,'Data Sheet Actuals'!$E:$E,Client!$D$3,'Data Sheet Actuals'!$A:$A,Client!J$4)</f>
        <v>927.29</v>
      </c>
      <c r="K41" s="33">
        <f t="shared" ref="K41" si="109">IFERROR(J41/J$14,"")</f>
        <v>8.6613336262507841E-3</v>
      </c>
      <c r="L41" s="39">
        <f>SUMIFS('Data Sheet Actuals'!$D:$D,'Data Sheet Actuals'!$C:$C,Client!$B41,'Data Sheet Actuals'!$E:$E,Client!$D$3,'Data Sheet Actuals'!$A:$A,Client!L$4)</f>
        <v>821.8</v>
      </c>
      <c r="M41" s="33">
        <f t="shared" ref="M41" si="110">IFERROR(L41/L$14,"")</f>
        <v>7.7861962432218962E-3</v>
      </c>
      <c r="N41" s="39">
        <f>SUMIFS('Data Sheet Actuals'!$D:$D,'Data Sheet Actuals'!$C:$C,Client!$B41,'Data Sheet Actuals'!$E:$E,Client!$D$3,'Data Sheet Actuals'!$A:$A,Client!N$4)</f>
        <v>860.24</v>
      </c>
      <c r="O41" s="33">
        <f t="shared" ref="O41" si="111">IFERROR(N41/N$14,"")</f>
        <v>7.2235839637510846E-3</v>
      </c>
      <c r="P41" s="39">
        <f>SUMIFS('Data Sheet Actuals'!$D:$D,'Data Sheet Actuals'!$C:$C,Client!$B41,'Data Sheet Actuals'!$E:$E,Client!$D$3,'Data Sheet Actuals'!$A:$A,Client!P$4)</f>
        <v>833.64</v>
      </c>
      <c r="Q41" s="33">
        <f t="shared" ref="Q41" si="112">IFERROR(P41/P$14,"")</f>
        <v>7.139836267839956E-3</v>
      </c>
      <c r="R41" s="39">
        <f>SUMIFS('Data Sheet Actuals'!$D:$D,'Data Sheet Actuals'!$C:$C,Client!$B41,'Data Sheet Actuals'!$E:$E,Client!$D$3,'Data Sheet Actuals'!$A:$A,Client!R$4)</f>
        <v>844.44</v>
      </c>
      <c r="S41" s="33">
        <f t="shared" ref="S41" si="113">IFERROR(R41/R$14,"")</f>
        <v>6.9345130973066313E-3</v>
      </c>
      <c r="T41" s="39">
        <f>SUMIFS('Data Sheet Actuals'!$D:$D,'Data Sheet Actuals'!$C:$C,Client!$B41,'Data Sheet Actuals'!$E:$E,Client!$D$3,'Data Sheet Actuals'!$A:$A,Client!T$4)</f>
        <v>783.73</v>
      </c>
      <c r="U41" s="33">
        <f t="shared" ref="U41" si="114">IFERROR(T41/T$14,"")</f>
        <v>7.3639289722351895E-3</v>
      </c>
      <c r="V41" s="39">
        <f>SUMIFS('Data Sheet Actuals'!$D:$D,'Data Sheet Actuals'!$C:$C,Client!$B41,'Data Sheet Actuals'!$E:$E,Client!$D$3,'Data Sheet Actuals'!$A:$A,Client!V$4)</f>
        <v>770.38</v>
      </c>
      <c r="W41" s="33">
        <f t="shared" ref="W41" si="115">IFERROR(V41/V$14,"")</f>
        <v>7.1957189217947779E-3</v>
      </c>
      <c r="X41" s="39">
        <f>SUMIFS('Data Sheet Actuals'!$D:$D,'Data Sheet Actuals'!$C:$C,Client!$B41,'Data Sheet Actuals'!$E:$E,Client!$D$3,'Data Sheet Actuals'!$A:$A,Client!X$4)</f>
        <v>799.69</v>
      </c>
      <c r="Y41" s="33">
        <f t="shared" ref="Y41" si="116">IFERROR(X41/X$14,"")</f>
        <v>7.5767136453420772E-3</v>
      </c>
      <c r="Z41" s="39">
        <f>SUMIFS('Data Sheet Actuals'!$D:$D,'Data Sheet Actuals'!$C:$C,Client!$B41,'Data Sheet Actuals'!$E:$E,Client!$D$3,'Data Sheet Actuals'!$A:$A,Client!Z$4)</f>
        <v>885.41000000000008</v>
      </c>
      <c r="AA41" s="33">
        <f t="shared" ref="AA41" si="117">IFERROR(Z41/Z$14,"")</f>
        <v>7.7408104486297166E-3</v>
      </c>
      <c r="AB41" s="31">
        <f t="shared" si="105"/>
        <v>10355.16</v>
      </c>
      <c r="AC41" s="33">
        <f t="shared" ref="AC41" si="118">IFERROR(AB41/AB$14,"")</f>
        <v>7.6784259925215138E-3</v>
      </c>
    </row>
    <row r="42" spans="2:29">
      <c r="B42" s="45">
        <v>4012</v>
      </c>
      <c r="C42" s="55" t="s">
        <v>118</v>
      </c>
      <c r="D42" s="51">
        <f>SUMIFS('Data Sheet Actuals'!$D:$D,'Data Sheet Actuals'!$C:$C,Client!$B42,'Data Sheet Actuals'!$E:$E,Client!$D$3,'Data Sheet Actuals'!$A:$A,Client!D$4)</f>
        <v>179.07999999999998</v>
      </c>
      <c r="E42" s="33">
        <f t="shared" si="93"/>
        <v>1.5337578317316579E-3</v>
      </c>
      <c r="F42" s="39">
        <f>SUMIFS('Data Sheet Actuals'!$D:$D,'Data Sheet Actuals'!$C:$C,Client!$B42,'Data Sheet Actuals'!$E:$E,Client!$D$3,'Data Sheet Actuals'!$A:$A,Client!F$4)</f>
        <v>172.28</v>
      </c>
      <c r="G42" s="33">
        <f t="shared" ref="G42" si="119">IFERROR(F42/F$14,"")</f>
        <v>1.4147576102553009E-3</v>
      </c>
      <c r="H42" s="39">
        <f>SUMIFS('Data Sheet Actuals'!$D:$D,'Data Sheet Actuals'!$C:$C,Client!$B42,'Data Sheet Actuals'!$E:$E,Client!$D$3,'Data Sheet Actuals'!$A:$A,Client!H$4)</f>
        <v>214.35</v>
      </c>
      <c r="I42" s="33">
        <f t="shared" ref="I42" si="120">IFERROR(H42/H$14,"")</f>
        <v>2.0140331175259501E-3</v>
      </c>
      <c r="J42" s="39">
        <f>SUMIFS('Data Sheet Actuals'!$D:$D,'Data Sheet Actuals'!$C:$C,Client!$B42,'Data Sheet Actuals'!$E:$E,Client!$D$3,'Data Sheet Actuals'!$A:$A,Client!J$4)</f>
        <v>185.45999999999998</v>
      </c>
      <c r="K42" s="33">
        <f t="shared" ref="K42" si="121">IFERROR(J42/J$14,"")</f>
        <v>1.7322854062099993E-3</v>
      </c>
      <c r="L42" s="39">
        <f>SUMIFS('Data Sheet Actuals'!$D:$D,'Data Sheet Actuals'!$C:$C,Client!$B42,'Data Sheet Actuals'!$E:$E,Client!$D$3,'Data Sheet Actuals'!$A:$A,Client!L$4)</f>
        <v>164.36</v>
      </c>
      <c r="M42" s="33">
        <f t="shared" ref="M42" si="122">IFERROR(L42/L$14,"")</f>
        <v>1.5572392486443794E-3</v>
      </c>
      <c r="N42" s="39">
        <f>SUMIFS('Data Sheet Actuals'!$D:$D,'Data Sheet Actuals'!$C:$C,Client!$B42,'Data Sheet Actuals'!$E:$E,Client!$D$3,'Data Sheet Actuals'!$A:$A,Client!N$4)</f>
        <v>172.05</v>
      </c>
      <c r="O42" s="33">
        <f t="shared" ref="O42" si="123">IFERROR(N42/N$14,"")</f>
        <v>1.4447335870958968E-3</v>
      </c>
      <c r="P42" s="39">
        <f>SUMIFS('Data Sheet Actuals'!$D:$D,'Data Sheet Actuals'!$C:$C,Client!$B42,'Data Sheet Actuals'!$E:$E,Client!$D$3,'Data Sheet Actuals'!$A:$A,Client!P$4)</f>
        <v>166.73</v>
      </c>
      <c r="Q42" s="33">
        <f t="shared" ref="Q42" si="124">IFERROR(P42/P$14,"")</f>
        <v>1.4279843828714505E-3</v>
      </c>
      <c r="R42" s="39">
        <f>SUMIFS('Data Sheet Actuals'!$D:$D,'Data Sheet Actuals'!$C:$C,Client!$B42,'Data Sheet Actuals'!$E:$E,Client!$D$3,'Data Sheet Actuals'!$A:$A,Client!R$4)</f>
        <v>168.89</v>
      </c>
      <c r="S42" s="33">
        <f t="shared" ref="S42" si="125">IFERROR(R42/R$14,"")</f>
        <v>1.3869190433945771E-3</v>
      </c>
      <c r="T42" s="39">
        <f>SUMIFS('Data Sheet Actuals'!$D:$D,'Data Sheet Actuals'!$C:$C,Client!$B42,'Data Sheet Actuals'!$E:$E,Client!$D$3,'Data Sheet Actuals'!$A:$A,Client!T$4)</f>
        <v>156.75</v>
      </c>
      <c r="U42" s="33">
        <f t="shared" ref="U42" si="126">IFERROR(T42/T$14,"")</f>
        <v>1.4728233784566955E-3</v>
      </c>
      <c r="V42" s="39">
        <f>SUMIFS('Data Sheet Actuals'!$D:$D,'Data Sheet Actuals'!$C:$C,Client!$B42,'Data Sheet Actuals'!$E:$E,Client!$D$3,'Data Sheet Actuals'!$A:$A,Client!V$4)</f>
        <v>154.07999999999998</v>
      </c>
      <c r="W42" s="33">
        <f t="shared" ref="W42" si="127">IFERROR(V42/V$14,"")</f>
        <v>1.4391811462786408E-3</v>
      </c>
      <c r="X42" s="39">
        <f>SUMIFS('Data Sheet Actuals'!$D:$D,'Data Sheet Actuals'!$C:$C,Client!$B42,'Data Sheet Actuals'!$E:$E,Client!$D$3,'Data Sheet Actuals'!$A:$A,Client!X$4)</f>
        <v>159.94</v>
      </c>
      <c r="Y42" s="33">
        <f t="shared" ref="Y42" si="128">IFERROR(X42/X$14,"")</f>
        <v>1.5153616781953152E-3</v>
      </c>
      <c r="Z42" s="39">
        <f>SUMIFS('Data Sheet Actuals'!$D:$D,'Data Sheet Actuals'!$C:$C,Client!$B42,'Data Sheet Actuals'!$E:$E,Client!$D$3,'Data Sheet Actuals'!$A:$A,Client!Z$4)</f>
        <v>177.07999999999998</v>
      </c>
      <c r="AA42" s="33">
        <f t="shared" ref="AA42" si="129">IFERROR(Z42/Z$14,"")</f>
        <v>1.5481446044695113E-3</v>
      </c>
      <c r="AB42" s="31">
        <f t="shared" si="105"/>
        <v>2071.0500000000002</v>
      </c>
      <c r="AC42" s="33">
        <f t="shared" ref="AC42" si="130">IFERROR(AB42/AB$14,"")</f>
        <v>1.5356985456344164E-3</v>
      </c>
    </row>
    <row r="43" spans="2:29">
      <c r="B43" s="45">
        <v>4013</v>
      </c>
      <c r="C43" s="55" t="s">
        <v>119</v>
      </c>
      <c r="D43" s="49">
        <f>SUMIFS('Data Sheet Actuals'!$D:$D,'Data Sheet Actuals'!$C:$C,Client!$B43,'Data Sheet Actuals'!$E:$E,Client!$D$3,'Data Sheet Actuals'!$A:$A,Client!D$4)</f>
        <v>825.45</v>
      </c>
      <c r="E43" s="33">
        <f t="shared" si="93"/>
        <v>7.0696917701747663E-3</v>
      </c>
      <c r="F43" s="37">
        <f>SUMIFS('Data Sheet Actuals'!$D:$D,'Data Sheet Actuals'!$C:$C,Client!$B43,'Data Sheet Actuals'!$E:$E,Client!$D$3,'Data Sheet Actuals'!$A:$A,Client!F$4)</f>
        <v>787.11</v>
      </c>
      <c r="G43" s="33">
        <f t="shared" ref="G43" si="131">IFERROR(F43/F$14,"")</f>
        <v>6.4637210506620028E-3</v>
      </c>
      <c r="H43" s="37">
        <f>SUMIFS('Data Sheet Actuals'!$D:$D,'Data Sheet Actuals'!$C:$C,Client!$B43,'Data Sheet Actuals'!$E:$E,Client!$D$3,'Data Sheet Actuals'!$A:$A,Client!H$4)</f>
        <v>993.63999999999987</v>
      </c>
      <c r="I43" s="33">
        <f t="shared" ref="I43" si="132">IFERROR(H43/H$14,"")</f>
        <v>9.336243839041216E-3</v>
      </c>
      <c r="J43" s="37">
        <f>SUMIFS('Data Sheet Actuals'!$D:$D,'Data Sheet Actuals'!$C:$C,Client!$B43,'Data Sheet Actuals'!$E:$E,Client!$D$3,'Data Sheet Actuals'!$A:$A,Client!J$4)</f>
        <v>842.52</v>
      </c>
      <c r="K43" s="33">
        <f t="shared" ref="K43" si="133">IFERROR(J43/J$14,"")</f>
        <v>7.8695411433195774E-3</v>
      </c>
      <c r="L43" s="37">
        <f>SUMIFS('Data Sheet Actuals'!$D:$D,'Data Sheet Actuals'!$C:$C,Client!$B43,'Data Sheet Actuals'!$E:$E,Client!$D$3,'Data Sheet Actuals'!$A:$A,Client!L$4)</f>
        <v>754.18000000000006</v>
      </c>
      <c r="M43" s="33">
        <f t="shared" ref="M43" si="134">IFERROR(L43/L$14,"")</f>
        <v>7.145526262731918E-3</v>
      </c>
      <c r="N43" s="37">
        <f>SUMIFS('Data Sheet Actuals'!$D:$D,'Data Sheet Actuals'!$C:$C,Client!$B43,'Data Sheet Actuals'!$E:$E,Client!$D$3,'Data Sheet Actuals'!$A:$A,Client!N$4)</f>
        <v>797.21999999999991</v>
      </c>
      <c r="O43" s="33">
        <f t="shared" ref="O43" si="135">IFERROR(N43/N$14,"")</f>
        <v>6.694394131383845E-3</v>
      </c>
      <c r="P43" s="37">
        <f>SUMIFS('Data Sheet Actuals'!$D:$D,'Data Sheet Actuals'!$C:$C,Client!$B43,'Data Sheet Actuals'!$E:$E,Client!$D$3,'Data Sheet Actuals'!$A:$A,Client!P$4)</f>
        <v>771.37</v>
      </c>
      <c r="Q43" s="33">
        <f t="shared" ref="Q43" si="136">IFERROR(P43/P$14,"")</f>
        <v>6.6065154046395418E-3</v>
      </c>
      <c r="R43" s="37">
        <f>SUMIFS('Data Sheet Actuals'!$D:$D,'Data Sheet Actuals'!$C:$C,Client!$B43,'Data Sheet Actuals'!$E:$E,Client!$D$3,'Data Sheet Actuals'!$A:$A,Client!R$4)</f>
        <v>778.37</v>
      </c>
      <c r="S43" s="33">
        <f t="shared" ref="S43" si="137">IFERROR(R43/R$14,"")</f>
        <v>6.3919484623544149E-3</v>
      </c>
      <c r="T43" s="37">
        <f>SUMIFS('Data Sheet Actuals'!$D:$D,'Data Sheet Actuals'!$C:$C,Client!$B43,'Data Sheet Actuals'!$E:$E,Client!$D$3,'Data Sheet Actuals'!$A:$A,Client!T$4)</f>
        <v>721.8</v>
      </c>
      <c r="U43" s="33">
        <f t="shared" ref="U43" si="138">IFERROR(T43/T$14,"")</f>
        <v>6.7820345427115963E-3</v>
      </c>
      <c r="V43" s="37">
        <f>SUMIFS('Data Sheet Actuals'!$D:$D,'Data Sheet Actuals'!$C:$C,Client!$B43,'Data Sheet Actuals'!$E:$E,Client!$D$3,'Data Sheet Actuals'!$A:$A,Client!V$4)</f>
        <v>707.94</v>
      </c>
      <c r="W43" s="33">
        <f t="shared" ref="W43" si="139">IFERROR(V43/V$14,"")</f>
        <v>6.6124993555068869E-3</v>
      </c>
      <c r="X43" s="37">
        <f>SUMIFS('Data Sheet Actuals'!$D:$D,'Data Sheet Actuals'!$C:$C,Client!$B43,'Data Sheet Actuals'!$E:$E,Client!$D$3,'Data Sheet Actuals'!$A:$A,Client!X$4)</f>
        <v>728.55</v>
      </c>
      <c r="Y43" s="33">
        <f t="shared" ref="Y43" si="140">IFERROR(X43/X$14,"")</f>
        <v>6.902693201508046E-3</v>
      </c>
      <c r="Z43" s="37">
        <f>SUMIFS('Data Sheet Actuals'!$D:$D,'Data Sheet Actuals'!$C:$C,Client!$B43,'Data Sheet Actuals'!$E:$E,Client!$D$3,'Data Sheet Actuals'!$A:$A,Client!Z$4)</f>
        <v>817.77</v>
      </c>
      <c r="AA43" s="33">
        <f t="shared" ref="AA43" si="141">IFERROR(Z43/Z$14,"")</f>
        <v>7.1494590761070273E-3</v>
      </c>
      <c r="AB43" s="31">
        <f t="shared" si="105"/>
        <v>9525.92</v>
      </c>
      <c r="AC43" s="33">
        <f t="shared" ref="AC43" si="142">IFERROR(AB43/AB$14,"")</f>
        <v>7.0635385383403578E-3</v>
      </c>
    </row>
    <row r="44" spans="2:29">
      <c r="B44" s="45">
        <v>4014</v>
      </c>
      <c r="C44" s="55" t="s">
        <v>121</v>
      </c>
      <c r="D44" s="47">
        <f>SUMIFS('Data Sheet Actuals'!$D:$D,'Data Sheet Actuals'!$C:$C,Client!$B44,'Data Sheet Actuals'!$E:$E,Client!$D$3,'Data Sheet Actuals'!$A:$A,Client!D$4)</f>
        <v>136</v>
      </c>
      <c r="E44" s="33">
        <f t="shared" si="93"/>
        <v>1.1647926352217194E-3</v>
      </c>
      <c r="F44" s="31">
        <f>SUMIFS('Data Sheet Actuals'!$D:$D,'Data Sheet Actuals'!$C:$C,Client!$B44,'Data Sheet Actuals'!$E:$E,Client!$D$3,'Data Sheet Actuals'!$A:$A,Client!F$4)</f>
        <v>130</v>
      </c>
      <c r="G44" s="33">
        <f t="shared" ref="G44" si="143">IFERROR(F44/F$14,"")</f>
        <v>1.0675556613256856E-3</v>
      </c>
      <c r="H44" s="31">
        <f>SUMIFS('Data Sheet Actuals'!$D:$D,'Data Sheet Actuals'!$C:$C,Client!$B44,'Data Sheet Actuals'!$E:$E,Client!$D$3,'Data Sheet Actuals'!$A:$A,Client!H$4)</f>
        <v>164</v>
      </c>
      <c r="I44" s="33">
        <f t="shared" ref="I44" si="144">IFERROR(H44/H$14,"")</f>
        <v>1.5409443959610721E-3</v>
      </c>
      <c r="J44" s="31">
        <f>SUMIFS('Data Sheet Actuals'!$D:$D,'Data Sheet Actuals'!$C:$C,Client!$B44,'Data Sheet Actuals'!$E:$E,Client!$D$3,'Data Sheet Actuals'!$A:$A,Client!J$4)</f>
        <v>139</v>
      </c>
      <c r="K44" s="33">
        <f t="shared" ref="K44" si="145">IFERROR(J44/J$14,"")</f>
        <v>1.2983267090649732E-3</v>
      </c>
      <c r="L44" s="31">
        <f>SUMIFS('Data Sheet Actuals'!$D:$D,'Data Sheet Actuals'!$C:$C,Client!$B44,'Data Sheet Actuals'!$E:$E,Client!$D$3,'Data Sheet Actuals'!$A:$A,Client!L$4)</f>
        <v>124.5</v>
      </c>
      <c r="M44" s="33">
        <f t="shared" ref="M44" si="146">IFERROR(L44/L$14,"")</f>
        <v>1.1795831495268023E-3</v>
      </c>
      <c r="N44" s="31">
        <f>SUMIFS('Data Sheet Actuals'!$D:$D,'Data Sheet Actuals'!$C:$C,Client!$B44,'Data Sheet Actuals'!$E:$E,Client!$D$3,'Data Sheet Actuals'!$A:$A,Client!N$4)</f>
        <v>131.5</v>
      </c>
      <c r="O44" s="33">
        <f t="shared" ref="O44" si="147">IFERROR(N44/N$14,"")</f>
        <v>1.1042282284400488E-3</v>
      </c>
      <c r="P44" s="31">
        <f>SUMIFS('Data Sheet Actuals'!$D:$D,'Data Sheet Actuals'!$C:$C,Client!$B44,'Data Sheet Actuals'!$E:$E,Client!$D$3,'Data Sheet Actuals'!$A:$A,Client!P$4)</f>
        <v>127</v>
      </c>
      <c r="Q44" s="33">
        <f t="shared" ref="Q44" si="148">IFERROR(P44/P$14,"")</f>
        <v>1.0877107696555762E-3</v>
      </c>
      <c r="R44" s="31">
        <f>SUMIFS('Data Sheet Actuals'!$D:$D,'Data Sheet Actuals'!$C:$C,Client!$B44,'Data Sheet Actuals'!$E:$E,Client!$D$3,'Data Sheet Actuals'!$A:$A,Client!R$4)</f>
        <v>128.5</v>
      </c>
      <c r="S44" s="33">
        <f t="shared" ref="S44" si="149">IFERROR(R44/R$14,"")</f>
        <v>1.0552377113873122E-3</v>
      </c>
      <c r="T44" s="31">
        <f>SUMIFS('Data Sheet Actuals'!$D:$D,'Data Sheet Actuals'!$C:$C,Client!$B44,'Data Sheet Actuals'!$E:$E,Client!$D$3,'Data Sheet Actuals'!$A:$A,Client!T$4)</f>
        <v>119</v>
      </c>
      <c r="U44" s="33">
        <f t="shared" ref="U44" si="150">IFERROR(T44/T$14,"")</f>
        <v>1.1181242873132169E-3</v>
      </c>
      <c r="V44" s="31">
        <f>SUMIFS('Data Sheet Actuals'!$D:$D,'Data Sheet Actuals'!$C:$C,Client!$B44,'Data Sheet Actuals'!$E:$E,Client!$D$3,'Data Sheet Actuals'!$A:$A,Client!V$4)</f>
        <v>116.5</v>
      </c>
      <c r="W44" s="33">
        <f t="shared" ref="W44" si="151">IFERROR(V44/V$14,"")</f>
        <v>1.0881659108350316E-3</v>
      </c>
      <c r="X44" s="31">
        <f>SUMIFS('Data Sheet Actuals'!$D:$D,'Data Sheet Actuals'!$C:$C,Client!$B44,'Data Sheet Actuals'!$E:$E,Client!$D$3,'Data Sheet Actuals'!$A:$A,Client!X$4)</f>
        <v>120.5</v>
      </c>
      <c r="Y44" s="33">
        <f t="shared" ref="Y44" si="152">IFERROR(X44/X$14,"")</f>
        <v>1.1416848957267443E-3</v>
      </c>
      <c r="Z44" s="31">
        <f>SUMIFS('Data Sheet Actuals'!$D:$D,'Data Sheet Actuals'!$C:$C,Client!$B44,'Data Sheet Actuals'!$E:$E,Client!$D$3,'Data Sheet Actuals'!$A:$A,Client!Z$4)</f>
        <v>135</v>
      </c>
      <c r="AA44" s="33">
        <f t="shared" ref="AA44" si="153">IFERROR(Z44/Z$14,"")</f>
        <v>1.1802548091449292E-3</v>
      </c>
      <c r="AB44" s="31">
        <f t="shared" si="105"/>
        <v>1571.5</v>
      </c>
      <c r="AC44" s="33">
        <f t="shared" ref="AC44" si="154">IFERROR(AB44/AB$14,"")</f>
        <v>1.1652786096253036E-3</v>
      </c>
    </row>
    <row r="45" spans="2:29">
      <c r="B45" s="45">
        <v>4018</v>
      </c>
      <c r="C45" s="55" t="s">
        <v>48</v>
      </c>
      <c r="D45" s="50">
        <f>SUMIFS('Data Sheet Actuals'!$D:$D,'Data Sheet Actuals'!$C:$C,Client!$B45,'Data Sheet Actuals'!$E:$E,Client!$D$3,'Data Sheet Actuals'!$A:$A,Client!D$4)</f>
        <v>654.55999999999995</v>
      </c>
      <c r="E45" s="33">
        <f t="shared" si="93"/>
        <v>5.6060784361082984E-3</v>
      </c>
      <c r="F45" s="38">
        <f>SUMIFS('Data Sheet Actuals'!$D:$D,'Data Sheet Actuals'!$C:$C,Client!$B45,'Data Sheet Actuals'!$E:$E,Client!$D$3,'Data Sheet Actuals'!$A:$A,Client!F$4)</f>
        <v>767.48</v>
      </c>
      <c r="G45" s="33">
        <f t="shared" ref="G45" si="155">IFERROR(F45/F$14,"")</f>
        <v>6.3025201458018244E-3</v>
      </c>
      <c r="H45" s="38">
        <f>SUMIFS('Data Sheet Actuals'!$D:$D,'Data Sheet Actuals'!$C:$C,Client!$B45,'Data Sheet Actuals'!$E:$E,Client!$D$3,'Data Sheet Actuals'!$A:$A,Client!H$4)</f>
        <v>906.38</v>
      </c>
      <c r="I45" s="33">
        <f t="shared" ref="I45" si="156">IFERROR(H45/H$14,"")</f>
        <v>8.5163486683609551E-3</v>
      </c>
      <c r="J45" s="38">
        <f>SUMIFS('Data Sheet Actuals'!$D:$D,'Data Sheet Actuals'!$C:$C,Client!$B45,'Data Sheet Actuals'!$E:$E,Client!$D$3,'Data Sheet Actuals'!$A:$A,Client!J$4)</f>
        <v>717.24</v>
      </c>
      <c r="K45" s="33">
        <f t="shared" ref="K45" si="157">IFERROR(J45/J$14,"")</f>
        <v>6.6993658187752617E-3</v>
      </c>
      <c r="L45" s="38">
        <f>SUMIFS('Data Sheet Actuals'!$D:$D,'Data Sheet Actuals'!$C:$C,Client!$B45,'Data Sheet Actuals'!$E:$E,Client!$D$3,'Data Sheet Actuals'!$A:$A,Client!L$4)</f>
        <v>735.48</v>
      </c>
      <c r="M45" s="33">
        <f t="shared" ref="M45" si="158">IFERROR(L45/L$14,"")</f>
        <v>6.968351926216647E-3</v>
      </c>
      <c r="N45" s="38">
        <f>SUMIFS('Data Sheet Actuals'!$D:$D,'Data Sheet Actuals'!$C:$C,Client!$B45,'Data Sheet Actuals'!$E:$E,Client!$D$3,'Data Sheet Actuals'!$A:$A,Client!N$4)</f>
        <v>602.67000000000007</v>
      </c>
      <c r="O45" s="33">
        <f t="shared" ref="O45" si="159">IFERROR(N45/N$14,"")</f>
        <v>5.0607241553913638E-3</v>
      </c>
      <c r="P45" s="38">
        <f>SUMIFS('Data Sheet Actuals'!$D:$D,'Data Sheet Actuals'!$C:$C,Client!$B45,'Data Sheet Actuals'!$E:$E,Client!$D$3,'Data Sheet Actuals'!$A:$A,Client!P$4)</f>
        <v>689.1099999999999</v>
      </c>
      <c r="Q45" s="33">
        <f t="shared" ref="Q45" si="160">IFERROR(P45/P$14,"")</f>
        <v>5.9019871533649917E-3</v>
      </c>
      <c r="R45" s="38">
        <f>SUMIFS('Data Sheet Actuals'!$D:$D,'Data Sheet Actuals'!$C:$C,Client!$B45,'Data Sheet Actuals'!$E:$E,Client!$D$3,'Data Sheet Actuals'!$A:$A,Client!R$4)</f>
        <v>718.79</v>
      </c>
      <c r="S45" s="33">
        <f t="shared" ref="S45" si="161">IFERROR(R45/R$14,"")</f>
        <v>5.9026794908022271E-3</v>
      </c>
      <c r="T45" s="38">
        <f>SUMIFS('Data Sheet Actuals'!$D:$D,'Data Sheet Actuals'!$C:$C,Client!$B45,'Data Sheet Actuals'!$E:$E,Client!$D$3,'Data Sheet Actuals'!$A:$A,Client!T$4)</f>
        <v>628.36</v>
      </c>
      <c r="U45" s="33">
        <f t="shared" ref="U45" si="162">IFERROR(T45/T$14,"")</f>
        <v>5.9040720771103613E-3</v>
      </c>
      <c r="V45" s="38">
        <f>SUMIFS('Data Sheet Actuals'!$D:$D,'Data Sheet Actuals'!$C:$C,Client!$B45,'Data Sheet Actuals'!$E:$E,Client!$D$3,'Data Sheet Actuals'!$A:$A,Client!V$4)</f>
        <v>631.59999999999991</v>
      </c>
      <c r="W45" s="33">
        <f t="shared" ref="W45" si="163">IFERROR(V45/V$14,"")</f>
        <v>5.8994471183124965E-3</v>
      </c>
      <c r="X45" s="38">
        <f>SUMIFS('Data Sheet Actuals'!$D:$D,'Data Sheet Actuals'!$C:$C,Client!$B45,'Data Sheet Actuals'!$E:$E,Client!$D$3,'Data Sheet Actuals'!$A:$A,Client!X$4)</f>
        <v>621.79</v>
      </c>
      <c r="Y45" s="33">
        <f t="shared" ref="Y45" si="164">IFERROR(X45/X$14,"")</f>
        <v>5.8911888075845005E-3</v>
      </c>
      <c r="Z45" s="38">
        <f>SUMIFS('Data Sheet Actuals'!$D:$D,'Data Sheet Actuals'!$C:$C,Client!$B45,'Data Sheet Actuals'!$E:$E,Client!$D$3,'Data Sheet Actuals'!$A:$A,Client!Z$4)</f>
        <v>674.18000000000006</v>
      </c>
      <c r="AA45" s="33">
        <f t="shared" ref="AA45" si="165">IFERROR(Z45/Z$14,"")</f>
        <v>5.8941050905876174E-3</v>
      </c>
      <c r="AB45" s="31">
        <f t="shared" si="105"/>
        <v>8347.6399999999976</v>
      </c>
      <c r="AC45" s="33">
        <f t="shared" ref="AC45" si="166">IFERROR(AB45/AB$14,"")</f>
        <v>6.1898354011152195E-3</v>
      </c>
    </row>
    <row r="46" spans="2:29">
      <c r="B46" s="45">
        <v>4019</v>
      </c>
      <c r="C46" s="55" t="s">
        <v>122</v>
      </c>
      <c r="D46" s="47">
        <f>SUMIFS('Data Sheet Actuals'!$D:$D,'Data Sheet Actuals'!$C:$C,Client!$B46,'Data Sheet Actuals'!$E:$E,Client!$D$3,'Data Sheet Actuals'!$A:$A,Client!D$4)</f>
        <v>238.01999999999998</v>
      </c>
      <c r="E46" s="33">
        <f t="shared" si="93"/>
        <v>2.0385584046725999E-3</v>
      </c>
      <c r="F46" s="31">
        <f>SUMIFS('Data Sheet Actuals'!$D:$D,'Data Sheet Actuals'!$C:$C,Client!$B46,'Data Sheet Actuals'!$E:$E,Client!$D$3,'Data Sheet Actuals'!$A:$A,Client!F$4)</f>
        <v>222.85</v>
      </c>
      <c r="G46" s="33">
        <f t="shared" ref="G46" si="167">IFERROR(F46/F$14,"")</f>
        <v>1.8300367625109927E-3</v>
      </c>
      <c r="H46" s="31">
        <f>SUMIFS('Data Sheet Actuals'!$D:$D,'Data Sheet Actuals'!$C:$C,Client!$B46,'Data Sheet Actuals'!$E:$E,Client!$D$3,'Data Sheet Actuals'!$A:$A,Client!H$4)</f>
        <v>190.54000000000002</v>
      </c>
      <c r="I46" s="33">
        <f t="shared" ref="I46" si="168">IFERROR(H46/H$14,"")</f>
        <v>1.7903143000391629E-3</v>
      </c>
      <c r="J46" s="31">
        <f>SUMIFS('Data Sheet Actuals'!$D:$D,'Data Sheet Actuals'!$C:$C,Client!$B46,'Data Sheet Actuals'!$E:$E,Client!$D$3,'Data Sheet Actuals'!$A:$A,Client!J$4)</f>
        <v>235.85</v>
      </c>
      <c r="K46" s="33">
        <f t="shared" ref="K46" si="169">IFERROR(J46/J$14,"")</f>
        <v>2.2029521894458555E-3</v>
      </c>
      <c r="L46" s="31">
        <f>SUMIFS('Data Sheet Actuals'!$D:$D,'Data Sheet Actuals'!$C:$C,Client!$B46,'Data Sheet Actuals'!$E:$E,Client!$D$3,'Data Sheet Actuals'!$A:$A,Client!L$4)</f>
        <v>197.53</v>
      </c>
      <c r="M46" s="33">
        <f t="shared" ref="M46" si="170">IFERROR(L46/L$14,"")</f>
        <v>1.8715105182813595E-3</v>
      </c>
      <c r="N46" s="31">
        <f>SUMIFS('Data Sheet Actuals'!$D:$D,'Data Sheet Actuals'!$C:$C,Client!$B46,'Data Sheet Actuals'!$E:$E,Client!$D$3,'Data Sheet Actuals'!$A:$A,Client!N$4)</f>
        <v>236.57999999999998</v>
      </c>
      <c r="O46" s="33">
        <f t="shared" ref="O46" si="171">IFERROR(N46/N$14,"")</f>
        <v>1.9866031504513059E-3</v>
      </c>
      <c r="P46" s="31">
        <f>SUMIFS('Data Sheet Actuals'!$D:$D,'Data Sheet Actuals'!$C:$C,Client!$B46,'Data Sheet Actuals'!$E:$E,Client!$D$3,'Data Sheet Actuals'!$A:$A,Client!P$4)</f>
        <v>217.46</v>
      </c>
      <c r="Q46" s="33">
        <f t="shared" ref="Q46" si="172">IFERROR(P46/P$14,"")</f>
        <v>1.8624691651126109E-3</v>
      </c>
      <c r="R46" s="31">
        <f>SUMIFS('Data Sheet Actuals'!$D:$D,'Data Sheet Actuals'!$C:$C,Client!$B46,'Data Sheet Actuals'!$E:$E,Client!$D$3,'Data Sheet Actuals'!$A:$A,Client!R$4)</f>
        <v>263.7</v>
      </c>
      <c r="S46" s="33">
        <f t="shared" ref="S46" si="173">IFERROR(R46/R$14,"")</f>
        <v>2.1654955991660253E-3</v>
      </c>
      <c r="T46" s="31">
        <f>SUMIFS('Data Sheet Actuals'!$D:$D,'Data Sheet Actuals'!$C:$C,Client!$B46,'Data Sheet Actuals'!$E:$E,Client!$D$3,'Data Sheet Actuals'!$A:$A,Client!T$4)</f>
        <v>200.12</v>
      </c>
      <c r="U46" s="33">
        <f t="shared" ref="U46" si="174">IFERROR(T46/T$14,"")</f>
        <v>1.8803280031690838E-3</v>
      </c>
      <c r="V46" s="31">
        <f>SUMIFS('Data Sheet Actuals'!$D:$D,'Data Sheet Actuals'!$C:$C,Client!$B46,'Data Sheet Actuals'!$E:$E,Client!$D$3,'Data Sheet Actuals'!$A:$A,Client!V$4)</f>
        <v>215.85999999999999</v>
      </c>
      <c r="W46" s="33">
        <f t="shared" ref="W46" si="175">IFERROR(V46/V$14,"")</f>
        <v>2.0162359958184541E-3</v>
      </c>
      <c r="X46" s="31">
        <f>SUMIFS('Data Sheet Actuals'!$D:$D,'Data Sheet Actuals'!$C:$C,Client!$B46,'Data Sheet Actuals'!$E:$E,Client!$D$3,'Data Sheet Actuals'!$A:$A,Client!X$4)</f>
        <v>247.10000000000002</v>
      </c>
      <c r="Y46" s="33">
        <f t="shared" ref="Y46" si="176">IFERROR(X46/X$14,"")</f>
        <v>2.3411646284985771E-3</v>
      </c>
      <c r="Z46" s="31">
        <f>SUMIFS('Data Sheet Actuals'!$D:$D,'Data Sheet Actuals'!$C:$C,Client!$B46,'Data Sheet Actuals'!$E:$E,Client!$D$3,'Data Sheet Actuals'!$A:$A,Client!Z$4)</f>
        <v>176.99</v>
      </c>
      <c r="AA46" s="33">
        <f t="shared" ref="AA46" si="177">IFERROR(Z46/Z$14,"")</f>
        <v>1.5473577679300816E-3</v>
      </c>
      <c r="AB46" s="31">
        <f t="shared" si="105"/>
        <v>2642.6000000000004</v>
      </c>
      <c r="AC46" s="33">
        <f t="shared" ref="AC46" si="178">IFERROR(AB46/AB$14,"")</f>
        <v>1.9595070020972495E-3</v>
      </c>
    </row>
    <row r="47" spans="2:29">
      <c r="B47" s="45">
        <v>4020</v>
      </c>
      <c r="C47" s="55" t="s">
        <v>47</v>
      </c>
      <c r="D47" s="47">
        <f>SUMIFS('Data Sheet Actuals'!$D:$D,'Data Sheet Actuals'!$C:$C,Client!$B47,'Data Sheet Actuals'!$E:$E,Client!$D$3,'Data Sheet Actuals'!$A:$A,Client!D$4)</f>
        <v>124</v>
      </c>
      <c r="E47" s="33">
        <f t="shared" si="93"/>
        <v>1.0620168144668618E-3</v>
      </c>
      <c r="F47" s="31">
        <f>SUMIFS('Data Sheet Actuals'!$D:$D,'Data Sheet Actuals'!$C:$C,Client!$B47,'Data Sheet Actuals'!$E:$E,Client!$D$3,'Data Sheet Actuals'!$A:$A,Client!F$4)</f>
        <v>118</v>
      </c>
      <c r="G47" s="33">
        <f t="shared" ref="G47" si="179">IFERROR(F47/F$14,"")</f>
        <v>9.6901206181869925E-4</v>
      </c>
      <c r="H47" s="31">
        <f>SUMIFS('Data Sheet Actuals'!$D:$D,'Data Sheet Actuals'!$C:$C,Client!$B47,'Data Sheet Actuals'!$E:$E,Client!$D$3,'Data Sheet Actuals'!$A:$A,Client!H$4)</f>
        <v>149</v>
      </c>
      <c r="I47" s="33">
        <f t="shared" ref="I47" si="180">IFERROR(H47/H$14,"")</f>
        <v>1.4000043597451205E-3</v>
      </c>
      <c r="J47" s="31">
        <f>SUMIFS('Data Sheet Actuals'!$D:$D,'Data Sheet Actuals'!$C:$C,Client!$B47,'Data Sheet Actuals'!$E:$E,Client!$D$3,'Data Sheet Actuals'!$A:$A,Client!J$4)</f>
        <v>126</v>
      </c>
      <c r="K47" s="33">
        <f t="shared" ref="K47" si="181">IFERROR(J47/J$14,"")</f>
        <v>1.1769004700876737E-3</v>
      </c>
      <c r="L47" s="31">
        <f>SUMIFS('Data Sheet Actuals'!$D:$D,'Data Sheet Actuals'!$C:$C,Client!$B47,'Data Sheet Actuals'!$E:$E,Client!$D$3,'Data Sheet Actuals'!$A:$A,Client!L$4)</f>
        <v>113</v>
      </c>
      <c r="M47" s="33">
        <f t="shared" ref="M47" si="182">IFERROR(L47/L$14,"")</f>
        <v>1.0706256698516359E-3</v>
      </c>
      <c r="N47" s="31">
        <f>SUMIFS('Data Sheet Actuals'!$D:$D,'Data Sheet Actuals'!$C:$C,Client!$B47,'Data Sheet Actuals'!$E:$E,Client!$D$3,'Data Sheet Actuals'!$A:$A,Client!N$4)</f>
        <v>120</v>
      </c>
      <c r="O47" s="33">
        <f t="shared" ref="O47" si="183">IFERROR(N47/N$14,"")</f>
        <v>1.0076607407817936E-3</v>
      </c>
      <c r="P47" s="31">
        <f>SUMIFS('Data Sheet Actuals'!$D:$D,'Data Sheet Actuals'!$C:$C,Client!$B47,'Data Sheet Actuals'!$E:$E,Client!$D$3,'Data Sheet Actuals'!$A:$A,Client!P$4)</f>
        <v>116</v>
      </c>
      <c r="Q47" s="33">
        <f t="shared" ref="Q47" si="184">IFERROR(P47/P$14,"")</f>
        <v>9.9349960063028998E-4</v>
      </c>
      <c r="R47" s="31">
        <f>SUMIFS('Data Sheet Actuals'!$D:$D,'Data Sheet Actuals'!$C:$C,Client!$B47,'Data Sheet Actuals'!$E:$E,Client!$D$3,'Data Sheet Actuals'!$A:$A,Client!R$4)</f>
        <v>117</v>
      </c>
      <c r="S47" s="33">
        <f t="shared" ref="S47" si="185">IFERROR(R47/R$14,"")</f>
        <v>9.60800095193117E-4</v>
      </c>
      <c r="T47" s="31">
        <f>SUMIFS('Data Sheet Actuals'!$D:$D,'Data Sheet Actuals'!$C:$C,Client!$B47,'Data Sheet Actuals'!$E:$E,Client!$D$3,'Data Sheet Actuals'!$A:$A,Client!T$4)</f>
        <v>109</v>
      </c>
      <c r="U47" s="33">
        <f t="shared" ref="U47" si="186">IFERROR(T47/T$14,"")</f>
        <v>1.0241642631692491E-3</v>
      </c>
      <c r="V47" s="31">
        <f>SUMIFS('Data Sheet Actuals'!$D:$D,'Data Sheet Actuals'!$C:$C,Client!$B47,'Data Sheet Actuals'!$E:$E,Client!$D$3,'Data Sheet Actuals'!$A:$A,Client!V$4)</f>
        <v>106</v>
      </c>
      <c r="W47" s="33">
        <f t="shared" ref="W47" si="187">IFERROR(V47/V$14,"")</f>
        <v>9.9009087166105876E-4</v>
      </c>
      <c r="X47" s="31">
        <f>SUMIFS('Data Sheet Actuals'!$D:$D,'Data Sheet Actuals'!$C:$C,Client!$B47,'Data Sheet Actuals'!$E:$E,Client!$D$3,'Data Sheet Actuals'!$A:$A,Client!X$4)</f>
        <v>110</v>
      </c>
      <c r="Y47" s="33">
        <f t="shared" ref="Y47" si="188">IFERROR(X47/X$14,"")</f>
        <v>1.0422019795015924E-3</v>
      </c>
      <c r="Z47" s="31">
        <f>SUMIFS('Data Sheet Actuals'!$D:$D,'Data Sheet Actuals'!$C:$C,Client!$B47,'Data Sheet Actuals'!$E:$E,Client!$D$3,'Data Sheet Actuals'!$A:$A,Client!Z$4)</f>
        <v>123</v>
      </c>
      <c r="AA47" s="33">
        <f t="shared" ref="AA47" si="189">IFERROR(Z47/Z$14,"")</f>
        <v>1.0753432705542687E-3</v>
      </c>
      <c r="AB47" s="31">
        <f t="shared" si="105"/>
        <v>1431</v>
      </c>
      <c r="AC47" s="33">
        <f t="shared" ref="AC47" si="190">IFERROR(AB47/AB$14,"")</f>
        <v>1.0610968440176961E-3</v>
      </c>
    </row>
    <row r="48" spans="2:29">
      <c r="B48" s="45">
        <v>4021</v>
      </c>
      <c r="C48" s="55" t="s">
        <v>123</v>
      </c>
      <c r="D48" s="47">
        <f>SUMIFS('Data Sheet Actuals'!$D:$D,'Data Sheet Actuals'!$C:$C,Client!$B48,'Data Sheet Actuals'!$E:$E,Client!$D$3,'Data Sheet Actuals'!$A:$A,Client!D$4)</f>
        <v>272</v>
      </c>
      <c r="E48" s="33">
        <f t="shared" si="93"/>
        <v>2.3295852704434388E-3</v>
      </c>
      <c r="F48" s="31">
        <f>SUMIFS('Data Sheet Actuals'!$D:$D,'Data Sheet Actuals'!$C:$C,Client!$B48,'Data Sheet Actuals'!$E:$E,Client!$D$3,'Data Sheet Actuals'!$A:$A,Client!F$4)</f>
        <v>260</v>
      </c>
      <c r="G48" s="33">
        <f t="shared" ref="G48" si="191">IFERROR(F48/F$14,"")</f>
        <v>2.1351113226513712E-3</v>
      </c>
      <c r="H48" s="31">
        <f>SUMIFS('Data Sheet Actuals'!$D:$D,'Data Sheet Actuals'!$C:$C,Client!$B48,'Data Sheet Actuals'!$E:$E,Client!$D$3,'Data Sheet Actuals'!$A:$A,Client!H$4)</f>
        <v>328</v>
      </c>
      <c r="I48" s="33">
        <f t="shared" ref="I48" si="192">IFERROR(H48/H$14,"")</f>
        <v>3.0818887919221443E-3</v>
      </c>
      <c r="J48" s="31">
        <f>SUMIFS('Data Sheet Actuals'!$D:$D,'Data Sheet Actuals'!$C:$C,Client!$B48,'Data Sheet Actuals'!$E:$E,Client!$D$3,'Data Sheet Actuals'!$A:$A,Client!J$4)</f>
        <v>732.73</v>
      </c>
      <c r="K48" s="33">
        <f t="shared" ref="K48" si="193">IFERROR(J48/J$14,"")</f>
        <v>6.8440498527566757E-3</v>
      </c>
      <c r="L48" s="31">
        <f>SUMIFS('Data Sheet Actuals'!$D:$D,'Data Sheet Actuals'!$C:$C,Client!$B48,'Data Sheet Actuals'!$E:$E,Client!$D$3,'Data Sheet Actuals'!$A:$A,Client!L$4)</f>
        <v>703.73</v>
      </c>
      <c r="M48" s="33">
        <f t="shared" ref="M48" si="194">IFERROR(L48/L$14,"")</f>
        <v>6.6675345366786877E-3</v>
      </c>
      <c r="N48" s="31">
        <f>SUMIFS('Data Sheet Actuals'!$D:$D,'Data Sheet Actuals'!$C:$C,Client!$B48,'Data Sheet Actuals'!$E:$E,Client!$D$3,'Data Sheet Actuals'!$A:$A,Client!N$4)</f>
        <v>263</v>
      </c>
      <c r="O48" s="33">
        <f t="shared" ref="O48" si="195">IFERROR(N48/N$14,"")</f>
        <v>2.2084564568800977E-3</v>
      </c>
      <c r="P48" s="31">
        <f>SUMIFS('Data Sheet Actuals'!$D:$D,'Data Sheet Actuals'!$C:$C,Client!$B48,'Data Sheet Actuals'!$E:$E,Client!$D$3,'Data Sheet Actuals'!$A:$A,Client!P$4)</f>
        <v>254</v>
      </c>
      <c r="Q48" s="33">
        <f t="shared" ref="Q48" si="196">IFERROR(P48/P$14,"")</f>
        <v>2.1754215393111525E-3</v>
      </c>
      <c r="R48" s="31">
        <f>SUMIFS('Data Sheet Actuals'!$D:$D,'Data Sheet Actuals'!$C:$C,Client!$B48,'Data Sheet Actuals'!$E:$E,Client!$D$3,'Data Sheet Actuals'!$A:$A,Client!R$4)</f>
        <v>257</v>
      </c>
      <c r="S48" s="33">
        <f t="shared" ref="S48" si="197">IFERROR(R48/R$14,"")</f>
        <v>2.1104754227746244E-3</v>
      </c>
      <c r="T48" s="31">
        <f>SUMIFS('Data Sheet Actuals'!$D:$D,'Data Sheet Actuals'!$C:$C,Client!$B48,'Data Sheet Actuals'!$E:$E,Client!$D$3,'Data Sheet Actuals'!$A:$A,Client!T$4)</f>
        <v>238</v>
      </c>
      <c r="U48" s="33">
        <f t="shared" ref="U48" si="198">IFERROR(T48/T$14,"")</f>
        <v>2.2362485746264338E-3</v>
      </c>
      <c r="V48" s="31">
        <f>SUMIFS('Data Sheet Actuals'!$D:$D,'Data Sheet Actuals'!$C:$C,Client!$B48,'Data Sheet Actuals'!$E:$E,Client!$D$3,'Data Sheet Actuals'!$A:$A,Client!V$4)</f>
        <v>687.73</v>
      </c>
      <c r="W48" s="33">
        <f t="shared" ref="W48" si="199">IFERROR(V48/V$14,"")</f>
        <v>6.423728256296792E-3</v>
      </c>
      <c r="X48" s="31">
        <f>SUMIFS('Data Sheet Actuals'!$D:$D,'Data Sheet Actuals'!$C:$C,Client!$B48,'Data Sheet Actuals'!$E:$E,Client!$D$3,'Data Sheet Actuals'!$A:$A,Client!X$4)</f>
        <v>695.73</v>
      </c>
      <c r="Y48" s="33">
        <f t="shared" ref="Y48" si="200">IFERROR(X48/X$14,"")</f>
        <v>6.5917380290785718E-3</v>
      </c>
      <c r="Z48" s="31">
        <f>SUMIFS('Data Sheet Actuals'!$D:$D,'Data Sheet Actuals'!$C:$C,Client!$B48,'Data Sheet Actuals'!$E:$E,Client!$D$3,'Data Sheet Actuals'!$A:$A,Client!Z$4)</f>
        <v>270</v>
      </c>
      <c r="AA48" s="33">
        <f t="shared" ref="AA48" si="201">IFERROR(Z48/Z$14,"")</f>
        <v>2.3605096182898583E-3</v>
      </c>
      <c r="AB48" s="31">
        <f t="shared" si="105"/>
        <v>4961.92</v>
      </c>
      <c r="AC48" s="33">
        <f t="shared" ref="AC48" si="202">IFERROR(AB48/AB$14,"")</f>
        <v>3.6792995473572936E-3</v>
      </c>
    </row>
    <row r="49" spans="2:29">
      <c r="B49" s="45">
        <v>4022</v>
      </c>
      <c r="C49" s="55" t="s">
        <v>124</v>
      </c>
      <c r="D49" s="52">
        <f>SUMIFS('Data Sheet Actuals'!$D:$D,'Data Sheet Actuals'!$C:$C,Client!$B49,'Data Sheet Actuals'!$E:$E,Client!$D$3,'Data Sheet Actuals'!$A:$A,Client!D$4)</f>
        <v>160</v>
      </c>
      <c r="E49" s="33">
        <f t="shared" si="93"/>
        <v>1.3703442767314345E-3</v>
      </c>
      <c r="F49" s="40">
        <f>SUMIFS('Data Sheet Actuals'!$D:$D,'Data Sheet Actuals'!$C:$C,Client!$B49,'Data Sheet Actuals'!$E:$E,Client!$D$3,'Data Sheet Actuals'!$A:$A,Client!F$4)</f>
        <v>238.78</v>
      </c>
      <c r="G49" s="33">
        <f t="shared" ref="G49" si="203">IFERROR(F49/F$14,"")</f>
        <v>1.9608533908565171E-3</v>
      </c>
      <c r="H49" s="40">
        <f>SUMIFS('Data Sheet Actuals'!$D:$D,'Data Sheet Actuals'!$C:$C,Client!$B49,'Data Sheet Actuals'!$E:$E,Client!$D$3,'Data Sheet Actuals'!$A:$A,Client!H$4)</f>
        <v>281.98</v>
      </c>
      <c r="I49" s="33">
        <f t="shared" ref="I49" si="204">IFERROR(H49/H$14,"")</f>
        <v>2.6494847608116044E-3</v>
      </c>
      <c r="J49" s="40">
        <f>SUMIFS('Data Sheet Actuals'!$D:$D,'Data Sheet Actuals'!$C:$C,Client!$B49,'Data Sheet Actuals'!$E:$E,Client!$D$3,'Data Sheet Actuals'!$A:$A,Client!J$4)</f>
        <v>175.32999999999998</v>
      </c>
      <c r="K49" s="33">
        <f t="shared" ref="K49" si="205">IFERROR(J49/J$14,"")</f>
        <v>1.637666344606919E-3</v>
      </c>
      <c r="L49" s="40">
        <f>SUMIFS('Data Sheet Actuals'!$D:$D,'Data Sheet Actuals'!$C:$C,Client!$B49,'Data Sheet Actuals'!$E:$E,Client!$D$3,'Data Sheet Actuals'!$A:$A,Client!L$4)</f>
        <v>163.44</v>
      </c>
      <c r="M49" s="33">
        <f t="shared" ref="M49" si="206">IFERROR(L49/L$14,"")</f>
        <v>1.5485226502703661E-3</v>
      </c>
      <c r="N49" s="40">
        <f>SUMIFS('Data Sheet Actuals'!$D:$D,'Data Sheet Actuals'!$C:$C,Client!$B49,'Data Sheet Actuals'!$E:$E,Client!$D$3,'Data Sheet Actuals'!$A:$A,Client!N$4)</f>
        <v>133.93</v>
      </c>
      <c r="O49" s="33">
        <f t="shared" ref="O49" si="207">IFERROR(N49/N$14,"")</f>
        <v>1.1246333584408802E-3</v>
      </c>
      <c r="P49" s="40">
        <f>SUMIFS('Data Sheet Actuals'!$D:$D,'Data Sheet Actuals'!$C:$C,Client!$B49,'Data Sheet Actuals'!$E:$E,Client!$D$3,'Data Sheet Actuals'!$A:$A,Client!P$4)</f>
        <v>153.13</v>
      </c>
      <c r="Q49" s="33">
        <f t="shared" ref="Q49" si="208">IFERROR(P49/P$14,"")</f>
        <v>1.3115051193492784E-3</v>
      </c>
      <c r="R49" s="40">
        <f>SUMIFS('Data Sheet Actuals'!$D:$D,'Data Sheet Actuals'!$C:$C,Client!$B49,'Data Sheet Actuals'!$E:$E,Client!$D$3,'Data Sheet Actuals'!$A:$A,Client!R$4)</f>
        <v>159.73000000000002</v>
      </c>
      <c r="S49" s="33">
        <f t="shared" ref="S49" si="209">IFERROR(R49/R$14,"")</f>
        <v>1.3116974291042444E-3</v>
      </c>
      <c r="T49" s="40">
        <f>SUMIFS('Data Sheet Actuals'!$D:$D,'Data Sheet Actuals'!$C:$C,Client!$B49,'Data Sheet Actuals'!$E:$E,Client!$D$3,'Data Sheet Actuals'!$A:$A,Client!T$4)</f>
        <v>139.63999999999999</v>
      </c>
      <c r="U49" s="33">
        <f t="shared" ref="U49" si="210">IFERROR(T49/T$14,"")</f>
        <v>1.3120577771463663E-3</v>
      </c>
      <c r="V49" s="40">
        <f>SUMIFS('Data Sheet Actuals'!$D:$D,'Data Sheet Actuals'!$C:$C,Client!$B49,'Data Sheet Actuals'!$E:$E,Client!$D$3,'Data Sheet Actuals'!$A:$A,Client!V$4)</f>
        <v>154.38999999999999</v>
      </c>
      <c r="W49" s="33">
        <f t="shared" ref="W49" si="211">IFERROR(V49/V$14,"")</f>
        <v>1.4420766950542533E-3</v>
      </c>
      <c r="X49" s="40">
        <f>SUMIFS('Data Sheet Actuals'!$D:$D,'Data Sheet Actuals'!$C:$C,Client!$B49,'Data Sheet Actuals'!$E:$E,Client!$D$3,'Data Sheet Actuals'!$A:$A,Client!X$4)</f>
        <v>221.07999999999998</v>
      </c>
      <c r="Y49" s="33">
        <f t="shared" ref="Y49" si="212">IFERROR(X49/X$14,"")</f>
        <v>2.0946364875292002E-3</v>
      </c>
      <c r="Z49" s="40">
        <f>SUMIFS('Data Sheet Actuals'!$D:$D,'Data Sheet Actuals'!$C:$C,Client!$B49,'Data Sheet Actuals'!$E:$E,Client!$D$3,'Data Sheet Actuals'!$A:$A,Client!Z$4)</f>
        <v>224.73</v>
      </c>
      <c r="AA49" s="33">
        <f t="shared" ref="AA49" si="213">IFERROR(Z49/Z$14,"")</f>
        <v>1.9647308389565917E-3</v>
      </c>
      <c r="AB49" s="31">
        <f t="shared" si="105"/>
        <v>2206.16</v>
      </c>
      <c r="AC49" s="33">
        <f t="shared" ref="AC49" si="214">IFERROR(AB49/AB$14,"")</f>
        <v>1.6358835872802798E-3</v>
      </c>
    </row>
    <row r="50" spans="2:29">
      <c r="B50" s="45">
        <v>4023</v>
      </c>
      <c r="C50" s="55" t="s">
        <v>125</v>
      </c>
      <c r="D50" s="50">
        <f>SUMIFS('Data Sheet Actuals'!$D:$D,'Data Sheet Actuals'!$C:$C,Client!$B50,'Data Sheet Actuals'!$E:$E,Client!$D$3,'Data Sheet Actuals'!$A:$A,Client!D$4)</f>
        <v>290.90999999999997</v>
      </c>
      <c r="E50" s="33">
        <f t="shared" si="93"/>
        <v>2.4915428346496348E-3</v>
      </c>
      <c r="F50" s="38">
        <f>SUMIFS('Data Sheet Actuals'!$D:$D,'Data Sheet Actuals'!$C:$C,Client!$B50,'Data Sheet Actuals'!$E:$E,Client!$D$3,'Data Sheet Actuals'!$A:$A,Client!F$4)</f>
        <v>341.11</v>
      </c>
      <c r="G50" s="33">
        <f t="shared" ref="G50" si="215">IFERROR(F50/F$14,"")</f>
        <v>2.8011839356523434E-3</v>
      </c>
      <c r="H50" s="38">
        <f>SUMIFS('Data Sheet Actuals'!$D:$D,'Data Sheet Actuals'!$C:$C,Client!$B50,'Data Sheet Actuals'!$E:$E,Client!$D$3,'Data Sheet Actuals'!$A:$A,Client!H$4)</f>
        <v>402.84000000000003</v>
      </c>
      <c r="I50" s="33">
        <f t="shared" ref="I50" si="216">IFERROR(H50/H$14,"")</f>
        <v>3.7850856126155998E-3</v>
      </c>
      <c r="J50" s="38">
        <f>SUMIFS('Data Sheet Actuals'!$D:$D,'Data Sheet Actuals'!$C:$C,Client!$B50,'Data Sheet Actuals'!$E:$E,Client!$D$3,'Data Sheet Actuals'!$A:$A,Client!J$4)</f>
        <v>318.77</v>
      </c>
      <c r="K50" s="33">
        <f t="shared" ref="K50" si="217">IFERROR(J50/J$14,"")</f>
        <v>2.9774647845226005E-3</v>
      </c>
      <c r="L50" s="38">
        <f>SUMIFS('Data Sheet Actuals'!$D:$D,'Data Sheet Actuals'!$C:$C,Client!$B50,'Data Sheet Actuals'!$E:$E,Client!$D$3,'Data Sheet Actuals'!$A:$A,Client!L$4)</f>
        <v>326.88</v>
      </c>
      <c r="M50" s="33">
        <f t="shared" ref="M50" si="218">IFERROR(L50/L$14,"")</f>
        <v>3.0970453005407322E-3</v>
      </c>
      <c r="N50" s="38">
        <f>SUMIFS('Data Sheet Actuals'!$D:$D,'Data Sheet Actuals'!$C:$C,Client!$B50,'Data Sheet Actuals'!$E:$E,Client!$D$3,'Data Sheet Actuals'!$A:$A,Client!N$4)</f>
        <v>267.85000000000002</v>
      </c>
      <c r="O50" s="33">
        <f t="shared" ref="O50" si="219">IFERROR(N50/N$14,"")</f>
        <v>2.2491827451533619E-3</v>
      </c>
      <c r="P50" s="38">
        <f>SUMIFS('Data Sheet Actuals'!$D:$D,'Data Sheet Actuals'!$C:$C,Client!$B50,'Data Sheet Actuals'!$E:$E,Client!$D$3,'Data Sheet Actuals'!$A:$A,Client!P$4)</f>
        <v>306.27</v>
      </c>
      <c r="Q50" s="33">
        <f t="shared" ref="Q50" si="220">IFERROR(P50/P$14,"")</f>
        <v>2.6230958852158526E-3</v>
      </c>
      <c r="R50" s="38">
        <f>SUMIFS('Data Sheet Actuals'!$D:$D,'Data Sheet Actuals'!$C:$C,Client!$B50,'Data Sheet Actuals'!$E:$E,Client!$D$3,'Data Sheet Actuals'!$A:$A,Client!R$4)</f>
        <v>319.46000000000004</v>
      </c>
      <c r="S50" s="33">
        <f t="shared" ref="S50" si="221">IFERROR(R50/R$14,"")</f>
        <v>2.6233948582084889E-3</v>
      </c>
      <c r="T50" s="38">
        <f>SUMIFS('Data Sheet Actuals'!$D:$D,'Data Sheet Actuals'!$C:$C,Client!$B50,'Data Sheet Actuals'!$E:$E,Client!$D$3,'Data Sheet Actuals'!$A:$A,Client!T$4)</f>
        <v>279.27</v>
      </c>
      <c r="U50" s="33">
        <f t="shared" ref="U50" si="222">IFERROR(T50/T$14,"")</f>
        <v>2.624021594268589E-3</v>
      </c>
      <c r="V50" s="38">
        <f>SUMIFS('Data Sheet Actuals'!$D:$D,'Data Sheet Actuals'!$C:$C,Client!$B50,'Data Sheet Actuals'!$E:$E,Client!$D$3,'Data Sheet Actuals'!$A:$A,Client!V$4)</f>
        <v>280.70999999999998</v>
      </c>
      <c r="W50" s="33">
        <f t="shared" ref="W50" si="223">IFERROR(V50/V$14,"")</f>
        <v>2.6219661187167525E-3</v>
      </c>
      <c r="X50" s="38">
        <f>SUMIFS('Data Sheet Actuals'!$D:$D,'Data Sheet Actuals'!$C:$C,Client!$B50,'Data Sheet Actuals'!$E:$E,Client!$D$3,'Data Sheet Actuals'!$A:$A,Client!X$4)</f>
        <v>276.35000000000002</v>
      </c>
      <c r="Y50" s="33">
        <f t="shared" ref="Y50" si="224">IFERROR(X50/X$14,"")</f>
        <v>2.6182956094115009E-3</v>
      </c>
      <c r="Z50" s="38">
        <f>SUMIFS('Data Sheet Actuals'!$D:$D,'Data Sheet Actuals'!$C:$C,Client!$B50,'Data Sheet Actuals'!$E:$E,Client!$D$3,'Data Sheet Actuals'!$A:$A,Client!Z$4)</f>
        <v>299.64</v>
      </c>
      <c r="AA50" s="33">
        <f t="shared" ref="AA50" si="225">IFERROR(Z50/Z$14,"")</f>
        <v>2.6196411186087893E-3</v>
      </c>
      <c r="AB50" s="31">
        <f t="shared" si="105"/>
        <v>3710.06</v>
      </c>
      <c r="AC50" s="33">
        <f t="shared" ref="AC50" si="226">IFERROR(AB50/AB$14,"")</f>
        <v>2.7510363082573681E-3</v>
      </c>
    </row>
    <row r="51" spans="2:29">
      <c r="B51" s="45">
        <v>4025</v>
      </c>
      <c r="C51" s="55" t="s">
        <v>126</v>
      </c>
      <c r="D51" s="47">
        <f>SUMIFS('Data Sheet Actuals'!$D:$D,'Data Sheet Actuals'!$C:$C,Client!$B51,'Data Sheet Actuals'!$E:$E,Client!$D$3,'Data Sheet Actuals'!$A:$A,Client!D$4)</f>
        <v>119.02</v>
      </c>
      <c r="E51" s="33">
        <f t="shared" si="93"/>
        <v>1.0193648488535957E-3</v>
      </c>
      <c r="F51" s="31">
        <f>SUMIFS('Data Sheet Actuals'!$D:$D,'Data Sheet Actuals'!$C:$C,Client!$B51,'Data Sheet Actuals'!$E:$E,Client!$D$3,'Data Sheet Actuals'!$A:$A,Client!F$4)</f>
        <v>111.43</v>
      </c>
      <c r="G51" s="33">
        <f t="shared" ref="G51" si="227">IFERROR(F51/F$14,"")</f>
        <v>9.1505944108862425E-4</v>
      </c>
      <c r="H51" s="31">
        <f>SUMIFS('Data Sheet Actuals'!$D:$D,'Data Sheet Actuals'!$C:$C,Client!$B51,'Data Sheet Actuals'!$E:$E,Client!$D$3,'Data Sheet Actuals'!$A:$A,Client!H$4)</f>
        <v>95.27000000000001</v>
      </c>
      <c r="I51" s="33">
        <f t="shared" ref="I51" si="228">IFERROR(H51/H$14,"")</f>
        <v>8.9515715001958144E-4</v>
      </c>
      <c r="J51" s="31">
        <f>SUMIFS('Data Sheet Actuals'!$D:$D,'Data Sheet Actuals'!$C:$C,Client!$B51,'Data Sheet Actuals'!$E:$E,Client!$D$3,'Data Sheet Actuals'!$A:$A,Client!J$4)</f>
        <v>117.92999999999999</v>
      </c>
      <c r="K51" s="33">
        <f t="shared" ref="K51" si="229">IFERROR(J51/J$14,"")</f>
        <v>1.1015227971225344E-3</v>
      </c>
      <c r="L51" s="31">
        <f>SUMIFS('Data Sheet Actuals'!$D:$D,'Data Sheet Actuals'!$C:$C,Client!$B51,'Data Sheet Actuals'!$E:$E,Client!$D$3,'Data Sheet Actuals'!$A:$A,Client!L$4)</f>
        <v>98.77000000000001</v>
      </c>
      <c r="M51" s="33">
        <f t="shared" ref="M51" si="230">IFERROR(L51/L$14,"")</f>
        <v>9.358026319579299E-4</v>
      </c>
      <c r="N51" s="31">
        <f>SUMIFS('Data Sheet Actuals'!$D:$D,'Data Sheet Actuals'!$C:$C,Client!$B51,'Data Sheet Actuals'!$E:$E,Client!$D$3,'Data Sheet Actuals'!$A:$A,Client!N$4)</f>
        <v>118.28999999999999</v>
      </c>
      <c r="O51" s="33">
        <f t="shared" ref="O51" si="231">IFERROR(N51/N$14,"")</f>
        <v>9.9330157522565295E-4</v>
      </c>
      <c r="P51" s="31">
        <f>SUMIFS('Data Sheet Actuals'!$D:$D,'Data Sheet Actuals'!$C:$C,Client!$B51,'Data Sheet Actuals'!$E:$E,Client!$D$3,'Data Sheet Actuals'!$A:$A,Client!P$4)</f>
        <v>108.74</v>
      </c>
      <c r="Q51" s="33">
        <f t="shared" ref="Q51" si="232">IFERROR(P51/P$14,"")</f>
        <v>9.3132022907360115E-4</v>
      </c>
      <c r="R51" s="31">
        <f>SUMIFS('Data Sheet Actuals'!$D:$D,'Data Sheet Actuals'!$C:$C,Client!$B51,'Data Sheet Actuals'!$E:$E,Client!$D$3,'Data Sheet Actuals'!$A:$A,Client!R$4)</f>
        <v>131.86000000000001</v>
      </c>
      <c r="S51" s="33">
        <f t="shared" ref="S51" si="233">IFERROR(R51/R$14,"")</f>
        <v>1.0828299192492687E-3</v>
      </c>
      <c r="T51" s="31">
        <f>SUMIFS('Data Sheet Actuals'!$D:$D,'Data Sheet Actuals'!$C:$C,Client!$B51,'Data Sheet Actuals'!$E:$E,Client!$D$3,'Data Sheet Actuals'!$A:$A,Client!T$4)</f>
        <v>100.07</v>
      </c>
      <c r="U51" s="33">
        <f t="shared" ref="U51" si="234">IFERROR(T51/T$14,"")</f>
        <v>9.4025796160868581E-4</v>
      </c>
      <c r="V51" s="31">
        <f>SUMIFS('Data Sheet Actuals'!$D:$D,'Data Sheet Actuals'!$C:$C,Client!$B51,'Data Sheet Actuals'!$E:$E,Client!$D$3,'Data Sheet Actuals'!$A:$A,Client!V$4)</f>
        <v>107.94</v>
      </c>
      <c r="W51" s="33">
        <f t="shared" ref="W51" si="235">IFERROR(V51/V$14,"")</f>
        <v>1.0082114027084403E-3</v>
      </c>
      <c r="X51" s="31">
        <f>SUMIFS('Data Sheet Actuals'!$D:$D,'Data Sheet Actuals'!$C:$C,Client!$B51,'Data Sheet Actuals'!$E:$E,Client!$D$3,'Data Sheet Actuals'!$A:$A,Client!X$4)</f>
        <v>123.56</v>
      </c>
      <c r="Y51" s="33">
        <f t="shared" ref="Y51" si="236">IFERROR(X51/X$14,"")</f>
        <v>1.1706770598837886E-3</v>
      </c>
      <c r="Z51" s="31">
        <f>SUMIFS('Data Sheet Actuals'!$D:$D,'Data Sheet Actuals'!$C:$C,Client!$B51,'Data Sheet Actuals'!$E:$E,Client!$D$3,'Data Sheet Actuals'!$A:$A,Client!Z$4)</f>
        <v>88.5</v>
      </c>
      <c r="AA51" s="33">
        <f t="shared" ref="AA51" si="237">IFERROR(Z51/Z$14,"")</f>
        <v>7.7372259710612021E-4</v>
      </c>
      <c r="AB51" s="31">
        <f t="shared" si="105"/>
        <v>1321.38</v>
      </c>
      <c r="AC51" s="33">
        <f t="shared" ref="AC51" si="238">IFERROR(AB51/AB$14,"")</f>
        <v>9.7981282162690675E-4</v>
      </c>
    </row>
    <row r="52" spans="2:29">
      <c r="B52" s="45">
        <v>4026</v>
      </c>
      <c r="C52" s="55" t="s">
        <v>127</v>
      </c>
      <c r="D52" s="47">
        <f>SUMIFS('Data Sheet Actuals'!$D:$D,'Data Sheet Actuals'!$C:$C,Client!$B52,'Data Sheet Actuals'!$E:$E,Client!$D$3,'Data Sheet Actuals'!$A:$A,Client!D$4)</f>
        <v>126.96000000000001</v>
      </c>
      <c r="E52" s="33">
        <f t="shared" si="93"/>
        <v>1.0873681835863933E-3</v>
      </c>
      <c r="F52" s="31">
        <f>SUMIFS('Data Sheet Actuals'!$D:$D,'Data Sheet Actuals'!$C:$C,Client!$B52,'Data Sheet Actuals'!$E:$E,Client!$D$3,'Data Sheet Actuals'!$A:$A,Client!F$4)</f>
        <v>118.86999999999999</v>
      </c>
      <c r="G52" s="33">
        <f t="shared" ref="G52" si="239">IFERROR(F52/F$14,"")</f>
        <v>9.7615647278295563E-4</v>
      </c>
      <c r="H52" s="31">
        <f>SUMIFS('Data Sheet Actuals'!$D:$D,'Data Sheet Actuals'!$C:$C,Client!$B52,'Data Sheet Actuals'!$E:$E,Client!$D$3,'Data Sheet Actuals'!$A:$A,Client!H$4)</f>
        <v>101.63</v>
      </c>
      <c r="I52" s="33">
        <f t="shared" ref="I52" si="240">IFERROR(H52/H$14,"")</f>
        <v>9.549157253751448E-4</v>
      </c>
      <c r="J52" s="31">
        <f>SUMIFS('Data Sheet Actuals'!$D:$D,'Data Sheet Actuals'!$C:$C,Client!$B52,'Data Sheet Actuals'!$E:$E,Client!$D$3,'Data Sheet Actuals'!$A:$A,Client!J$4)</f>
        <v>125.80000000000001</v>
      </c>
      <c r="K52" s="33">
        <f t="shared" ref="K52" si="241">IFERROR(J52/J$14,"")</f>
        <v>1.1750323741034074E-3</v>
      </c>
      <c r="L52" s="31">
        <f>SUMIFS('Data Sheet Actuals'!$D:$D,'Data Sheet Actuals'!$C:$C,Client!$B52,'Data Sheet Actuals'!$E:$E,Client!$D$3,'Data Sheet Actuals'!$A:$A,Client!L$4)</f>
        <v>105.36</v>
      </c>
      <c r="M52" s="33">
        <f t="shared" ref="M52" si="242">IFERROR(L52/L$14,"")</f>
        <v>9.9824000509352528E-4</v>
      </c>
      <c r="N52" s="31">
        <f>SUMIFS('Data Sheet Actuals'!$D:$D,'Data Sheet Actuals'!$C:$C,Client!$B52,'Data Sheet Actuals'!$E:$E,Client!$D$3,'Data Sheet Actuals'!$A:$A,Client!N$4)</f>
        <v>126.18</v>
      </c>
      <c r="O52" s="33">
        <f t="shared" ref="O52" si="243">IFERROR(N52/N$14,"")</f>
        <v>1.0595552689320561E-3</v>
      </c>
      <c r="P52" s="31">
        <f>SUMIFS('Data Sheet Actuals'!$D:$D,'Data Sheet Actuals'!$C:$C,Client!$B52,'Data Sheet Actuals'!$E:$E,Client!$D$3,'Data Sheet Actuals'!$A:$A,Client!P$4)</f>
        <v>115.99000000000001</v>
      </c>
      <c r="Q52" s="33">
        <f t="shared" ref="Q52" si="244">IFERROR(P52/P$14,"")</f>
        <v>9.9341395411299441E-4</v>
      </c>
      <c r="R52" s="31">
        <f>SUMIFS('Data Sheet Actuals'!$D:$D,'Data Sheet Actuals'!$C:$C,Client!$B52,'Data Sheet Actuals'!$E:$E,Client!$D$3,'Data Sheet Actuals'!$A:$A,Client!R$4)</f>
        <v>140.63999999999999</v>
      </c>
      <c r="S52" s="33">
        <f t="shared" ref="S52" si="245">IFERROR(R52/R$14,"")</f>
        <v>1.1549309862218802E-3</v>
      </c>
      <c r="T52" s="31">
        <f>SUMIFS('Data Sheet Actuals'!$D:$D,'Data Sheet Actuals'!$C:$C,Client!$B52,'Data Sheet Actuals'!$E:$E,Client!$D$3,'Data Sheet Actuals'!$A:$A,Client!T$4)</f>
        <v>106.72999999999999</v>
      </c>
      <c r="U52" s="33">
        <f t="shared" ref="U52" si="246">IFERROR(T52/T$14,"")</f>
        <v>1.0028353376885684E-3</v>
      </c>
      <c r="V52" s="31">
        <f>SUMIFS('Data Sheet Actuals'!$D:$D,'Data Sheet Actuals'!$C:$C,Client!$B52,'Data Sheet Actuals'!$E:$E,Client!$D$3,'Data Sheet Actuals'!$A:$A,Client!V$4)</f>
        <v>115.13999999999999</v>
      </c>
      <c r="W52" s="33">
        <f t="shared" ref="W52" si="247">IFERROR(V52/V$14,"")</f>
        <v>1.0754628581420215E-3</v>
      </c>
      <c r="X52" s="31">
        <f>SUMIFS('Data Sheet Actuals'!$D:$D,'Data Sheet Actuals'!$C:$C,Client!$B52,'Data Sheet Actuals'!$E:$E,Client!$D$3,'Data Sheet Actuals'!$A:$A,Client!X$4)</f>
        <v>131.80000000000001</v>
      </c>
      <c r="Y52" s="33">
        <f t="shared" ref="Y52" si="248">IFERROR(X52/X$14,"")</f>
        <v>1.248747462711908E-3</v>
      </c>
      <c r="Z52" s="31">
        <f>SUMIFS('Data Sheet Actuals'!$D:$D,'Data Sheet Actuals'!$C:$C,Client!$B52,'Data Sheet Actuals'!$E:$E,Client!$D$3,'Data Sheet Actuals'!$A:$A,Client!Z$4)</f>
        <v>94.4</v>
      </c>
      <c r="AA52" s="33">
        <f t="shared" ref="AA52" si="249">IFERROR(Z52/Z$14,"")</f>
        <v>8.253041035798616E-4</v>
      </c>
      <c r="AB52" s="31">
        <f t="shared" si="105"/>
        <v>1409.4999999999998</v>
      </c>
      <c r="AC52" s="33">
        <f t="shared" ref="AC52" si="250">IFERROR(AB52/AB$14,"")</f>
        <v>1.0451544386044322E-3</v>
      </c>
    </row>
    <row r="53" spans="2:29">
      <c r="B53" s="45"/>
      <c r="C53" s="54"/>
      <c r="D53" s="48" t="s">
        <v>42</v>
      </c>
      <c r="E53" s="36" t="s">
        <v>42</v>
      </c>
      <c r="F53" s="35" t="s">
        <v>42</v>
      </c>
      <c r="G53" s="36" t="s">
        <v>42</v>
      </c>
      <c r="H53" s="35" t="s">
        <v>42</v>
      </c>
      <c r="I53" s="36" t="s">
        <v>42</v>
      </c>
      <c r="J53" s="35" t="s">
        <v>42</v>
      </c>
      <c r="K53" s="36" t="s">
        <v>42</v>
      </c>
      <c r="L53" s="35" t="s">
        <v>42</v>
      </c>
      <c r="M53" s="36" t="s">
        <v>42</v>
      </c>
      <c r="N53" s="35" t="s">
        <v>42</v>
      </c>
      <c r="O53" s="36" t="s">
        <v>42</v>
      </c>
      <c r="P53" s="35" t="s">
        <v>42</v>
      </c>
      <c r="Q53" s="36" t="s">
        <v>42</v>
      </c>
      <c r="R53" s="35" t="s">
        <v>42</v>
      </c>
      <c r="S53" s="36" t="s">
        <v>42</v>
      </c>
      <c r="T53" s="35" t="s">
        <v>42</v>
      </c>
      <c r="U53" s="36" t="s">
        <v>42</v>
      </c>
      <c r="V53" s="35" t="s">
        <v>42</v>
      </c>
      <c r="W53" s="36" t="s">
        <v>42</v>
      </c>
      <c r="X53" s="35" t="s">
        <v>42</v>
      </c>
      <c r="Y53" s="36" t="s">
        <v>42</v>
      </c>
      <c r="Z53" s="35" t="s">
        <v>42</v>
      </c>
      <c r="AA53" s="36" t="s">
        <v>42</v>
      </c>
      <c r="AB53" s="35" t="s">
        <v>42</v>
      </c>
      <c r="AC53" s="36" t="s">
        <v>42</v>
      </c>
    </row>
    <row r="54" spans="2:29">
      <c r="B54" s="45"/>
      <c r="C54" s="57" t="s">
        <v>128</v>
      </c>
      <c r="D54" s="64">
        <f>SUM(D40:D53)</f>
        <v>4021.39</v>
      </c>
      <c r="E54" s="65">
        <f>IFERROR(D54/D$14,"")</f>
        <v>3.4441804818781396E-2</v>
      </c>
      <c r="F54" s="64">
        <f>SUM(F40:F53)</f>
        <v>4129.29</v>
      </c>
      <c r="G54" s="65">
        <f>IFERROR(F54/F$14,"")</f>
        <v>3.390959166735031E-2</v>
      </c>
      <c r="H54" s="64">
        <f>SUM(H40:H53)</f>
        <v>4899.4000000000005</v>
      </c>
      <c r="I54" s="65">
        <f>IFERROR(H54/H$14,"")</f>
        <v>4.6034774229095597E-2</v>
      </c>
      <c r="J54" s="64">
        <f>SUM(J40:J53)</f>
        <v>4643.920000000001</v>
      </c>
      <c r="K54" s="65">
        <f>IFERROR(J54/J$14,"")</f>
        <v>4.3376441516266274E-2</v>
      </c>
      <c r="L54" s="64">
        <f>SUM(L40:L53)</f>
        <v>4309.0300000000007</v>
      </c>
      <c r="M54" s="65">
        <f>IFERROR(L54/L$14,"")</f>
        <v>4.0826178143015882E-2</v>
      </c>
      <c r="N54" s="64">
        <f>SUM(N40:N53)</f>
        <v>3829.5099999999993</v>
      </c>
      <c r="O54" s="65">
        <f>IFERROR(N54/N$14,"")</f>
        <v>3.215705736192738E-2</v>
      </c>
      <c r="P54" s="64">
        <f>SUM(P40:P53)</f>
        <v>3859.4399999999996</v>
      </c>
      <c r="Q54" s="65">
        <f>IFERROR(P54/P$14,"")</f>
        <v>3.3054759471177295E-2</v>
      </c>
      <c r="R54" s="64">
        <f>SUM(R40:R53)</f>
        <v>4028.3799999999997</v>
      </c>
      <c r="S54" s="65">
        <f>IFERROR(R54/R$14,"")</f>
        <v>3.3080922115162809E-2</v>
      </c>
      <c r="T54" s="64">
        <f>SUM(T40:T53)</f>
        <v>3582.47</v>
      </c>
      <c r="U54" s="65">
        <f>IFERROR(T54/T$14,"")</f>
        <v>3.3660896769504033E-2</v>
      </c>
      <c r="V54" s="64">
        <f>SUM(V40:V53)</f>
        <v>4048.27</v>
      </c>
      <c r="W54" s="65">
        <f>IFERROR(V54/V$14,"")</f>
        <v>3.7812784651125607E-2</v>
      </c>
      <c r="X54" s="64">
        <f>SUM(X40:X53)</f>
        <v>4236.09</v>
      </c>
      <c r="Y54" s="65">
        <f>IFERROR(X54/X$14,"")</f>
        <v>4.0135103484971825E-2</v>
      </c>
      <c r="Z54" s="64">
        <f>SUM(Z40:Z53)</f>
        <v>3966.7000000000003</v>
      </c>
      <c r="AA54" s="65">
        <f>IFERROR(Z54/Z$14,"")</f>
        <v>3.4679383343964379E-2</v>
      </c>
      <c r="AB54" s="64">
        <f>SUM(AB40:AB53)</f>
        <v>49553.889999999992</v>
      </c>
      <c r="AC54" s="65">
        <f>IFERROR(AB54/AB$14,"")</f>
        <v>3.6744567636478036E-2</v>
      </c>
    </row>
    <row r="55" spans="2:29">
      <c r="B55" s="45"/>
      <c r="C55" s="54"/>
      <c r="D55" s="48" t="s">
        <v>42</v>
      </c>
      <c r="E55" s="36" t="s">
        <v>42</v>
      </c>
      <c r="F55" s="35" t="s">
        <v>42</v>
      </c>
      <c r="G55" s="36" t="s">
        <v>42</v>
      </c>
      <c r="H55" s="35" t="s">
        <v>42</v>
      </c>
      <c r="I55" s="36" t="s">
        <v>42</v>
      </c>
      <c r="J55" s="35" t="s">
        <v>42</v>
      </c>
      <c r="K55" s="36" t="s">
        <v>42</v>
      </c>
      <c r="L55" s="35" t="s">
        <v>42</v>
      </c>
      <c r="M55" s="36" t="s">
        <v>42</v>
      </c>
      <c r="N55" s="35" t="s">
        <v>42</v>
      </c>
      <c r="O55" s="36" t="s">
        <v>42</v>
      </c>
      <c r="P55" s="35" t="s">
        <v>42</v>
      </c>
      <c r="Q55" s="36" t="s">
        <v>42</v>
      </c>
      <c r="R55" s="35" t="s">
        <v>42</v>
      </c>
      <c r="S55" s="36" t="s">
        <v>42</v>
      </c>
      <c r="T55" s="35" t="s">
        <v>42</v>
      </c>
      <c r="U55" s="36" t="s">
        <v>42</v>
      </c>
      <c r="V55" s="35" t="s">
        <v>42</v>
      </c>
      <c r="W55" s="36" t="s">
        <v>42</v>
      </c>
      <c r="X55" s="35" t="s">
        <v>42</v>
      </c>
      <c r="Y55" s="36" t="s">
        <v>42</v>
      </c>
      <c r="Z55" s="35" t="s">
        <v>42</v>
      </c>
      <c r="AA55" s="36" t="s">
        <v>42</v>
      </c>
      <c r="AB55" s="35" t="s">
        <v>42</v>
      </c>
      <c r="AC55" s="36" t="s">
        <v>42</v>
      </c>
    </row>
    <row r="56" spans="2:29">
      <c r="B56" s="45"/>
      <c r="C56" s="54"/>
      <c r="D56" s="47"/>
      <c r="E56" s="32"/>
      <c r="F56" s="31"/>
      <c r="G56" s="32"/>
      <c r="H56" s="31"/>
      <c r="I56" s="32"/>
      <c r="J56" s="31"/>
      <c r="K56" s="32"/>
      <c r="L56" s="31"/>
      <c r="M56" s="32"/>
      <c r="N56" s="31"/>
      <c r="O56" s="32"/>
      <c r="P56" s="31"/>
      <c r="Q56" s="32"/>
      <c r="R56" s="31"/>
      <c r="S56" s="32"/>
      <c r="T56" s="31"/>
      <c r="U56" s="32"/>
      <c r="V56" s="31"/>
      <c r="W56" s="32"/>
      <c r="X56" s="31"/>
      <c r="Y56" s="32"/>
      <c r="Z56" s="31"/>
      <c r="AA56" s="32"/>
      <c r="AB56" s="31"/>
      <c r="AC56" s="32"/>
    </row>
    <row r="57" spans="2:29">
      <c r="B57" s="45"/>
      <c r="C57" s="57" t="s">
        <v>130</v>
      </c>
      <c r="D57" s="64">
        <f>+D36+D54</f>
        <v>33970.899999999994</v>
      </c>
      <c r="E57" s="65">
        <f>IFERROR(D57/D$14,"")</f>
        <v>0.29094892744009926</v>
      </c>
      <c r="F57" s="64">
        <f>+F36+F54</f>
        <v>32360.71</v>
      </c>
      <c r="G57" s="65">
        <f>IFERROR(F57/F$14,"")</f>
        <v>0.26574507050014406</v>
      </c>
      <c r="H57" s="64">
        <f>+H36+H54</f>
        <v>31634.190000000002</v>
      </c>
      <c r="I57" s="65">
        <f>IFERROR(H57/H$14,"")</f>
        <v>0.29723492561748655</v>
      </c>
      <c r="J57" s="64">
        <f>+J36+J54</f>
        <v>32565.82</v>
      </c>
      <c r="K57" s="65">
        <f>IFERROR(J57/J$14,"")</f>
        <v>0.30418038783167112</v>
      </c>
      <c r="L57" s="64">
        <f>+L36+L54</f>
        <v>24675.65</v>
      </c>
      <c r="M57" s="65">
        <f>IFERROR(L57/L$14,"")</f>
        <v>0.23379101159534973</v>
      </c>
      <c r="N57" s="64">
        <f>+N36+N54</f>
        <v>33360.78</v>
      </c>
      <c r="O57" s="65">
        <f>IFERROR(N57/N$14,"")</f>
        <v>0.28013623573215368</v>
      </c>
      <c r="P57" s="64">
        <f>+P36+P54</f>
        <v>26101.179999999997</v>
      </c>
      <c r="Q57" s="65">
        <f>IFERROR(P57/P$14,"")</f>
        <v>0.22354751643085613</v>
      </c>
      <c r="R57" s="64">
        <f>+R36+R54</f>
        <v>28858.28</v>
      </c>
      <c r="S57" s="65">
        <f>IFERROR(R57/R$14,"")</f>
        <v>0.2369832322317062</v>
      </c>
      <c r="T57" s="64">
        <f>+T36+T54</f>
        <v>31632.23</v>
      </c>
      <c r="U57" s="65">
        <f>IFERROR(T57/T$14,"")</f>
        <v>0.2972165094527543</v>
      </c>
      <c r="V57" s="64">
        <f>+V36+V54</f>
        <v>25930.559999999998</v>
      </c>
      <c r="W57" s="65">
        <f>IFERROR(V57/V$14,"")</f>
        <v>0.24220387502886209</v>
      </c>
      <c r="X57" s="64">
        <f>+X36+X54</f>
        <v>31837.87</v>
      </c>
      <c r="Y57" s="65">
        <f>IFERROR(X57/X$14,"")</f>
        <v>0.30164991942831237</v>
      </c>
      <c r="Z57" s="64">
        <f>+Z36+Z54</f>
        <v>24340.59</v>
      </c>
      <c r="AA57" s="65">
        <f>IFERROR(Z57/Z$14,"")</f>
        <v>0.21280072892537016</v>
      </c>
      <c r="AB57" s="64">
        <f>+AB36+AB54</f>
        <v>357268.76</v>
      </c>
      <c r="AC57" s="65">
        <f>IFERROR(AB57/AB$14,"")</f>
        <v>0.26491736806576921</v>
      </c>
    </row>
    <row r="58" spans="2:29">
      <c r="B58" s="45"/>
      <c r="C58" s="54"/>
      <c r="D58" s="47"/>
      <c r="E58" s="32"/>
      <c r="F58" s="31"/>
      <c r="G58" s="32"/>
      <c r="H58" s="31"/>
      <c r="I58" s="32"/>
      <c r="J58" s="31"/>
      <c r="K58" s="32"/>
      <c r="L58" s="31"/>
      <c r="M58" s="32"/>
      <c r="N58" s="31"/>
      <c r="O58" s="32"/>
      <c r="P58" s="31"/>
      <c r="Q58" s="32"/>
      <c r="R58" s="31"/>
      <c r="S58" s="32"/>
      <c r="T58" s="31"/>
      <c r="U58" s="32"/>
      <c r="V58" s="31"/>
      <c r="W58" s="32"/>
      <c r="X58" s="31"/>
      <c r="Y58" s="32"/>
      <c r="Z58" s="31"/>
      <c r="AA58" s="32"/>
      <c r="AB58" s="31"/>
      <c r="AC58" s="32"/>
    </row>
    <row r="59" spans="2:29">
      <c r="B59" s="45"/>
      <c r="C59" s="57" t="s">
        <v>129</v>
      </c>
      <c r="D59" s="64">
        <f>D27-D57</f>
        <v>20938.259999999987</v>
      </c>
      <c r="E59" s="65">
        <f>IFERROR(D59/D$14,"")</f>
        <v>0.17932890472321691</v>
      </c>
      <c r="F59" s="64">
        <f>F27-F57</f>
        <v>25287.100000000013</v>
      </c>
      <c r="G59" s="65">
        <f>IFERROR(F59/F$14,"")</f>
        <v>0.20765682125775969</v>
      </c>
      <c r="H59" s="64">
        <f>H27-H57</f>
        <v>9974.2399999999907</v>
      </c>
      <c r="I59" s="65">
        <f>IFERROR(H59/H$14,"")</f>
        <v>9.371798312177286E-2</v>
      </c>
      <c r="J59" s="64">
        <f>J27-J57</f>
        <v>6815.0899999999892</v>
      </c>
      <c r="K59" s="65">
        <f>IFERROR(J59/J$14,"")</f>
        <v>6.3656211307061825E-2</v>
      </c>
      <c r="L59" s="64">
        <f>L27-L57</f>
        <v>31694.590000000011</v>
      </c>
      <c r="M59" s="65">
        <f>IFERROR(L59/L$14,"")</f>
        <v>0.30029240397719442</v>
      </c>
      <c r="N59" s="64">
        <f>N27-N57</f>
        <v>23747.159999999989</v>
      </c>
      <c r="O59" s="65">
        <f>IFERROR(N59/N$14,"")</f>
        <v>0.19940900697553138</v>
      </c>
      <c r="P59" s="64">
        <f>P27-P57</f>
        <v>33079.479999999981</v>
      </c>
      <c r="Q59" s="65">
        <f>IFERROR(P59/P$14,"")</f>
        <v>0.28331422559532454</v>
      </c>
      <c r="R59" s="64">
        <f>R27-R57</f>
        <v>33456.860000000008</v>
      </c>
      <c r="S59" s="65">
        <f>IFERROR(R59/R$14,"")</f>
        <v>0.27474661771677605</v>
      </c>
      <c r="T59" s="64">
        <f>T27-T57</f>
        <v>9659.9999999999964</v>
      </c>
      <c r="U59" s="65">
        <f>IFERROR(T59/T$14,"")</f>
        <v>9.0765383323072879E-2</v>
      </c>
      <c r="V59" s="64">
        <f>V27-V57</f>
        <v>27201.279999999999</v>
      </c>
      <c r="W59" s="65">
        <f>IFERROR(V59/V$14,"")</f>
        <v>0.25407300967449548</v>
      </c>
      <c r="X59" s="64">
        <f>X27-X57</f>
        <v>14901.750000000011</v>
      </c>
      <c r="Y59" s="65">
        <f>IFERROR(X59/X$14,"")</f>
        <v>0.14118757589125333</v>
      </c>
      <c r="Z59" s="64">
        <f>Z27-Z57</f>
        <v>39458.259999999995</v>
      </c>
      <c r="AA59" s="65">
        <f>IFERROR(Z59/Z$14,"")</f>
        <v>0.34496889722585916</v>
      </c>
      <c r="AB59" s="64">
        <f>AB27-AB57</f>
        <v>276214.06999999995</v>
      </c>
      <c r="AC59" s="65">
        <f>IFERROR(AB59/AB$14,"")</f>
        <v>0.20481472952500557</v>
      </c>
    </row>
    <row r="60" spans="2:29">
      <c r="B60" s="45"/>
      <c r="C60" s="54"/>
      <c r="D60" s="48" t="s">
        <v>49</v>
      </c>
      <c r="E60" s="36" t="s">
        <v>49</v>
      </c>
      <c r="F60" s="35" t="s">
        <v>49</v>
      </c>
      <c r="G60" s="36" t="s">
        <v>49</v>
      </c>
      <c r="H60" s="35" t="s">
        <v>49</v>
      </c>
      <c r="I60" s="36" t="s">
        <v>49</v>
      </c>
      <c r="J60" s="35" t="s">
        <v>49</v>
      </c>
      <c r="K60" s="36" t="s">
        <v>49</v>
      </c>
      <c r="L60" s="35" t="s">
        <v>49</v>
      </c>
      <c r="M60" s="36" t="s">
        <v>49</v>
      </c>
      <c r="N60" s="35" t="s">
        <v>49</v>
      </c>
      <c r="O60" s="36" t="s">
        <v>49</v>
      </c>
      <c r="P60" s="35" t="s">
        <v>49</v>
      </c>
      <c r="Q60" s="36" t="s">
        <v>49</v>
      </c>
      <c r="R60" s="35" t="s">
        <v>49</v>
      </c>
      <c r="S60" s="36" t="s">
        <v>49</v>
      </c>
      <c r="T60" s="35" t="s">
        <v>49</v>
      </c>
      <c r="U60" s="36" t="s">
        <v>49</v>
      </c>
      <c r="V60" s="35" t="s">
        <v>49</v>
      </c>
      <c r="W60" s="36" t="s">
        <v>49</v>
      </c>
      <c r="X60" s="35" t="s">
        <v>49</v>
      </c>
      <c r="Y60" s="36" t="s">
        <v>49</v>
      </c>
      <c r="Z60" s="35" t="s">
        <v>49</v>
      </c>
      <c r="AA60" s="36" t="s">
        <v>49</v>
      </c>
      <c r="AB60" s="35" t="s">
        <v>49</v>
      </c>
      <c r="AC60" s="36" t="s">
        <v>49</v>
      </c>
    </row>
    <row r="61" spans="2:29" ht="15" thickBot="1">
      <c r="B61" s="45"/>
      <c r="C61" s="56"/>
      <c r="D61" s="53"/>
      <c r="E61" s="42"/>
      <c r="F61" s="41"/>
      <c r="G61" s="42"/>
      <c r="H61" s="41"/>
      <c r="I61" s="42"/>
      <c r="J61" s="41"/>
      <c r="K61" s="42"/>
      <c r="L61" s="41"/>
      <c r="M61" s="42"/>
      <c r="N61" s="41"/>
      <c r="O61" s="42"/>
      <c r="P61" s="41"/>
      <c r="Q61" s="42"/>
      <c r="R61" s="41"/>
      <c r="S61" s="42"/>
      <c r="T61" s="41"/>
      <c r="U61" s="42"/>
      <c r="V61" s="41"/>
      <c r="W61" s="42"/>
      <c r="X61" s="41"/>
      <c r="Y61" s="42"/>
      <c r="Z61" s="41"/>
      <c r="AA61" s="42"/>
      <c r="AB61" s="41"/>
      <c r="AC61" s="42"/>
    </row>
  </sheetData>
  <mergeCells count="14">
    <mergeCell ref="C4:C5"/>
    <mergeCell ref="AB4:AC4"/>
    <mergeCell ref="P4:Q4"/>
    <mergeCell ref="R4:S4"/>
    <mergeCell ref="T4:U4"/>
    <mergeCell ref="V4:W4"/>
    <mergeCell ref="X4:Y4"/>
    <mergeCell ref="Z4:AA4"/>
    <mergeCell ref="N4:O4"/>
    <mergeCell ref="D4:E4"/>
    <mergeCell ref="F4:G4"/>
    <mergeCell ref="H4:I4"/>
    <mergeCell ref="J4:K4"/>
    <mergeCell ref="L4:M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BF5F3-9203-492D-8E2F-CE5FB27133F1}">
  <sheetPr codeName="Sheet14"/>
  <dimension ref="A1:AC61"/>
  <sheetViews>
    <sheetView zoomScale="80" zoomScaleNormal="80" workbookViewId="0"/>
  </sheetViews>
  <sheetFormatPr defaultRowHeight="14.5"/>
  <cols>
    <col min="1" max="1" width="3" style="24" bestFit="1" customWidth="1"/>
    <col min="2" max="2" width="2.7265625" style="25" customWidth="1"/>
    <col min="3" max="3" width="31.90625" bestFit="1" customWidth="1"/>
    <col min="4" max="4" width="13.08984375" style="26" customWidth="1"/>
    <col min="6" max="6" width="13.08984375" style="26" customWidth="1"/>
    <col min="8" max="8" width="13.08984375" style="26" customWidth="1"/>
    <col min="10" max="10" width="13.08984375" style="26" customWidth="1"/>
    <col min="12" max="12" width="13.08984375" style="26" customWidth="1"/>
    <col min="14" max="14" width="13.08984375" style="26" customWidth="1"/>
    <col min="16" max="16" width="13.08984375" style="26" customWidth="1"/>
    <col min="18" max="18" width="13.08984375" style="26" customWidth="1"/>
    <col min="20" max="20" width="13.08984375" style="26" customWidth="1"/>
    <col min="22" max="22" width="13.08984375" style="26" customWidth="1"/>
    <col min="24" max="24" width="13.08984375" style="26" customWidth="1"/>
    <col min="26" max="26" width="13.08984375" style="26" customWidth="1"/>
    <col min="28" max="28" width="13.08984375" style="26" customWidth="1"/>
    <col min="29" max="29" width="10.54296875" customWidth="1"/>
  </cols>
  <sheetData>
    <row r="1" spans="1:29">
      <c r="A1" s="24">
        <v>24</v>
      </c>
      <c r="B1" s="25">
        <f ca="1">VLOOKUP($A$1,'Profit Center Master'!$A:$G,7,0)</f>
        <v>3</v>
      </c>
    </row>
    <row r="3" spans="1:29" ht="21" thickBot="1">
      <c r="B3" s="43"/>
      <c r="C3" s="27" t="s">
        <v>1</v>
      </c>
      <c r="D3" s="62" t="str">
        <f>VLOOKUP($A$1,'Profit Center Master'!$A:$C,3,0)</f>
        <v>BRN-62701</v>
      </c>
      <c r="E3" s="44" t="str">
        <f>VLOOKUP($A$1,'Profit Center Master'!$A:$D,4,0)</f>
        <v>BRN-Springfield</v>
      </c>
      <c r="G3" s="24"/>
    </row>
    <row r="4" spans="1:29">
      <c r="B4" s="45"/>
      <c r="C4" s="58"/>
      <c r="D4" s="61" t="s">
        <v>28</v>
      </c>
      <c r="E4" s="60"/>
      <c r="F4" s="60" t="s">
        <v>29</v>
      </c>
      <c r="G4" s="60"/>
      <c r="H4" s="60" t="s">
        <v>30</v>
      </c>
      <c r="I4" s="60"/>
      <c r="J4" s="60" t="s">
        <v>31</v>
      </c>
      <c r="K4" s="60"/>
      <c r="L4" s="60" t="s">
        <v>32</v>
      </c>
      <c r="M4" s="60"/>
      <c r="N4" s="60" t="s">
        <v>33</v>
      </c>
      <c r="O4" s="60"/>
      <c r="P4" s="60" t="s">
        <v>34</v>
      </c>
      <c r="Q4" s="60"/>
      <c r="R4" s="60" t="s">
        <v>35</v>
      </c>
      <c r="S4" s="60"/>
      <c r="T4" s="60" t="s">
        <v>36</v>
      </c>
      <c r="U4" s="60"/>
      <c r="V4" s="60" t="s">
        <v>37</v>
      </c>
      <c r="W4" s="60"/>
      <c r="X4" s="60" t="s">
        <v>38</v>
      </c>
      <c r="Y4" s="60"/>
      <c r="Z4" s="60" t="s">
        <v>39</v>
      </c>
      <c r="AA4" s="60"/>
      <c r="AB4" s="60" t="s">
        <v>40</v>
      </c>
      <c r="AC4" s="60"/>
    </row>
    <row r="5" spans="1:29" ht="15" thickBot="1">
      <c r="B5" s="45"/>
      <c r="C5" s="59"/>
      <c r="D5" s="46">
        <v>2019</v>
      </c>
      <c r="E5" s="30" t="s">
        <v>41</v>
      </c>
      <c r="F5" s="29">
        <v>2019</v>
      </c>
      <c r="G5" s="30" t="s">
        <v>41</v>
      </c>
      <c r="H5" s="29">
        <v>2019</v>
      </c>
      <c r="I5" s="30" t="s">
        <v>41</v>
      </c>
      <c r="J5" s="29">
        <v>2019</v>
      </c>
      <c r="K5" s="30" t="s">
        <v>41</v>
      </c>
      <c r="L5" s="29">
        <v>2019</v>
      </c>
      <c r="M5" s="30" t="s">
        <v>41</v>
      </c>
      <c r="N5" s="29">
        <v>2019</v>
      </c>
      <c r="O5" s="30" t="s">
        <v>41</v>
      </c>
      <c r="P5" s="29">
        <v>2019</v>
      </c>
      <c r="Q5" s="30" t="s">
        <v>41</v>
      </c>
      <c r="R5" s="29">
        <v>2019</v>
      </c>
      <c r="S5" s="30" t="s">
        <v>41</v>
      </c>
      <c r="T5" s="29">
        <v>2019</v>
      </c>
      <c r="U5" s="30" t="s">
        <v>41</v>
      </c>
      <c r="V5" s="29">
        <v>2019</v>
      </c>
      <c r="W5" s="30" t="s">
        <v>41</v>
      </c>
      <c r="X5" s="29">
        <v>2019</v>
      </c>
      <c r="Y5" s="30" t="s">
        <v>41</v>
      </c>
      <c r="Z5" s="29">
        <v>2019</v>
      </c>
      <c r="AA5" s="30" t="s">
        <v>41</v>
      </c>
      <c r="AB5" s="29" t="s">
        <v>40</v>
      </c>
      <c r="AC5" s="30" t="s">
        <v>41</v>
      </c>
    </row>
    <row r="6" spans="1:29">
      <c r="B6" s="45"/>
      <c r="C6" s="54"/>
      <c r="D6" s="47"/>
      <c r="E6" s="32"/>
      <c r="F6" s="31"/>
      <c r="G6" s="32"/>
      <c r="H6" s="31"/>
      <c r="I6" s="32"/>
      <c r="J6" s="31"/>
      <c r="K6" s="32"/>
      <c r="L6" s="31"/>
      <c r="M6" s="32"/>
      <c r="N6" s="31"/>
      <c r="O6" s="32"/>
      <c r="P6" s="31"/>
      <c r="Q6" s="32"/>
      <c r="R6" s="31"/>
      <c r="S6" s="32"/>
      <c r="T6" s="31"/>
      <c r="U6" s="32"/>
      <c r="V6" s="31"/>
      <c r="W6" s="32"/>
      <c r="X6" s="31"/>
      <c r="Y6" s="32"/>
      <c r="Z6" s="31"/>
      <c r="AA6" s="32"/>
      <c r="AB6" s="31"/>
      <c r="AC6" s="32"/>
    </row>
    <row r="7" spans="1:29">
      <c r="B7" s="45">
        <v>1001</v>
      </c>
      <c r="C7" s="57" t="s">
        <v>103</v>
      </c>
      <c r="D7" s="47"/>
      <c r="E7" s="33"/>
      <c r="F7" s="31"/>
      <c r="G7" s="33"/>
      <c r="H7" s="31"/>
      <c r="I7" s="33"/>
      <c r="J7" s="31"/>
      <c r="K7" s="33"/>
      <c r="L7" s="31"/>
      <c r="M7" s="33"/>
      <c r="N7" s="31"/>
      <c r="O7" s="33"/>
      <c r="P7" s="31"/>
      <c r="Q7" s="33"/>
      <c r="R7" s="31"/>
      <c r="S7" s="33"/>
      <c r="T7" s="31"/>
      <c r="U7" s="33"/>
      <c r="V7" s="31"/>
      <c r="W7" s="33"/>
      <c r="X7" s="31"/>
      <c r="Y7" s="33"/>
      <c r="Z7" s="31"/>
      <c r="AA7" s="33"/>
      <c r="AB7" s="31"/>
      <c r="AC7" s="33"/>
    </row>
    <row r="8" spans="1:29">
      <c r="B8" s="45">
        <v>1001</v>
      </c>
      <c r="C8" s="63" t="s">
        <v>104</v>
      </c>
      <c r="D8" s="47">
        <f>-SUMIFS('Data Sheet Actuals'!$D:$D,'Data Sheet Actuals'!$C:$C,Unit!$B8,'Data Sheet Actuals'!$B:$B,Unit!$D$3,'Data Sheet Actuals'!$A:$A,Unit!D$4)</f>
        <v>17848.560000000001</v>
      </c>
      <c r="E8" s="34" t="str">
        <f>IFERROR(D8/#REF!,"")</f>
        <v/>
      </c>
      <c r="F8" s="47">
        <f>-SUMIFS('Data Sheet Actuals'!$D:$D,'Data Sheet Actuals'!$C:$C,Unit!$B8,'Data Sheet Actuals'!$B:$B,Unit!$D$3,'Data Sheet Actuals'!$A:$A,Unit!F$4)</f>
        <v>18705.419999999998</v>
      </c>
      <c r="G8" s="34" t="str">
        <f>IFERROR(F8/#REF!,"")</f>
        <v/>
      </c>
      <c r="H8" s="47">
        <f>-SUMIFS('Data Sheet Actuals'!$D:$D,'Data Sheet Actuals'!$C:$C,Unit!$B8,'Data Sheet Actuals'!$B:$B,Unit!$D$3,'Data Sheet Actuals'!$A:$A,Unit!H$4)</f>
        <v>16520.439999999999</v>
      </c>
      <c r="I8" s="34" t="str">
        <f>IFERROR(H8/#REF!,"")</f>
        <v/>
      </c>
      <c r="J8" s="47">
        <f>-SUMIFS('Data Sheet Actuals'!$D:$D,'Data Sheet Actuals'!$C:$C,Unit!$B8,'Data Sheet Actuals'!$B:$B,Unit!$D$3,'Data Sheet Actuals'!$A:$A,Unit!J$4)</f>
        <v>16067.57</v>
      </c>
      <c r="K8" s="34" t="str">
        <f>IFERROR(J8/#REF!,"")</f>
        <v/>
      </c>
      <c r="L8" s="47">
        <f>-SUMIFS('Data Sheet Actuals'!$D:$D,'Data Sheet Actuals'!$C:$C,Unit!$B8,'Data Sheet Actuals'!$B:$B,Unit!$D$3,'Data Sheet Actuals'!$A:$A,Unit!L$4)</f>
        <v>14866.71</v>
      </c>
      <c r="M8" s="34" t="str">
        <f>IFERROR(L8/#REF!,"")</f>
        <v/>
      </c>
      <c r="N8" s="47">
        <f>-SUMIFS('Data Sheet Actuals'!$D:$D,'Data Sheet Actuals'!$C:$C,Unit!$B8,'Data Sheet Actuals'!$B:$B,Unit!$D$3,'Data Sheet Actuals'!$A:$A,Unit!N$4)</f>
        <v>17015.080000000002</v>
      </c>
      <c r="O8" s="34" t="str">
        <f>IFERROR(N8/#REF!,"")</f>
        <v/>
      </c>
      <c r="P8" s="47">
        <f>-SUMIFS('Data Sheet Actuals'!$D:$D,'Data Sheet Actuals'!$C:$C,Unit!$B8,'Data Sheet Actuals'!$B:$B,Unit!$D$3,'Data Sheet Actuals'!$A:$A,Unit!P$4)</f>
        <v>17848.560000000001</v>
      </c>
      <c r="Q8" s="34" t="str">
        <f>IFERROR(P8/#REF!,"")</f>
        <v/>
      </c>
      <c r="R8" s="47">
        <f>-SUMIFS('Data Sheet Actuals'!$D:$D,'Data Sheet Actuals'!$C:$C,Unit!$B8,'Data Sheet Actuals'!$B:$B,Unit!$D$3,'Data Sheet Actuals'!$A:$A,Unit!R$4)</f>
        <v>18705.419999999998</v>
      </c>
      <c r="S8" s="34" t="str">
        <f>IFERROR(R8/#REF!,"")</f>
        <v/>
      </c>
      <c r="T8" s="47">
        <f>-SUMIFS('Data Sheet Actuals'!$D:$D,'Data Sheet Actuals'!$C:$C,Unit!$B8,'Data Sheet Actuals'!$B:$B,Unit!$D$3,'Data Sheet Actuals'!$A:$A,Unit!T$4)</f>
        <v>16520.439999999999</v>
      </c>
      <c r="U8" s="34" t="str">
        <f>IFERROR(T8/#REF!,"")</f>
        <v/>
      </c>
      <c r="V8" s="47">
        <f>-SUMIFS('Data Sheet Actuals'!$D:$D,'Data Sheet Actuals'!$C:$C,Unit!$B8,'Data Sheet Actuals'!$B:$B,Unit!$D$3,'Data Sheet Actuals'!$A:$A,Unit!V$4)</f>
        <v>16067.57</v>
      </c>
      <c r="W8" s="34" t="str">
        <f>IFERROR(V8/#REF!,"")</f>
        <v/>
      </c>
      <c r="X8" s="47">
        <f>-SUMIFS('Data Sheet Actuals'!$D:$D,'Data Sheet Actuals'!$C:$C,Unit!$B8,'Data Sheet Actuals'!$B:$B,Unit!$D$3,'Data Sheet Actuals'!$A:$A,Unit!X$4)</f>
        <v>14866.71</v>
      </c>
      <c r="Y8" s="34" t="str">
        <f>IFERROR(X8/#REF!,"")</f>
        <v/>
      </c>
      <c r="Z8" s="47">
        <f>-SUMIFS('Data Sheet Actuals'!$D:$D,'Data Sheet Actuals'!$C:$C,Unit!$B8,'Data Sheet Actuals'!$B:$B,Unit!$D$3,'Data Sheet Actuals'!$A:$A,Unit!Z$4)</f>
        <v>16487.36</v>
      </c>
      <c r="AA8" s="34" t="str">
        <f>IFERROR(Z8/#REF!,"")</f>
        <v/>
      </c>
      <c r="AB8" s="31">
        <f t="shared" ref="AB8:AB12" si="0">SUM(D8,F8,H8,J8,L8,N8,P8,R8,T8,V8,X8,Z8)</f>
        <v>201519.83999999997</v>
      </c>
      <c r="AC8" s="34" t="str">
        <f>IFERROR(AB8/#REF!,"")</f>
        <v/>
      </c>
    </row>
    <row r="9" spans="1:29">
      <c r="B9" s="45">
        <v>1002</v>
      </c>
      <c r="C9" s="63" t="s">
        <v>105</v>
      </c>
      <c r="D9" s="47">
        <f>-SUMIFS('Data Sheet Actuals'!$D:$D,'Data Sheet Actuals'!$C:$C,Unit!$B9,'Data Sheet Actuals'!$B:$B,Unit!$D$3,'Data Sheet Actuals'!$A:$A,Unit!D$4)</f>
        <v>15171.28</v>
      </c>
      <c r="E9" s="34" t="str">
        <f>IFERROR(D9/#REF!,"")</f>
        <v/>
      </c>
      <c r="F9" s="47">
        <f>-SUMIFS('Data Sheet Actuals'!$D:$D,'Data Sheet Actuals'!$C:$C,Unit!$B9,'Data Sheet Actuals'!$B:$B,Unit!$D$3,'Data Sheet Actuals'!$A:$A,Unit!F$4)</f>
        <v>15899.6</v>
      </c>
      <c r="G9" s="34" t="str">
        <f>IFERROR(F9/#REF!,"")</f>
        <v/>
      </c>
      <c r="H9" s="47">
        <f>-SUMIFS('Data Sheet Actuals'!$D:$D,'Data Sheet Actuals'!$C:$C,Unit!$B9,'Data Sheet Actuals'!$B:$B,Unit!$D$3,'Data Sheet Actuals'!$A:$A,Unit!H$4)</f>
        <v>14042.38</v>
      </c>
      <c r="I9" s="34" t="str">
        <f>IFERROR(H9/#REF!,"")</f>
        <v/>
      </c>
      <c r="J9" s="47">
        <f>-SUMIFS('Data Sheet Actuals'!$D:$D,'Data Sheet Actuals'!$C:$C,Unit!$B9,'Data Sheet Actuals'!$B:$B,Unit!$D$3,'Data Sheet Actuals'!$A:$A,Unit!J$4)</f>
        <v>13657.44</v>
      </c>
      <c r="K9" s="34" t="str">
        <f>IFERROR(J9/#REF!,"")</f>
        <v/>
      </c>
      <c r="L9" s="47">
        <f>-SUMIFS('Data Sheet Actuals'!$D:$D,'Data Sheet Actuals'!$C:$C,Unit!$B9,'Data Sheet Actuals'!$B:$B,Unit!$D$3,'Data Sheet Actuals'!$A:$A,Unit!L$4)</f>
        <v>12636.7</v>
      </c>
      <c r="M9" s="34" t="str">
        <f>IFERROR(L9/#REF!,"")</f>
        <v/>
      </c>
      <c r="N9" s="47">
        <f>-SUMIFS('Data Sheet Actuals'!$D:$D,'Data Sheet Actuals'!$C:$C,Unit!$B9,'Data Sheet Actuals'!$B:$B,Unit!$D$3,'Data Sheet Actuals'!$A:$A,Unit!N$4)</f>
        <v>14462.81</v>
      </c>
      <c r="O9" s="34" t="str">
        <f>IFERROR(N9/#REF!,"")</f>
        <v/>
      </c>
      <c r="P9" s="47">
        <f>-SUMIFS('Data Sheet Actuals'!$D:$D,'Data Sheet Actuals'!$C:$C,Unit!$B9,'Data Sheet Actuals'!$B:$B,Unit!$D$3,'Data Sheet Actuals'!$A:$A,Unit!P$4)</f>
        <v>15171.28</v>
      </c>
      <c r="Q9" s="34" t="str">
        <f>IFERROR(P9/#REF!,"")</f>
        <v/>
      </c>
      <c r="R9" s="47">
        <f>-SUMIFS('Data Sheet Actuals'!$D:$D,'Data Sheet Actuals'!$C:$C,Unit!$B9,'Data Sheet Actuals'!$B:$B,Unit!$D$3,'Data Sheet Actuals'!$A:$A,Unit!R$4)</f>
        <v>15899.6</v>
      </c>
      <c r="S9" s="34" t="str">
        <f>IFERROR(R9/#REF!,"")</f>
        <v/>
      </c>
      <c r="T9" s="47">
        <f>-SUMIFS('Data Sheet Actuals'!$D:$D,'Data Sheet Actuals'!$C:$C,Unit!$B9,'Data Sheet Actuals'!$B:$B,Unit!$D$3,'Data Sheet Actuals'!$A:$A,Unit!T$4)</f>
        <v>14042.38</v>
      </c>
      <c r="U9" s="34" t="str">
        <f>IFERROR(T9/#REF!,"")</f>
        <v/>
      </c>
      <c r="V9" s="47">
        <f>-SUMIFS('Data Sheet Actuals'!$D:$D,'Data Sheet Actuals'!$C:$C,Unit!$B9,'Data Sheet Actuals'!$B:$B,Unit!$D$3,'Data Sheet Actuals'!$A:$A,Unit!V$4)</f>
        <v>13657.44</v>
      </c>
      <c r="W9" s="34" t="str">
        <f>IFERROR(V9/#REF!,"")</f>
        <v/>
      </c>
      <c r="X9" s="47">
        <f>-SUMIFS('Data Sheet Actuals'!$D:$D,'Data Sheet Actuals'!$C:$C,Unit!$B9,'Data Sheet Actuals'!$B:$B,Unit!$D$3,'Data Sheet Actuals'!$A:$A,Unit!X$4)</f>
        <v>12636.7</v>
      </c>
      <c r="Y9" s="34" t="str">
        <f>IFERROR(X9/#REF!,"")</f>
        <v/>
      </c>
      <c r="Z9" s="47">
        <f>-SUMIFS('Data Sheet Actuals'!$D:$D,'Data Sheet Actuals'!$C:$C,Unit!$B9,'Data Sheet Actuals'!$B:$B,Unit!$D$3,'Data Sheet Actuals'!$A:$A,Unit!Z$4)</f>
        <v>14014.26</v>
      </c>
      <c r="AA9" s="34" t="str">
        <f>IFERROR(Z9/#REF!,"")</f>
        <v/>
      </c>
      <c r="AB9" s="31">
        <f t="shared" si="0"/>
        <v>171291.87000000002</v>
      </c>
      <c r="AC9" s="34" t="str">
        <f>IFERROR(AB9/#REF!,"")</f>
        <v/>
      </c>
    </row>
    <row r="10" spans="1:29">
      <c r="B10" s="45">
        <v>1003</v>
      </c>
      <c r="C10" s="63" t="s">
        <v>106</v>
      </c>
      <c r="D10" s="47">
        <f>-SUMIFS('Data Sheet Actuals'!$D:$D,'Data Sheet Actuals'!$C:$C,Unit!$B10,'Data Sheet Actuals'!$B:$B,Unit!$D$3,'Data Sheet Actuals'!$A:$A,Unit!D$4)</f>
        <v>12895.58</v>
      </c>
      <c r="E10" s="34" t="str">
        <f>IFERROR(D10/#REF!,"")</f>
        <v/>
      </c>
      <c r="F10" s="47">
        <f>-SUMIFS('Data Sheet Actuals'!$D:$D,'Data Sheet Actuals'!$C:$C,Unit!$B10,'Data Sheet Actuals'!$B:$B,Unit!$D$3,'Data Sheet Actuals'!$A:$A,Unit!F$4)</f>
        <v>13514.66</v>
      </c>
      <c r="G10" s="34" t="str">
        <f>IFERROR(F10/#REF!,"")</f>
        <v/>
      </c>
      <c r="H10" s="47">
        <f>-SUMIFS('Data Sheet Actuals'!$D:$D,'Data Sheet Actuals'!$C:$C,Unit!$B10,'Data Sheet Actuals'!$B:$B,Unit!$D$3,'Data Sheet Actuals'!$A:$A,Unit!H$4)</f>
        <v>11936.02</v>
      </c>
      <c r="I10" s="34" t="str">
        <f>IFERROR(H10/#REF!,"")</f>
        <v/>
      </c>
      <c r="J10" s="47">
        <f>-SUMIFS('Data Sheet Actuals'!$D:$D,'Data Sheet Actuals'!$C:$C,Unit!$B10,'Data Sheet Actuals'!$B:$B,Unit!$D$3,'Data Sheet Actuals'!$A:$A,Unit!J$4)</f>
        <v>11608.82</v>
      </c>
      <c r="K10" s="34" t="str">
        <f>IFERROR(J10/#REF!,"")</f>
        <v/>
      </c>
      <c r="L10" s="47">
        <f>-SUMIFS('Data Sheet Actuals'!$D:$D,'Data Sheet Actuals'!$C:$C,Unit!$B10,'Data Sheet Actuals'!$B:$B,Unit!$D$3,'Data Sheet Actuals'!$A:$A,Unit!L$4)</f>
        <v>10741.19</v>
      </c>
      <c r="M10" s="34" t="str">
        <f>IFERROR(L10/#REF!,"")</f>
        <v/>
      </c>
      <c r="N10" s="47">
        <f>-SUMIFS('Data Sheet Actuals'!$D:$D,'Data Sheet Actuals'!$C:$C,Unit!$B10,'Data Sheet Actuals'!$B:$B,Unit!$D$3,'Data Sheet Actuals'!$A:$A,Unit!N$4)</f>
        <v>12293.39</v>
      </c>
      <c r="O10" s="34" t="str">
        <f>IFERROR(N10/#REF!,"")</f>
        <v/>
      </c>
      <c r="P10" s="47">
        <f>-SUMIFS('Data Sheet Actuals'!$D:$D,'Data Sheet Actuals'!$C:$C,Unit!$B10,'Data Sheet Actuals'!$B:$B,Unit!$D$3,'Data Sheet Actuals'!$A:$A,Unit!P$4)</f>
        <v>12895.58</v>
      </c>
      <c r="Q10" s="34" t="str">
        <f>IFERROR(P10/#REF!,"")</f>
        <v/>
      </c>
      <c r="R10" s="47">
        <f>-SUMIFS('Data Sheet Actuals'!$D:$D,'Data Sheet Actuals'!$C:$C,Unit!$B10,'Data Sheet Actuals'!$B:$B,Unit!$D$3,'Data Sheet Actuals'!$A:$A,Unit!R$4)</f>
        <v>13514.66</v>
      </c>
      <c r="S10" s="34" t="str">
        <f>IFERROR(R10/#REF!,"")</f>
        <v/>
      </c>
      <c r="T10" s="47">
        <f>-SUMIFS('Data Sheet Actuals'!$D:$D,'Data Sheet Actuals'!$C:$C,Unit!$B10,'Data Sheet Actuals'!$B:$B,Unit!$D$3,'Data Sheet Actuals'!$A:$A,Unit!T$4)</f>
        <v>11936.02</v>
      </c>
      <c r="U10" s="34" t="str">
        <f>IFERROR(T10/#REF!,"")</f>
        <v/>
      </c>
      <c r="V10" s="47">
        <f>-SUMIFS('Data Sheet Actuals'!$D:$D,'Data Sheet Actuals'!$C:$C,Unit!$B10,'Data Sheet Actuals'!$B:$B,Unit!$D$3,'Data Sheet Actuals'!$A:$A,Unit!V$4)</f>
        <v>11608.82</v>
      </c>
      <c r="W10" s="34" t="str">
        <f>IFERROR(V10/#REF!,"")</f>
        <v/>
      </c>
      <c r="X10" s="47">
        <f>-SUMIFS('Data Sheet Actuals'!$D:$D,'Data Sheet Actuals'!$C:$C,Unit!$B10,'Data Sheet Actuals'!$B:$B,Unit!$D$3,'Data Sheet Actuals'!$A:$A,Unit!X$4)</f>
        <v>10741.19</v>
      </c>
      <c r="Y10" s="34" t="str">
        <f>IFERROR(X10/#REF!,"")</f>
        <v/>
      </c>
      <c r="Z10" s="47">
        <f>-SUMIFS('Data Sheet Actuals'!$D:$D,'Data Sheet Actuals'!$C:$C,Unit!$B10,'Data Sheet Actuals'!$B:$B,Unit!$D$3,'Data Sheet Actuals'!$A:$A,Unit!Z$4)</f>
        <v>11912.12</v>
      </c>
      <c r="AA10" s="34" t="str">
        <f>IFERROR(Z10/#REF!,"")</f>
        <v/>
      </c>
      <c r="AB10" s="31">
        <f t="shared" si="0"/>
        <v>145598.05000000002</v>
      </c>
      <c r="AC10" s="34" t="str">
        <f>IFERROR(AB10/#REF!,"")</f>
        <v/>
      </c>
    </row>
    <row r="11" spans="1:29">
      <c r="B11" s="45">
        <v>1004</v>
      </c>
      <c r="C11" s="63" t="s">
        <v>107</v>
      </c>
      <c r="D11" s="47">
        <f>-SUMIFS('Data Sheet Actuals'!$D:$D,'Data Sheet Actuals'!$C:$C,Unit!$B11,'Data Sheet Actuals'!$B:$B,Unit!$D$3,'Data Sheet Actuals'!$A:$A,Unit!D$4)</f>
        <v>10961.25</v>
      </c>
      <c r="E11" s="34" t="str">
        <f>IFERROR(D11/#REF!,"")</f>
        <v/>
      </c>
      <c r="F11" s="47">
        <f>-SUMIFS('Data Sheet Actuals'!$D:$D,'Data Sheet Actuals'!$C:$C,Unit!$B11,'Data Sheet Actuals'!$B:$B,Unit!$D$3,'Data Sheet Actuals'!$A:$A,Unit!F$4)</f>
        <v>11487.46</v>
      </c>
      <c r="G11" s="34" t="str">
        <f>IFERROR(F11/#REF!,"")</f>
        <v/>
      </c>
      <c r="H11" s="47">
        <f>-SUMIFS('Data Sheet Actuals'!$D:$D,'Data Sheet Actuals'!$C:$C,Unit!$B11,'Data Sheet Actuals'!$B:$B,Unit!$D$3,'Data Sheet Actuals'!$A:$A,Unit!H$4)</f>
        <v>10145.620000000001</v>
      </c>
      <c r="I11" s="34" t="str">
        <f>IFERROR(H11/#REF!,"")</f>
        <v/>
      </c>
      <c r="J11" s="47">
        <f>-SUMIFS('Data Sheet Actuals'!$D:$D,'Data Sheet Actuals'!$C:$C,Unit!$B11,'Data Sheet Actuals'!$B:$B,Unit!$D$3,'Data Sheet Actuals'!$A:$A,Unit!J$4)</f>
        <v>9867.5</v>
      </c>
      <c r="K11" s="34" t="str">
        <f>IFERROR(J11/#REF!,"")</f>
        <v/>
      </c>
      <c r="L11" s="47">
        <f>-SUMIFS('Data Sheet Actuals'!$D:$D,'Data Sheet Actuals'!$C:$C,Unit!$B11,'Data Sheet Actuals'!$B:$B,Unit!$D$3,'Data Sheet Actuals'!$A:$A,Unit!L$4)</f>
        <v>9130.02</v>
      </c>
      <c r="M11" s="34" t="str">
        <f>IFERROR(L11/#REF!,"")</f>
        <v/>
      </c>
      <c r="N11" s="47">
        <f>-SUMIFS('Data Sheet Actuals'!$D:$D,'Data Sheet Actuals'!$C:$C,Unit!$B11,'Data Sheet Actuals'!$B:$B,Unit!$D$3,'Data Sheet Actuals'!$A:$A,Unit!N$4)</f>
        <v>10449.379999999999</v>
      </c>
      <c r="O11" s="34" t="str">
        <f>IFERROR(N11/#REF!,"")</f>
        <v/>
      </c>
      <c r="P11" s="47">
        <f>-SUMIFS('Data Sheet Actuals'!$D:$D,'Data Sheet Actuals'!$C:$C,Unit!$B11,'Data Sheet Actuals'!$B:$B,Unit!$D$3,'Data Sheet Actuals'!$A:$A,Unit!P$4)</f>
        <v>10961.25</v>
      </c>
      <c r="Q11" s="34" t="str">
        <f>IFERROR(P11/#REF!,"")</f>
        <v/>
      </c>
      <c r="R11" s="47">
        <f>-SUMIFS('Data Sheet Actuals'!$D:$D,'Data Sheet Actuals'!$C:$C,Unit!$B11,'Data Sheet Actuals'!$B:$B,Unit!$D$3,'Data Sheet Actuals'!$A:$A,Unit!R$4)</f>
        <v>11487.46</v>
      </c>
      <c r="S11" s="34" t="str">
        <f>IFERROR(R11/#REF!,"")</f>
        <v/>
      </c>
      <c r="T11" s="47">
        <f>-SUMIFS('Data Sheet Actuals'!$D:$D,'Data Sheet Actuals'!$C:$C,Unit!$B11,'Data Sheet Actuals'!$B:$B,Unit!$D$3,'Data Sheet Actuals'!$A:$A,Unit!T$4)</f>
        <v>10145.620000000001</v>
      </c>
      <c r="U11" s="34" t="str">
        <f>IFERROR(T11/#REF!,"")</f>
        <v/>
      </c>
      <c r="V11" s="47">
        <f>-SUMIFS('Data Sheet Actuals'!$D:$D,'Data Sheet Actuals'!$C:$C,Unit!$B11,'Data Sheet Actuals'!$B:$B,Unit!$D$3,'Data Sheet Actuals'!$A:$A,Unit!V$4)</f>
        <v>9867.5</v>
      </c>
      <c r="W11" s="34" t="str">
        <f>IFERROR(V11/#REF!,"")</f>
        <v/>
      </c>
      <c r="X11" s="47">
        <f>-SUMIFS('Data Sheet Actuals'!$D:$D,'Data Sheet Actuals'!$C:$C,Unit!$B11,'Data Sheet Actuals'!$B:$B,Unit!$D$3,'Data Sheet Actuals'!$A:$A,Unit!X$4)</f>
        <v>9130.02</v>
      </c>
      <c r="Y11" s="34" t="str">
        <f>IFERROR(X11/#REF!,"")</f>
        <v/>
      </c>
      <c r="Z11" s="47">
        <f>-SUMIFS('Data Sheet Actuals'!$D:$D,'Data Sheet Actuals'!$C:$C,Unit!$B11,'Data Sheet Actuals'!$B:$B,Unit!$D$3,'Data Sheet Actuals'!$A:$A,Unit!Z$4)</f>
        <v>10125.299999999999</v>
      </c>
      <c r="AA11" s="34" t="str">
        <f>IFERROR(Z11/#REF!,"")</f>
        <v/>
      </c>
      <c r="AB11" s="31">
        <f t="shared" si="0"/>
        <v>123758.38</v>
      </c>
      <c r="AC11" s="34" t="str">
        <f>IFERROR(AB11/#REF!,"")</f>
        <v/>
      </c>
    </row>
    <row r="12" spans="1:29">
      <c r="B12" s="45">
        <v>1005</v>
      </c>
      <c r="C12" s="63" t="s">
        <v>108</v>
      </c>
      <c r="D12" s="47">
        <f>-SUMIFS('Data Sheet Actuals'!$D:$D,'Data Sheet Actuals'!$C:$C,Unit!$B12,'Data Sheet Actuals'!$B:$B,Unit!$D$3,'Data Sheet Actuals'!$A:$A,Unit!D$4)</f>
        <v>1644.19</v>
      </c>
      <c r="E12" s="34" t="str">
        <f>IFERROR(D12/#REF!,"")</f>
        <v/>
      </c>
      <c r="F12" s="47">
        <f>-SUMIFS('Data Sheet Actuals'!$D:$D,'Data Sheet Actuals'!$C:$C,Unit!$B12,'Data Sheet Actuals'!$B:$B,Unit!$D$3,'Data Sheet Actuals'!$A:$A,Unit!F$4)</f>
        <v>1723.12</v>
      </c>
      <c r="G12" s="34" t="str">
        <f>IFERROR(F12/#REF!,"")</f>
        <v/>
      </c>
      <c r="H12" s="47">
        <f>-SUMIFS('Data Sheet Actuals'!$D:$D,'Data Sheet Actuals'!$C:$C,Unit!$B12,'Data Sheet Actuals'!$B:$B,Unit!$D$3,'Data Sheet Actuals'!$A:$A,Unit!H$4)</f>
        <v>1521.84</v>
      </c>
      <c r="I12" s="34" t="str">
        <f>IFERROR(H12/#REF!,"")</f>
        <v/>
      </c>
      <c r="J12" s="47">
        <f>-SUMIFS('Data Sheet Actuals'!$D:$D,'Data Sheet Actuals'!$C:$C,Unit!$B12,'Data Sheet Actuals'!$B:$B,Unit!$D$3,'Data Sheet Actuals'!$A:$A,Unit!J$4)</f>
        <v>1480.12</v>
      </c>
      <c r="K12" s="34" t="str">
        <f>IFERROR(J12/#REF!,"")</f>
        <v/>
      </c>
      <c r="L12" s="47">
        <f>-SUMIFS('Data Sheet Actuals'!$D:$D,'Data Sheet Actuals'!$C:$C,Unit!$B12,'Data Sheet Actuals'!$B:$B,Unit!$D$3,'Data Sheet Actuals'!$A:$A,Unit!L$4)</f>
        <v>1369.5</v>
      </c>
      <c r="M12" s="34" t="str">
        <f>IFERROR(L12/#REF!,"")</f>
        <v/>
      </c>
      <c r="N12" s="47">
        <f>-SUMIFS('Data Sheet Actuals'!$D:$D,'Data Sheet Actuals'!$C:$C,Unit!$B12,'Data Sheet Actuals'!$B:$B,Unit!$D$3,'Data Sheet Actuals'!$A:$A,Unit!N$4)</f>
        <v>1567.41</v>
      </c>
      <c r="O12" s="34" t="str">
        <f>IFERROR(N12/#REF!,"")</f>
        <v/>
      </c>
      <c r="P12" s="47">
        <f>-SUMIFS('Data Sheet Actuals'!$D:$D,'Data Sheet Actuals'!$C:$C,Unit!$B12,'Data Sheet Actuals'!$B:$B,Unit!$D$3,'Data Sheet Actuals'!$A:$A,Unit!P$4)</f>
        <v>1644.19</v>
      </c>
      <c r="Q12" s="34" t="str">
        <f>IFERROR(P12/#REF!,"")</f>
        <v/>
      </c>
      <c r="R12" s="47">
        <f>-SUMIFS('Data Sheet Actuals'!$D:$D,'Data Sheet Actuals'!$C:$C,Unit!$B12,'Data Sheet Actuals'!$B:$B,Unit!$D$3,'Data Sheet Actuals'!$A:$A,Unit!R$4)</f>
        <v>1723.12</v>
      </c>
      <c r="S12" s="34" t="str">
        <f>IFERROR(R12/#REF!,"")</f>
        <v/>
      </c>
      <c r="T12" s="47">
        <f>-SUMIFS('Data Sheet Actuals'!$D:$D,'Data Sheet Actuals'!$C:$C,Unit!$B12,'Data Sheet Actuals'!$B:$B,Unit!$D$3,'Data Sheet Actuals'!$A:$A,Unit!T$4)</f>
        <v>1521.84</v>
      </c>
      <c r="U12" s="34" t="str">
        <f>IFERROR(T12/#REF!,"")</f>
        <v/>
      </c>
      <c r="V12" s="47">
        <f>-SUMIFS('Data Sheet Actuals'!$D:$D,'Data Sheet Actuals'!$C:$C,Unit!$B12,'Data Sheet Actuals'!$B:$B,Unit!$D$3,'Data Sheet Actuals'!$A:$A,Unit!V$4)</f>
        <v>1480.12</v>
      </c>
      <c r="W12" s="34" t="str">
        <f>IFERROR(V12/#REF!,"")</f>
        <v/>
      </c>
      <c r="X12" s="47">
        <f>-SUMIFS('Data Sheet Actuals'!$D:$D,'Data Sheet Actuals'!$C:$C,Unit!$B12,'Data Sheet Actuals'!$B:$B,Unit!$D$3,'Data Sheet Actuals'!$A:$A,Unit!X$4)</f>
        <v>1369.5</v>
      </c>
      <c r="Y12" s="34" t="str">
        <f>IFERROR(X12/#REF!,"")</f>
        <v/>
      </c>
      <c r="Z12" s="47">
        <f>-SUMIFS('Data Sheet Actuals'!$D:$D,'Data Sheet Actuals'!$C:$C,Unit!$B12,'Data Sheet Actuals'!$B:$B,Unit!$D$3,'Data Sheet Actuals'!$A:$A,Unit!Z$4)</f>
        <v>1518.79</v>
      </c>
      <c r="AA12" s="34" t="str">
        <f>IFERROR(Z12/#REF!,"")</f>
        <v/>
      </c>
      <c r="AB12" s="31">
        <f t="shared" si="0"/>
        <v>18563.740000000002</v>
      </c>
      <c r="AC12" s="34" t="str">
        <f>IFERROR(AB12/#REF!,"")</f>
        <v/>
      </c>
    </row>
    <row r="13" spans="1:29">
      <c r="B13" s="45"/>
      <c r="C13" s="54"/>
      <c r="D13" s="48" t="s">
        <v>42</v>
      </c>
      <c r="E13" s="36" t="s">
        <v>42</v>
      </c>
      <c r="F13" s="35" t="s">
        <v>42</v>
      </c>
      <c r="G13" s="36" t="s">
        <v>42</v>
      </c>
      <c r="H13" s="35" t="s">
        <v>42</v>
      </c>
      <c r="I13" s="36" t="s">
        <v>42</v>
      </c>
      <c r="J13" s="35" t="s">
        <v>42</v>
      </c>
      <c r="K13" s="36" t="s">
        <v>42</v>
      </c>
      <c r="L13" s="35" t="s">
        <v>42</v>
      </c>
      <c r="M13" s="36" t="s">
        <v>42</v>
      </c>
      <c r="N13" s="35" t="s">
        <v>42</v>
      </c>
      <c r="O13" s="36" t="s">
        <v>42</v>
      </c>
      <c r="P13" s="35" t="s">
        <v>42</v>
      </c>
      <c r="Q13" s="36" t="s">
        <v>42</v>
      </c>
      <c r="R13" s="35" t="s">
        <v>42</v>
      </c>
      <c r="S13" s="36" t="s">
        <v>42</v>
      </c>
      <c r="T13" s="35" t="s">
        <v>42</v>
      </c>
      <c r="U13" s="36" t="s">
        <v>42</v>
      </c>
      <c r="V13" s="35" t="s">
        <v>42</v>
      </c>
      <c r="W13" s="36" t="s">
        <v>42</v>
      </c>
      <c r="X13" s="35" t="s">
        <v>42</v>
      </c>
      <c r="Y13" s="36" t="s">
        <v>42</v>
      </c>
      <c r="Z13" s="35" t="s">
        <v>42</v>
      </c>
      <c r="AA13" s="36" t="s">
        <v>42</v>
      </c>
      <c r="AB13" s="35" t="s">
        <v>42</v>
      </c>
      <c r="AC13" s="36" t="s">
        <v>42</v>
      </c>
    </row>
    <row r="14" spans="1:29">
      <c r="B14" s="45"/>
      <c r="C14" s="57" t="s">
        <v>43</v>
      </c>
      <c r="D14" s="64">
        <f>SUM(D8:D13)</f>
        <v>58520.860000000008</v>
      </c>
      <c r="E14" s="65" t="str">
        <f>IFERROR(D14/#REF!,"")</f>
        <v/>
      </c>
      <c r="F14" s="64">
        <f>SUM(F8:F13)</f>
        <v>61330.259999999995</v>
      </c>
      <c r="G14" s="65" t="str">
        <f>IFERROR(F14/#REF!,"")</f>
        <v/>
      </c>
      <c r="H14" s="64">
        <f>SUM(H8:H13)</f>
        <v>54166.299999999996</v>
      </c>
      <c r="I14" s="65" t="str">
        <f>IFERROR(H14/#REF!,"")</f>
        <v/>
      </c>
      <c r="J14" s="64">
        <f>SUM(J8:J13)</f>
        <v>52681.450000000004</v>
      </c>
      <c r="K14" s="65" t="str">
        <f>IFERROR(J14/#REF!,"")</f>
        <v/>
      </c>
      <c r="L14" s="64">
        <f>SUM(L8:L13)</f>
        <v>48744.119999999995</v>
      </c>
      <c r="M14" s="65" t="str">
        <f>IFERROR(L14/#REF!,"")</f>
        <v/>
      </c>
      <c r="N14" s="64">
        <f>SUM(N8:N13)</f>
        <v>55788.07</v>
      </c>
      <c r="O14" s="65" t="str">
        <f>IFERROR(N14/#REF!,"")</f>
        <v/>
      </c>
      <c r="P14" s="64">
        <f>SUM(P8:P13)</f>
        <v>58520.860000000008</v>
      </c>
      <c r="Q14" s="65" t="str">
        <f>IFERROR(P14/#REF!,"")</f>
        <v/>
      </c>
      <c r="R14" s="64">
        <f>SUM(R8:R13)</f>
        <v>61330.259999999995</v>
      </c>
      <c r="S14" s="65" t="str">
        <f>IFERROR(R14/#REF!,"")</f>
        <v/>
      </c>
      <c r="T14" s="64">
        <f>SUM(T8:T13)</f>
        <v>54166.299999999996</v>
      </c>
      <c r="U14" s="65" t="str">
        <f>IFERROR(T14/#REF!,"")</f>
        <v/>
      </c>
      <c r="V14" s="64">
        <f>SUM(V8:V13)</f>
        <v>52681.450000000004</v>
      </c>
      <c r="W14" s="65" t="str">
        <f>IFERROR(V14/#REF!,"")</f>
        <v/>
      </c>
      <c r="X14" s="64">
        <f>SUM(X8:X13)</f>
        <v>48744.119999999995</v>
      </c>
      <c r="Y14" s="65" t="str">
        <f>IFERROR(X14/#REF!,"")</f>
        <v/>
      </c>
      <c r="Z14" s="64">
        <f>SUM(Z8:Z13)</f>
        <v>54057.830000000009</v>
      </c>
      <c r="AA14" s="65" t="str">
        <f>IFERROR(Z14/#REF!,"")</f>
        <v/>
      </c>
      <c r="AB14" s="64">
        <f>SUM(AB8:AB13)</f>
        <v>660731.88</v>
      </c>
      <c r="AC14" s="65" t="str">
        <f>IFERROR(AB14/#REF!,"")</f>
        <v/>
      </c>
    </row>
    <row r="15" spans="1:29">
      <c r="B15" s="45"/>
      <c r="C15" s="54"/>
      <c r="D15" s="48" t="s">
        <v>42</v>
      </c>
      <c r="E15" s="36" t="s">
        <v>42</v>
      </c>
      <c r="F15" s="35" t="s">
        <v>42</v>
      </c>
      <c r="G15" s="36" t="s">
        <v>42</v>
      </c>
      <c r="H15" s="35" t="s">
        <v>42</v>
      </c>
      <c r="I15" s="36" t="s">
        <v>42</v>
      </c>
      <c r="J15" s="35" t="s">
        <v>42</v>
      </c>
      <c r="K15" s="36" t="s">
        <v>42</v>
      </c>
      <c r="L15" s="35" t="s">
        <v>42</v>
      </c>
      <c r="M15" s="36" t="s">
        <v>42</v>
      </c>
      <c r="N15" s="35" t="s">
        <v>42</v>
      </c>
      <c r="O15" s="36" t="s">
        <v>42</v>
      </c>
      <c r="P15" s="35" t="s">
        <v>42</v>
      </c>
      <c r="Q15" s="36" t="s">
        <v>42</v>
      </c>
      <c r="R15" s="35" t="s">
        <v>42</v>
      </c>
      <c r="S15" s="36" t="s">
        <v>42</v>
      </c>
      <c r="T15" s="35" t="s">
        <v>42</v>
      </c>
      <c r="U15" s="36" t="s">
        <v>42</v>
      </c>
      <c r="V15" s="35" t="s">
        <v>42</v>
      </c>
      <c r="W15" s="36" t="s">
        <v>42</v>
      </c>
      <c r="X15" s="35" t="s">
        <v>42</v>
      </c>
      <c r="Y15" s="36" t="s">
        <v>42</v>
      </c>
      <c r="Z15" s="35" t="s">
        <v>42</v>
      </c>
      <c r="AA15" s="36" t="s">
        <v>42</v>
      </c>
      <c r="AB15" s="35" t="s">
        <v>42</v>
      </c>
      <c r="AC15" s="36" t="s">
        <v>42</v>
      </c>
    </row>
    <row r="16" spans="1:29">
      <c r="B16" s="45"/>
      <c r="C16" s="54"/>
      <c r="D16" s="47"/>
      <c r="E16" s="32"/>
      <c r="F16" s="31"/>
      <c r="G16" s="32"/>
      <c r="H16" s="31"/>
      <c r="I16" s="32"/>
      <c r="J16" s="31"/>
      <c r="K16" s="32"/>
      <c r="L16" s="31"/>
      <c r="M16" s="32"/>
      <c r="N16" s="31"/>
      <c r="O16" s="32"/>
      <c r="P16" s="31"/>
      <c r="Q16" s="32"/>
      <c r="R16" s="31"/>
      <c r="S16" s="32"/>
      <c r="T16" s="31"/>
      <c r="U16" s="32"/>
      <c r="V16" s="31"/>
      <c r="W16" s="32"/>
      <c r="X16" s="31"/>
      <c r="Y16" s="32"/>
      <c r="Z16" s="31"/>
      <c r="AA16" s="32"/>
      <c r="AB16" s="31"/>
      <c r="AC16" s="32"/>
    </row>
    <row r="17" spans="2:29">
      <c r="B17" s="45"/>
      <c r="C17" s="57" t="s">
        <v>44</v>
      </c>
      <c r="D17" s="47"/>
      <c r="E17" s="32"/>
      <c r="F17" s="31"/>
      <c r="G17" s="32"/>
      <c r="H17" s="31"/>
      <c r="I17" s="32"/>
      <c r="J17" s="31"/>
      <c r="K17" s="32"/>
      <c r="L17" s="31"/>
      <c r="M17" s="32"/>
      <c r="N17" s="31"/>
      <c r="O17" s="32"/>
      <c r="P17" s="31"/>
      <c r="Q17" s="32"/>
      <c r="R17" s="31"/>
      <c r="S17" s="32"/>
      <c r="T17" s="31"/>
      <c r="U17" s="32"/>
      <c r="V17" s="31"/>
      <c r="W17" s="32"/>
      <c r="X17" s="31"/>
      <c r="Y17" s="32"/>
      <c r="Z17" s="31"/>
      <c r="AA17" s="32"/>
      <c r="AB17" s="31"/>
      <c r="AC17" s="32"/>
    </row>
    <row r="18" spans="2:29">
      <c r="B18" s="45">
        <v>2001</v>
      </c>
      <c r="C18" s="63" t="s">
        <v>104</v>
      </c>
      <c r="D18" s="47">
        <f>SUMIFS('Data Sheet Actuals'!$D:$D,'Data Sheet Actuals'!$C:$C,Unit!$B18,'Data Sheet Actuals'!$B:$B,Unit!$D$3,'Data Sheet Actuals'!$A:$A,Unit!D$4)</f>
        <v>10960.8</v>
      </c>
      <c r="E18" s="33">
        <f>IFERROR(D18/D8,"")</f>
        <v>0.61409996100525743</v>
      </c>
      <c r="F18" s="31">
        <f>SUMIFS('Data Sheet Actuals'!$D:$D,'Data Sheet Actuals'!$C:$C,Unit!$B18,'Data Sheet Actuals'!$B:$B,Unit!$D$3,'Data Sheet Actuals'!$A:$A,Unit!F$4)</f>
        <v>10684.53</v>
      </c>
      <c r="G18" s="33">
        <f>IFERROR(F18/F8,"")</f>
        <v>0.57119968436955715</v>
      </c>
      <c r="H18" s="31">
        <f>SUMIFS('Data Sheet Actuals'!$D:$D,'Data Sheet Actuals'!$C:$C,Unit!$B18,'Data Sheet Actuals'!$B:$B,Unit!$D$3,'Data Sheet Actuals'!$A:$A,Unit!H$4)</f>
        <v>9664.4599999999991</v>
      </c>
      <c r="I18" s="33">
        <f>IFERROR(H18/H8,"")</f>
        <v>0.58500015738079614</v>
      </c>
      <c r="J18" s="31">
        <f>SUMIFS('Data Sheet Actuals'!$D:$D,'Data Sheet Actuals'!$C:$C,Unit!$B18,'Data Sheet Actuals'!$B:$B,Unit!$D$3,'Data Sheet Actuals'!$A:$A,Unit!J$4)</f>
        <v>9512</v>
      </c>
      <c r="K18" s="33">
        <f>IFERROR(J18/J8,"")</f>
        <v>0.59199991037848287</v>
      </c>
      <c r="L18" s="31">
        <f>SUMIFS('Data Sheet Actuals'!$D:$D,'Data Sheet Actuals'!$C:$C,Unit!$B18,'Data Sheet Actuals'!$B:$B,Unit!$D$3,'Data Sheet Actuals'!$A:$A,Unit!L$4)</f>
        <v>6018.04</v>
      </c>
      <c r="M18" s="33">
        <f>IFERROR(L18/L8,"")</f>
        <v>0.40479971695149769</v>
      </c>
      <c r="N18" s="31">
        <f>SUMIFS('Data Sheet Actuals'!$D:$D,'Data Sheet Actuals'!$C:$C,Unit!$B18,'Data Sheet Actuals'!$B:$B,Unit!$D$3,'Data Sheet Actuals'!$A:$A,Unit!N$4)</f>
        <v>6652.89</v>
      </c>
      <c r="O18" s="33">
        <f>IFERROR(N18/N8,"")</f>
        <v>0.39099963091563483</v>
      </c>
      <c r="P18" s="31">
        <f>SUMIFS('Data Sheet Actuals'!$D:$D,'Data Sheet Actuals'!$C:$C,Unit!$B18,'Data Sheet Actuals'!$B:$B,Unit!$D$3,'Data Sheet Actuals'!$A:$A,Unit!P$4)</f>
        <v>8986.75</v>
      </c>
      <c r="Q18" s="33">
        <f>IFERROR(P18/P8,"")</f>
        <v>0.50350000224107716</v>
      </c>
      <c r="R18" s="31">
        <f>SUMIFS('Data Sheet Actuals'!$D:$D,'Data Sheet Actuals'!$C:$C,Unit!$B18,'Data Sheet Actuals'!$B:$B,Unit!$D$3,'Data Sheet Actuals'!$A:$A,Unit!R$4)</f>
        <v>7684.19</v>
      </c>
      <c r="S18" s="33">
        <f>IFERROR(R18/R8,"")</f>
        <v>0.4108001851869672</v>
      </c>
      <c r="T18" s="31">
        <f>SUMIFS('Data Sheet Actuals'!$D:$D,'Data Sheet Actuals'!$C:$C,Unit!$B18,'Data Sheet Actuals'!$B:$B,Unit!$D$3,'Data Sheet Actuals'!$A:$A,Unit!T$4)</f>
        <v>10870.45</v>
      </c>
      <c r="U18" s="33">
        <f>IFERROR(T18/T8,"")</f>
        <v>0.65800002905491628</v>
      </c>
      <c r="V18" s="31">
        <f>SUMIFS('Data Sheet Actuals'!$D:$D,'Data Sheet Actuals'!$C:$C,Unit!$B18,'Data Sheet Actuals'!$B:$B,Unit!$D$3,'Data Sheet Actuals'!$A:$A,Unit!V$4)</f>
        <v>6266.36</v>
      </c>
      <c r="W18" s="33">
        <f>IFERROR(V18/V8,"")</f>
        <v>0.39000047922616798</v>
      </c>
      <c r="X18" s="31">
        <f>SUMIFS('Data Sheet Actuals'!$D:$D,'Data Sheet Actuals'!$C:$C,Unit!$B18,'Data Sheet Actuals'!$B:$B,Unit!$D$3,'Data Sheet Actuals'!$A:$A,Unit!X$4)</f>
        <v>6459.59</v>
      </c>
      <c r="Y18" s="33">
        <f>IFERROR(X18/X8,"")</f>
        <v>0.43450030302602261</v>
      </c>
      <c r="Z18" s="31">
        <f>SUMIFS('Data Sheet Actuals'!$D:$D,'Data Sheet Actuals'!$C:$C,Unit!$B18,'Data Sheet Actuals'!$B:$B,Unit!$D$3,'Data Sheet Actuals'!$A:$A,Unit!Z$4)</f>
        <v>7501.75</v>
      </c>
      <c r="AA18" s="33">
        <f>IFERROR(Z18/Z8,"")</f>
        <v>0.4550000727830289</v>
      </c>
      <c r="AB18" s="31">
        <f t="shared" ref="AB18:AB22" si="1">SUM(D18,F18,H18,J18,L18,N18,P18,R18,T18,V18,X18,Z18)</f>
        <v>101261.81</v>
      </c>
      <c r="AC18" s="33">
        <f>IFERROR(AB18/AB8,"")</f>
        <v>0.50249052400994365</v>
      </c>
    </row>
    <row r="19" spans="2:29">
      <c r="B19" s="45">
        <v>2002</v>
      </c>
      <c r="C19" s="63" t="s">
        <v>105</v>
      </c>
      <c r="D19" s="47">
        <f>SUMIFS('Data Sheet Actuals'!$D:$D,'Data Sheet Actuals'!$C:$C,Unit!$B19,'Data Sheet Actuals'!$B:$B,Unit!$D$3,'Data Sheet Actuals'!$A:$A,Unit!D$4)</f>
        <v>9526.0499999999993</v>
      </c>
      <c r="E19" s="33">
        <f t="shared" ref="E19:G22" si="2">IFERROR(D19/D9,"")</f>
        <v>0.62790021672528618</v>
      </c>
      <c r="F19" s="31">
        <f>SUMIFS('Data Sheet Actuals'!$D:$D,'Data Sheet Actuals'!$C:$C,Unit!$B19,'Data Sheet Actuals'!$B:$B,Unit!$D$3,'Data Sheet Actuals'!$A:$A,Unit!F$4)</f>
        <v>10271.14</v>
      </c>
      <c r="G19" s="33">
        <f t="shared" si="2"/>
        <v>0.64599989936853752</v>
      </c>
      <c r="H19" s="31">
        <f>SUMIFS('Data Sheet Actuals'!$D:$D,'Data Sheet Actuals'!$C:$C,Unit!$B19,'Data Sheet Actuals'!$B:$B,Unit!$D$3,'Data Sheet Actuals'!$A:$A,Unit!H$4)</f>
        <v>8579.89</v>
      </c>
      <c r="I19" s="33">
        <f t="shared" ref="I19" si="3">IFERROR(H19/H9,"")</f>
        <v>0.61099970232966205</v>
      </c>
      <c r="J19" s="31">
        <f>SUMIFS('Data Sheet Actuals'!$D:$D,'Data Sheet Actuals'!$C:$C,Unit!$B19,'Data Sheet Actuals'!$B:$B,Unit!$D$3,'Data Sheet Actuals'!$A:$A,Unit!J$4)</f>
        <v>8893.7199999999993</v>
      </c>
      <c r="K19" s="33">
        <f t="shared" ref="K19" si="4">IFERROR(J19/J9,"")</f>
        <v>0.65119963917103052</v>
      </c>
      <c r="L19" s="31">
        <f>SUMIFS('Data Sheet Actuals'!$D:$D,'Data Sheet Actuals'!$C:$C,Unit!$B19,'Data Sheet Actuals'!$B:$B,Unit!$D$3,'Data Sheet Actuals'!$A:$A,Unit!L$4)</f>
        <v>4882.82</v>
      </c>
      <c r="M19" s="33">
        <f t="shared" ref="M19" si="5">IFERROR(L19/L9,"")</f>
        <v>0.38639993036156589</v>
      </c>
      <c r="N19" s="31">
        <f>SUMIFS('Data Sheet Actuals'!$D:$D,'Data Sheet Actuals'!$C:$C,Unit!$B19,'Data Sheet Actuals'!$B:$B,Unit!$D$3,'Data Sheet Actuals'!$A:$A,Unit!N$4)</f>
        <v>5322.31</v>
      </c>
      <c r="O19" s="33">
        <f t="shared" ref="O19" si="6">IFERROR(N19/N9,"")</f>
        <v>0.36799971789714453</v>
      </c>
      <c r="P19" s="31">
        <f>SUMIFS('Data Sheet Actuals'!$D:$D,'Data Sheet Actuals'!$C:$C,Unit!$B19,'Data Sheet Actuals'!$B:$B,Unit!$D$3,'Data Sheet Actuals'!$A:$A,Unit!P$4)</f>
        <v>7156.29</v>
      </c>
      <c r="Q19" s="33">
        <f t="shared" ref="Q19" si="7">IFERROR(P19/P9,"")</f>
        <v>0.4716998170226902</v>
      </c>
      <c r="R19" s="31">
        <f>SUMIFS('Data Sheet Actuals'!$D:$D,'Data Sheet Actuals'!$C:$C,Unit!$B19,'Data Sheet Actuals'!$B:$B,Unit!$D$3,'Data Sheet Actuals'!$A:$A,Unit!R$4)</f>
        <v>6283.53</v>
      </c>
      <c r="S19" s="33">
        <f t="shared" ref="S19" si="8">IFERROR(R19/R9,"")</f>
        <v>0.39520050818888525</v>
      </c>
      <c r="T19" s="31">
        <f>SUMIFS('Data Sheet Actuals'!$D:$D,'Data Sheet Actuals'!$C:$C,Unit!$B19,'Data Sheet Actuals'!$B:$B,Unit!$D$3,'Data Sheet Actuals'!$A:$A,Unit!T$4)</f>
        <v>8551.81</v>
      </c>
      <c r="U19" s="33">
        <f t="shared" ref="U19" si="9">IFERROR(T19/T9,"")</f>
        <v>0.60900004130353969</v>
      </c>
      <c r="V19" s="31">
        <f>SUMIFS('Data Sheet Actuals'!$D:$D,'Data Sheet Actuals'!$C:$C,Unit!$B19,'Data Sheet Actuals'!$B:$B,Unit!$D$3,'Data Sheet Actuals'!$A:$A,Unit!V$4)</f>
        <v>6077.56</v>
      </c>
      <c r="W19" s="33">
        <f t="shared" ref="W19" si="10">IFERROR(V19/V9,"")</f>
        <v>0.44499994142386862</v>
      </c>
      <c r="X19" s="31">
        <f>SUMIFS('Data Sheet Actuals'!$D:$D,'Data Sheet Actuals'!$C:$C,Unit!$B19,'Data Sheet Actuals'!$B:$B,Unit!$D$3,'Data Sheet Actuals'!$A:$A,Unit!X$4)</f>
        <v>5907.66</v>
      </c>
      <c r="Y19" s="33">
        <f t="shared" ref="Y19" si="11">IFERROR(X19/X9,"")</f>
        <v>0.46750021762010646</v>
      </c>
      <c r="Z19" s="31">
        <f>SUMIFS('Data Sheet Actuals'!$D:$D,'Data Sheet Actuals'!$C:$C,Unit!$B19,'Data Sheet Actuals'!$B:$B,Unit!$D$3,'Data Sheet Actuals'!$A:$A,Unit!Z$4)</f>
        <v>5956.06</v>
      </c>
      <c r="AA19" s="33">
        <f t="shared" ref="AA19" si="12">IFERROR(Z19/Z9,"")</f>
        <v>0.42499996432205484</v>
      </c>
      <c r="AB19" s="31">
        <f t="shared" si="1"/>
        <v>87408.84</v>
      </c>
      <c r="AC19" s="33">
        <f t="shared" ref="AC19" si="13">IFERROR(AB19/AB9,"")</f>
        <v>0.51029181945412816</v>
      </c>
    </row>
    <row r="20" spans="2:29">
      <c r="B20" s="45">
        <v>2003</v>
      </c>
      <c r="C20" s="63" t="s">
        <v>106</v>
      </c>
      <c r="D20" s="47">
        <f>SUMIFS('Data Sheet Actuals'!$D:$D,'Data Sheet Actuals'!$C:$C,Unit!$B20,'Data Sheet Actuals'!$B:$B,Unit!$D$3,'Data Sheet Actuals'!$A:$A,Unit!D$4)</f>
        <v>7652.24</v>
      </c>
      <c r="E20" s="33">
        <f t="shared" si="2"/>
        <v>0.59340021929994613</v>
      </c>
      <c r="F20" s="31">
        <f>SUMIFS('Data Sheet Actuals'!$D:$D,'Data Sheet Actuals'!$C:$C,Unit!$B20,'Data Sheet Actuals'!$B:$B,Unit!$D$3,'Data Sheet Actuals'!$A:$A,Unit!F$4)</f>
        <v>8179.07</v>
      </c>
      <c r="G20" s="33">
        <f t="shared" si="2"/>
        <v>0.6051998348460117</v>
      </c>
      <c r="H20" s="31">
        <f>SUMIFS('Data Sheet Actuals'!$D:$D,'Data Sheet Actuals'!$C:$C,Unit!$B20,'Data Sheet Actuals'!$B:$B,Unit!$D$3,'Data Sheet Actuals'!$A:$A,Unit!H$4)</f>
        <v>6129.15</v>
      </c>
      <c r="I20" s="33">
        <f t="shared" ref="I20" si="14">IFERROR(H20/H10,"")</f>
        <v>0.51350031249947636</v>
      </c>
      <c r="J20" s="31">
        <f>SUMIFS('Data Sheet Actuals'!$D:$D,'Data Sheet Actuals'!$C:$C,Unit!$B20,'Data Sheet Actuals'!$B:$B,Unit!$D$3,'Data Sheet Actuals'!$A:$A,Unit!J$4)</f>
        <v>7387.85</v>
      </c>
      <c r="K20" s="33">
        <f t="shared" ref="K20" si="15">IFERROR(J20/J10,"")</f>
        <v>0.63639973744101475</v>
      </c>
      <c r="L20" s="31">
        <f>SUMIFS('Data Sheet Actuals'!$D:$D,'Data Sheet Actuals'!$C:$C,Unit!$B20,'Data Sheet Actuals'!$B:$B,Unit!$D$3,'Data Sheet Actuals'!$A:$A,Unit!L$4)</f>
        <v>3853.94</v>
      </c>
      <c r="M20" s="33">
        <f t="shared" ref="M20" si="16">IFERROR(L20/L10,"")</f>
        <v>0.35880009570634164</v>
      </c>
      <c r="N20" s="31">
        <f>SUMIFS('Data Sheet Actuals'!$D:$D,'Data Sheet Actuals'!$C:$C,Unit!$B20,'Data Sheet Actuals'!$B:$B,Unit!$D$3,'Data Sheet Actuals'!$A:$A,Unit!N$4)</f>
        <v>4693.6099999999997</v>
      </c>
      <c r="O20" s="33">
        <f t="shared" ref="O20" si="17">IFERROR(N20/N10,"")</f>
        <v>0.38179948736678815</v>
      </c>
      <c r="P20" s="31">
        <f>SUMIFS('Data Sheet Actuals'!$D:$D,'Data Sheet Actuals'!$C:$C,Unit!$B20,'Data Sheet Actuals'!$B:$B,Unit!$D$3,'Data Sheet Actuals'!$A:$A,Unit!P$4)</f>
        <v>6356.24</v>
      </c>
      <c r="Q20" s="33">
        <f t="shared" ref="Q20" si="18">IFERROR(P20/P10,"")</f>
        <v>0.49290066829099582</v>
      </c>
      <c r="R20" s="31">
        <f>SUMIFS('Data Sheet Actuals'!$D:$D,'Data Sheet Actuals'!$C:$C,Unit!$B20,'Data Sheet Actuals'!$B:$B,Unit!$D$3,'Data Sheet Actuals'!$A:$A,Unit!R$4)</f>
        <v>5762.65</v>
      </c>
      <c r="S20" s="33">
        <f t="shared" ref="S20" si="19">IFERROR(R20/R10,"")</f>
        <v>0.42639992423042827</v>
      </c>
      <c r="T20" s="31">
        <f>SUMIFS('Data Sheet Actuals'!$D:$D,'Data Sheet Actuals'!$C:$C,Unit!$B20,'Data Sheet Actuals'!$B:$B,Unit!$D$3,'Data Sheet Actuals'!$A:$A,Unit!T$4)</f>
        <v>6266.41</v>
      </c>
      <c r="U20" s="33">
        <f t="shared" ref="U20" si="20">IFERROR(T20/T10,"")</f>
        <v>0.52499995810998978</v>
      </c>
      <c r="V20" s="31">
        <f>SUMIFS('Data Sheet Actuals'!$D:$D,'Data Sheet Actuals'!$C:$C,Unit!$B20,'Data Sheet Actuals'!$B:$B,Unit!$D$3,'Data Sheet Actuals'!$A:$A,Unit!V$4)</f>
        <v>5107.88</v>
      </c>
      <c r="W20" s="33">
        <f t="shared" ref="W20" si="21">IFERROR(V20/V10,"")</f>
        <v>0.43999993108688051</v>
      </c>
      <c r="X20" s="31">
        <f>SUMIFS('Data Sheet Actuals'!$D:$D,'Data Sheet Actuals'!$C:$C,Unit!$B20,'Data Sheet Actuals'!$B:$B,Unit!$D$3,'Data Sheet Actuals'!$A:$A,Unit!X$4)</f>
        <v>4548.8999999999996</v>
      </c>
      <c r="Y20" s="33">
        <f t="shared" ref="Y20" si="22">IFERROR(X20/X10,"")</f>
        <v>0.4235005618558092</v>
      </c>
      <c r="Z20" s="31">
        <f>SUMIFS('Data Sheet Actuals'!$D:$D,'Data Sheet Actuals'!$C:$C,Unit!$B20,'Data Sheet Actuals'!$B:$B,Unit!$D$3,'Data Sheet Actuals'!$A:$A,Unit!Z$4)</f>
        <v>5241.33</v>
      </c>
      <c r="AA20" s="33">
        <f t="shared" ref="AA20" si="23">IFERROR(Z20/Z10,"")</f>
        <v>0.43999976494528259</v>
      </c>
      <c r="AB20" s="31">
        <f t="shared" si="1"/>
        <v>71179.27</v>
      </c>
      <c r="AC20" s="33">
        <f t="shared" ref="AC20" si="24">IFERROR(AB20/AB10,"")</f>
        <v>0.48887516007254217</v>
      </c>
    </row>
    <row r="21" spans="2:29">
      <c r="B21" s="45">
        <v>2004</v>
      </c>
      <c r="C21" s="63" t="s">
        <v>107</v>
      </c>
      <c r="D21" s="47">
        <f>SUMIFS('Data Sheet Actuals'!$D:$D,'Data Sheet Actuals'!$C:$C,Unit!$B21,'Data Sheet Actuals'!$B:$B,Unit!$D$3,'Data Sheet Actuals'!$A:$A,Unit!D$4)</f>
        <v>6277.51</v>
      </c>
      <c r="E21" s="33">
        <f t="shared" si="2"/>
        <v>0.5727001938647508</v>
      </c>
      <c r="F21" s="31">
        <f>SUMIFS('Data Sheet Actuals'!$D:$D,'Data Sheet Actuals'!$C:$C,Unit!$B21,'Data Sheet Actuals'!$B:$B,Unit!$D$3,'Data Sheet Actuals'!$A:$A,Unit!F$4)</f>
        <v>5936.72</v>
      </c>
      <c r="G21" s="33">
        <f t="shared" si="2"/>
        <v>0.51680005849857158</v>
      </c>
      <c r="H21" s="31">
        <f>SUMIFS('Data Sheet Actuals'!$D:$D,'Data Sheet Actuals'!$C:$C,Unit!$B21,'Data Sheet Actuals'!$B:$B,Unit!$D$3,'Data Sheet Actuals'!$A:$A,Unit!H$4)</f>
        <v>5737.35</v>
      </c>
      <c r="I21" s="33">
        <f t="shared" ref="I21" si="25">IFERROR(H21/H11,"")</f>
        <v>0.5655001862872846</v>
      </c>
      <c r="J21" s="31">
        <f>SUMIFS('Data Sheet Actuals'!$D:$D,'Data Sheet Actuals'!$C:$C,Unit!$B21,'Data Sheet Actuals'!$B:$B,Unit!$D$3,'Data Sheet Actuals'!$A:$A,Unit!J$4)</f>
        <v>6571.75</v>
      </c>
      <c r="K21" s="33">
        <f t="shared" ref="K21" si="26">IFERROR(J21/J11,"")</f>
        <v>0.66599949328604002</v>
      </c>
      <c r="L21" s="31">
        <f>SUMIFS('Data Sheet Actuals'!$D:$D,'Data Sheet Actuals'!$C:$C,Unit!$B21,'Data Sheet Actuals'!$B:$B,Unit!$D$3,'Data Sheet Actuals'!$A:$A,Unit!L$4)</f>
        <v>3359.84</v>
      </c>
      <c r="M21" s="33">
        <f t="shared" ref="M21" si="27">IFERROR(L21/L11,"")</f>
        <v>0.36799919386814051</v>
      </c>
      <c r="N21" s="31">
        <f>SUMIFS('Data Sheet Actuals'!$D:$D,'Data Sheet Actuals'!$C:$C,Unit!$B21,'Data Sheet Actuals'!$B:$B,Unit!$D$3,'Data Sheet Actuals'!$A:$A,Unit!N$4)</f>
        <v>4277.97</v>
      </c>
      <c r="O21" s="33">
        <f t="shared" ref="O21" si="28">IFERROR(N21/N11,"")</f>
        <v>0.40939940934294672</v>
      </c>
      <c r="P21" s="31">
        <f>SUMIFS('Data Sheet Actuals'!$D:$D,'Data Sheet Actuals'!$C:$C,Unit!$B21,'Data Sheet Actuals'!$B:$B,Unit!$D$3,'Data Sheet Actuals'!$A:$A,Unit!P$4)</f>
        <v>4589.4799999999996</v>
      </c>
      <c r="Q21" s="33">
        <f t="shared" ref="Q21" si="29">IFERROR(P21/P11,"")</f>
        <v>0.41870042194092821</v>
      </c>
      <c r="R21" s="31">
        <f>SUMIFS('Data Sheet Actuals'!$D:$D,'Data Sheet Actuals'!$C:$C,Unit!$B21,'Data Sheet Actuals'!$B:$B,Unit!$D$3,'Data Sheet Actuals'!$A:$A,Unit!R$4)</f>
        <v>5376.13</v>
      </c>
      <c r="S21" s="33">
        <f t="shared" ref="S21" si="30">IFERROR(R21/R11,"")</f>
        <v>0.46799988857414959</v>
      </c>
      <c r="T21" s="31">
        <f>SUMIFS('Data Sheet Actuals'!$D:$D,'Data Sheet Actuals'!$C:$C,Unit!$B21,'Data Sheet Actuals'!$B:$B,Unit!$D$3,'Data Sheet Actuals'!$A:$A,Unit!T$4)</f>
        <v>6249.7</v>
      </c>
      <c r="U21" s="33">
        <f t="shared" ref="U21" si="31">IFERROR(T21/T11,"")</f>
        <v>0.61599981075577437</v>
      </c>
      <c r="V21" s="31">
        <f>SUMIFS('Data Sheet Actuals'!$D:$D,'Data Sheet Actuals'!$C:$C,Unit!$B21,'Data Sheet Actuals'!$B:$B,Unit!$D$3,'Data Sheet Actuals'!$A:$A,Unit!V$4)</f>
        <v>4292.3599999999997</v>
      </c>
      <c r="W21" s="33">
        <f t="shared" ref="W21" si="32">IFERROR(V21/V11,"")</f>
        <v>0.43499974664301999</v>
      </c>
      <c r="X21" s="31">
        <f>SUMIFS('Data Sheet Actuals'!$D:$D,'Data Sheet Actuals'!$C:$C,Unit!$B21,'Data Sheet Actuals'!$B:$B,Unit!$D$3,'Data Sheet Actuals'!$A:$A,Unit!X$4)</f>
        <v>3766.13</v>
      </c>
      <c r="Y21" s="33">
        <f t="shared" ref="Y21" si="33">IFERROR(X21/X11,"")</f>
        <v>0.4124996440314479</v>
      </c>
      <c r="Z21" s="31">
        <f>SUMIFS('Data Sheet Actuals'!$D:$D,'Data Sheet Actuals'!$C:$C,Unit!$B21,'Data Sheet Actuals'!$B:$B,Unit!$D$3,'Data Sheet Actuals'!$A:$A,Unit!Z$4)</f>
        <v>4202</v>
      </c>
      <c r="AA21" s="33">
        <f t="shared" ref="AA21" si="34">IFERROR(Z21/Z11,"")</f>
        <v>0.41500004938125296</v>
      </c>
      <c r="AB21" s="31">
        <f t="shared" si="1"/>
        <v>60636.939999999995</v>
      </c>
      <c r="AC21" s="33">
        <f t="shared" ref="AC21" si="35">IFERROR(AB21/AB11,"")</f>
        <v>0.48996229588654922</v>
      </c>
    </row>
    <row r="22" spans="2:29">
      <c r="B22" s="45">
        <v>2005</v>
      </c>
      <c r="C22" s="63" t="s">
        <v>109</v>
      </c>
      <c r="D22" s="47">
        <f>SUMIFS('Data Sheet Actuals'!$D:$D,'Data Sheet Actuals'!$C:$C,Unit!$B22,'Data Sheet Actuals'!$B:$B,Unit!$D$3,'Data Sheet Actuals'!$A:$A,Unit!D$4)</f>
        <v>1021.04</v>
      </c>
      <c r="E22" s="33">
        <f t="shared" si="2"/>
        <v>0.62099878967759192</v>
      </c>
      <c r="F22" s="31">
        <f>SUMIFS('Data Sheet Actuals'!$D:$D,'Data Sheet Actuals'!$C:$C,Unit!$B22,'Data Sheet Actuals'!$B:$B,Unit!$D$3,'Data Sheet Actuals'!$A:$A,Unit!F$4)</f>
        <v>925.66</v>
      </c>
      <c r="G22" s="33">
        <f t="shared" si="2"/>
        <v>0.53719996285807137</v>
      </c>
      <c r="H22" s="31">
        <f>SUMIFS('Data Sheet Actuals'!$D:$D,'Data Sheet Actuals'!$C:$C,Unit!$B22,'Data Sheet Actuals'!$B:$B,Unit!$D$3,'Data Sheet Actuals'!$A:$A,Unit!H$4)</f>
        <v>761.68</v>
      </c>
      <c r="I22" s="33">
        <f t="shared" ref="I22" si="36">IFERROR(H22/H12,"")</f>
        <v>0.50049939546864319</v>
      </c>
      <c r="J22" s="31">
        <f>SUMIFS('Data Sheet Actuals'!$D:$D,'Data Sheet Actuals'!$C:$C,Unit!$B22,'Data Sheet Actuals'!$B:$B,Unit!$D$3,'Data Sheet Actuals'!$A:$A,Unit!J$4)</f>
        <v>920.05</v>
      </c>
      <c r="K22" s="33">
        <f t="shared" ref="K22" si="37">IFERROR(J22/J12,"")</f>
        <v>0.62160500499959459</v>
      </c>
      <c r="L22" s="31">
        <f>SUMIFS('Data Sheet Actuals'!$D:$D,'Data Sheet Actuals'!$C:$C,Unit!$B22,'Data Sheet Actuals'!$B:$B,Unit!$D$3,'Data Sheet Actuals'!$A:$A,Unit!L$4)</f>
        <v>472.48</v>
      </c>
      <c r="M22" s="33">
        <f t="shared" ref="M22" si="38">IFERROR(L22/L12,"")</f>
        <v>0.34500182548375319</v>
      </c>
      <c r="N22" s="31">
        <f>SUMIFS('Data Sheet Actuals'!$D:$D,'Data Sheet Actuals'!$C:$C,Unit!$B22,'Data Sheet Actuals'!$B:$B,Unit!$D$3,'Data Sheet Actuals'!$A:$A,Unit!N$4)</f>
        <v>627.28</v>
      </c>
      <c r="O22" s="33">
        <f t="shared" ref="O22" si="39">IFERROR(N22/N12,"")</f>
        <v>0.4002016064718229</v>
      </c>
      <c r="P22" s="31">
        <f>SUMIFS('Data Sheet Actuals'!$D:$D,'Data Sheet Actuals'!$C:$C,Unit!$B22,'Data Sheet Actuals'!$B:$B,Unit!$D$3,'Data Sheet Actuals'!$A:$A,Unit!P$4)</f>
        <v>801.71</v>
      </c>
      <c r="Q22" s="33">
        <f t="shared" ref="Q22" si="40">IFERROR(P22/P12,"")</f>
        <v>0.48760179784574775</v>
      </c>
      <c r="R22" s="31">
        <f>SUMIFS('Data Sheet Actuals'!$D:$D,'Data Sheet Actuals'!$C:$C,Unit!$B22,'Data Sheet Actuals'!$B:$B,Unit!$D$3,'Data Sheet Actuals'!$A:$A,Unit!R$4)</f>
        <v>833.3</v>
      </c>
      <c r="S22" s="33">
        <f t="shared" ref="S22" si="41">IFERROR(R22/R12,"")</f>
        <v>0.48359951715492827</v>
      </c>
      <c r="T22" s="31">
        <f>SUMIFS('Data Sheet Actuals'!$D:$D,'Data Sheet Actuals'!$C:$C,Unit!$B22,'Data Sheet Actuals'!$B:$B,Unit!$D$3,'Data Sheet Actuals'!$A:$A,Unit!T$4)</f>
        <v>873.54</v>
      </c>
      <c r="U22" s="33">
        <f t="shared" ref="U22" si="42">IFERROR(T22/T12,"")</f>
        <v>0.57400252326131529</v>
      </c>
      <c r="V22" s="31">
        <f>SUMIFS('Data Sheet Actuals'!$D:$D,'Data Sheet Actuals'!$C:$C,Unit!$B22,'Data Sheet Actuals'!$B:$B,Unit!$D$3,'Data Sheet Actuals'!$A:$A,Unit!V$4)</f>
        <v>621.65</v>
      </c>
      <c r="W22" s="33">
        <f t="shared" ref="W22" si="43">IFERROR(V22/V12,"")</f>
        <v>0.41999972975164179</v>
      </c>
      <c r="X22" s="31">
        <f>SUMIFS('Data Sheet Actuals'!$D:$D,'Data Sheet Actuals'!$C:$C,Unit!$B22,'Data Sheet Actuals'!$B:$B,Unit!$D$3,'Data Sheet Actuals'!$A:$A,Unit!X$4)</f>
        <v>647.77</v>
      </c>
      <c r="Y22" s="33">
        <f t="shared" ref="Y22" si="44">IFERROR(X22/X12,"")</f>
        <v>0.47299744432274554</v>
      </c>
      <c r="Z22" s="31">
        <f>SUMIFS('Data Sheet Actuals'!$D:$D,'Data Sheet Actuals'!$C:$C,Unit!$B22,'Data Sheet Actuals'!$B:$B,Unit!$D$3,'Data Sheet Actuals'!$A:$A,Unit!Z$4)</f>
        <v>615.11</v>
      </c>
      <c r="AA22" s="33">
        <f t="shared" ref="AA22" si="45">IFERROR(Z22/Z12,"")</f>
        <v>0.40500003292094366</v>
      </c>
      <c r="AB22" s="31">
        <f t="shared" si="1"/>
        <v>9121.27</v>
      </c>
      <c r="AC22" s="33">
        <f t="shared" ref="AC22" si="46">IFERROR(AB22/AB12,"")</f>
        <v>0.49134872606489854</v>
      </c>
    </row>
    <row r="23" spans="2:29">
      <c r="B23" s="45"/>
      <c r="C23" s="54"/>
      <c r="D23" s="48" t="s">
        <v>42</v>
      </c>
      <c r="E23" s="36" t="s">
        <v>42</v>
      </c>
      <c r="F23" s="35" t="s">
        <v>42</v>
      </c>
      <c r="G23" s="36" t="s">
        <v>42</v>
      </c>
      <c r="H23" s="35" t="s">
        <v>42</v>
      </c>
      <c r="I23" s="36" t="s">
        <v>42</v>
      </c>
      <c r="J23" s="35" t="s">
        <v>42</v>
      </c>
      <c r="K23" s="36" t="s">
        <v>42</v>
      </c>
      <c r="L23" s="35" t="s">
        <v>42</v>
      </c>
      <c r="M23" s="36" t="s">
        <v>42</v>
      </c>
      <c r="N23" s="35" t="s">
        <v>42</v>
      </c>
      <c r="O23" s="36" t="s">
        <v>42</v>
      </c>
      <c r="P23" s="35" t="s">
        <v>42</v>
      </c>
      <c r="Q23" s="36" t="s">
        <v>42</v>
      </c>
      <c r="R23" s="35" t="s">
        <v>42</v>
      </c>
      <c r="S23" s="36" t="s">
        <v>42</v>
      </c>
      <c r="T23" s="35" t="s">
        <v>42</v>
      </c>
      <c r="U23" s="36" t="s">
        <v>42</v>
      </c>
      <c r="V23" s="35" t="s">
        <v>42</v>
      </c>
      <c r="W23" s="36" t="s">
        <v>42</v>
      </c>
      <c r="X23" s="35" t="s">
        <v>42</v>
      </c>
      <c r="Y23" s="36" t="s">
        <v>42</v>
      </c>
      <c r="Z23" s="35" t="s">
        <v>42</v>
      </c>
      <c r="AA23" s="36" t="s">
        <v>42</v>
      </c>
      <c r="AB23" s="35" t="s">
        <v>42</v>
      </c>
      <c r="AC23" s="36" t="s">
        <v>42</v>
      </c>
    </row>
    <row r="24" spans="2:29">
      <c r="B24" s="45"/>
      <c r="C24" s="57" t="s">
        <v>45</v>
      </c>
      <c r="D24" s="64">
        <f>SUM(D18:D23)</f>
        <v>35437.64</v>
      </c>
      <c r="E24" s="65">
        <f>IFERROR(D24/D$14,"")</f>
        <v>0.60555569415760457</v>
      </c>
      <c r="F24" s="64">
        <f>SUM(F18:F23)</f>
        <v>35997.120000000003</v>
      </c>
      <c r="G24" s="65">
        <f>IFERROR(F24/F$14,"")</f>
        <v>0.58693897596390432</v>
      </c>
      <c r="H24" s="64">
        <f>SUM(H18:H23)</f>
        <v>30872.53</v>
      </c>
      <c r="I24" s="65">
        <f>IFERROR(H24/H$14,"")</f>
        <v>0.56995825817897849</v>
      </c>
      <c r="J24" s="64">
        <f>SUM(J18:J23)</f>
        <v>33285.370000000003</v>
      </c>
      <c r="K24" s="65">
        <f>IFERROR(J24/J$14,"")</f>
        <v>0.63182334578869792</v>
      </c>
      <c r="L24" s="64">
        <f>SUM(L18:L23)</f>
        <v>18587.12</v>
      </c>
      <c r="M24" s="65">
        <f>IFERROR(L24/L$14,"")</f>
        <v>0.38132024949881138</v>
      </c>
      <c r="N24" s="64">
        <f>SUM(N18:N23)</f>
        <v>21574.06</v>
      </c>
      <c r="O24" s="65">
        <f>IFERROR(N24/N$14,"")</f>
        <v>0.38671457894133998</v>
      </c>
      <c r="P24" s="64">
        <f>SUM(P18:P23)</f>
        <v>27890.469999999998</v>
      </c>
      <c r="Q24" s="65">
        <f>IFERROR(P24/P$14,"")</f>
        <v>0.47659022782645355</v>
      </c>
      <c r="R24" s="64">
        <f>SUM(R18:R23)</f>
        <v>25939.8</v>
      </c>
      <c r="S24" s="65">
        <f>IFERROR(R24/R$14,"")</f>
        <v>0.42295271534801909</v>
      </c>
      <c r="T24" s="64">
        <f>SUM(T18:T23)</f>
        <v>32811.910000000003</v>
      </c>
      <c r="U24" s="65">
        <f>IFERROR(T24/T$14,"")</f>
        <v>0.60576243900727955</v>
      </c>
      <c r="V24" s="64">
        <f>SUM(V18:V23)</f>
        <v>22365.81</v>
      </c>
      <c r="W24" s="65">
        <f>IFERROR(V24/V$14,"")</f>
        <v>0.42454810943890114</v>
      </c>
      <c r="X24" s="64">
        <f>SUM(X18:X23)</f>
        <v>21330.050000000003</v>
      </c>
      <c r="Y24" s="65">
        <f>IFERROR(X24/X$14,"")</f>
        <v>0.43759226753914121</v>
      </c>
      <c r="Z24" s="64">
        <f>SUM(Z18:Z23)</f>
        <v>23516.25</v>
      </c>
      <c r="AA24" s="65">
        <f>IFERROR(Z24/Z$14,"")</f>
        <v>0.43502023666136796</v>
      </c>
      <c r="AB24" s="64">
        <f>SUM(AB18:AB23)</f>
        <v>329608.13</v>
      </c>
      <c r="AC24" s="65">
        <f>IFERROR(AB24/AB$14,"")</f>
        <v>0.49885307486601072</v>
      </c>
    </row>
    <row r="25" spans="2:29">
      <c r="B25" s="45"/>
      <c r="C25" s="54"/>
      <c r="D25" s="48" t="s">
        <v>42</v>
      </c>
      <c r="E25" s="36" t="s">
        <v>42</v>
      </c>
      <c r="F25" s="35" t="s">
        <v>42</v>
      </c>
      <c r="G25" s="36" t="s">
        <v>42</v>
      </c>
      <c r="H25" s="35" t="s">
        <v>42</v>
      </c>
      <c r="I25" s="36" t="s">
        <v>42</v>
      </c>
      <c r="J25" s="35" t="s">
        <v>42</v>
      </c>
      <c r="K25" s="36" t="s">
        <v>42</v>
      </c>
      <c r="L25" s="35" t="s">
        <v>42</v>
      </c>
      <c r="M25" s="36" t="s">
        <v>42</v>
      </c>
      <c r="N25" s="35" t="s">
        <v>42</v>
      </c>
      <c r="O25" s="36" t="s">
        <v>42</v>
      </c>
      <c r="P25" s="35" t="s">
        <v>42</v>
      </c>
      <c r="Q25" s="36" t="s">
        <v>42</v>
      </c>
      <c r="R25" s="35" t="s">
        <v>42</v>
      </c>
      <c r="S25" s="36" t="s">
        <v>42</v>
      </c>
      <c r="T25" s="35" t="s">
        <v>42</v>
      </c>
      <c r="U25" s="36" t="s">
        <v>42</v>
      </c>
      <c r="V25" s="35" t="s">
        <v>42</v>
      </c>
      <c r="W25" s="36" t="s">
        <v>42</v>
      </c>
      <c r="X25" s="35" t="s">
        <v>42</v>
      </c>
      <c r="Y25" s="36" t="s">
        <v>42</v>
      </c>
      <c r="Z25" s="35" t="s">
        <v>42</v>
      </c>
      <c r="AA25" s="36" t="s">
        <v>42</v>
      </c>
      <c r="AB25" s="35" t="s">
        <v>42</v>
      </c>
      <c r="AC25" s="36" t="s">
        <v>42</v>
      </c>
    </row>
    <row r="26" spans="2:29">
      <c r="B26" s="45"/>
      <c r="C26" s="54"/>
      <c r="D26" s="47"/>
      <c r="E26" s="32"/>
      <c r="F26" s="31"/>
      <c r="G26" s="32"/>
      <c r="H26" s="31"/>
      <c r="I26" s="32"/>
      <c r="J26" s="31"/>
      <c r="K26" s="32"/>
      <c r="L26" s="31"/>
      <c r="M26" s="32"/>
      <c r="N26" s="31"/>
      <c r="O26" s="32"/>
      <c r="P26" s="31"/>
      <c r="Q26" s="32"/>
      <c r="R26" s="31"/>
      <c r="S26" s="32"/>
      <c r="T26" s="31"/>
      <c r="U26" s="32"/>
      <c r="V26" s="31"/>
      <c r="W26" s="32"/>
      <c r="X26" s="31"/>
      <c r="Y26" s="32"/>
      <c r="Z26" s="31"/>
      <c r="AA26" s="32"/>
      <c r="AB26" s="31"/>
      <c r="AC26" s="32"/>
    </row>
    <row r="27" spans="2:29">
      <c r="B27" s="45"/>
      <c r="C27" s="57" t="s">
        <v>0</v>
      </c>
      <c r="D27" s="64">
        <f>D14-D24</f>
        <v>23083.220000000008</v>
      </c>
      <c r="E27" s="65">
        <f>IFERROR(D27/D$14,"")</f>
        <v>0.39444430584239543</v>
      </c>
      <c r="F27" s="64">
        <f>F14-F24</f>
        <v>25333.139999999992</v>
      </c>
      <c r="G27" s="65">
        <f>IFERROR(F27/F$14,"")</f>
        <v>0.41306102403609563</v>
      </c>
      <c r="H27" s="64">
        <f>H14-H24</f>
        <v>23293.769999999997</v>
      </c>
      <c r="I27" s="65">
        <f>IFERROR(H27/H$14,"")</f>
        <v>0.43004174182102151</v>
      </c>
      <c r="J27" s="64">
        <f>J14-J24</f>
        <v>19396.080000000002</v>
      </c>
      <c r="K27" s="65">
        <f>IFERROR(J27/J$14,"")</f>
        <v>0.36817665421130208</v>
      </c>
      <c r="L27" s="64">
        <f>L14-L24</f>
        <v>30156.999999999996</v>
      </c>
      <c r="M27" s="65">
        <f>IFERROR(L27/L$14,"")</f>
        <v>0.61867975050118862</v>
      </c>
      <c r="N27" s="64">
        <f>N14-N24</f>
        <v>34214.009999999995</v>
      </c>
      <c r="O27" s="65">
        <f>IFERROR(N27/N$14,"")</f>
        <v>0.61328542105865991</v>
      </c>
      <c r="P27" s="64">
        <f>P14-P24</f>
        <v>30630.39000000001</v>
      </c>
      <c r="Q27" s="65">
        <f>IFERROR(P27/P$14,"")</f>
        <v>0.52340977217354645</v>
      </c>
      <c r="R27" s="64">
        <f>R14-R24</f>
        <v>35390.459999999992</v>
      </c>
      <c r="S27" s="65">
        <f>IFERROR(R27/R$14,"")</f>
        <v>0.57704728465198085</v>
      </c>
      <c r="T27" s="64">
        <f>T14-T24</f>
        <v>21354.389999999992</v>
      </c>
      <c r="U27" s="65">
        <f>IFERROR(T27/T$14,"")</f>
        <v>0.39423756099272045</v>
      </c>
      <c r="V27" s="64">
        <f>V14-V24</f>
        <v>30315.640000000003</v>
      </c>
      <c r="W27" s="65">
        <f>IFERROR(V27/V$14,"")</f>
        <v>0.5754518905610988</v>
      </c>
      <c r="X27" s="64">
        <f>X14-X24</f>
        <v>27414.069999999992</v>
      </c>
      <c r="Y27" s="65">
        <f>IFERROR(X27/X$14,"")</f>
        <v>0.56240773246085873</v>
      </c>
      <c r="Z27" s="64">
        <f>Z14-Z24</f>
        <v>30541.580000000009</v>
      </c>
      <c r="AA27" s="65">
        <f>IFERROR(Z27/Z$14,"")</f>
        <v>0.56497976333863209</v>
      </c>
      <c r="AB27" s="64">
        <f>AB14-AB24</f>
        <v>331123.75</v>
      </c>
      <c r="AC27" s="65">
        <f>IFERROR(AB27/AB$14,"")</f>
        <v>0.50114692513398928</v>
      </c>
    </row>
    <row r="28" spans="2:29">
      <c r="B28" s="45"/>
      <c r="C28" s="54"/>
      <c r="D28" s="47"/>
      <c r="E28" s="32"/>
      <c r="F28" s="31"/>
      <c r="G28" s="32"/>
      <c r="H28" s="31"/>
      <c r="I28" s="32"/>
      <c r="J28" s="31"/>
      <c r="K28" s="32"/>
      <c r="L28" s="31"/>
      <c r="M28" s="32"/>
      <c r="N28" s="31"/>
      <c r="O28" s="32"/>
      <c r="P28" s="31"/>
      <c r="Q28" s="32"/>
      <c r="R28" s="31"/>
      <c r="S28" s="32"/>
      <c r="T28" s="31"/>
      <c r="U28" s="32"/>
      <c r="V28" s="31"/>
      <c r="W28" s="32"/>
      <c r="X28" s="31"/>
      <c r="Y28" s="32"/>
      <c r="Z28" s="31"/>
      <c r="AA28" s="32"/>
      <c r="AB28" s="31"/>
      <c r="AC28" s="32"/>
    </row>
    <row r="29" spans="2:29">
      <c r="B29" s="45"/>
      <c r="C29" s="57" t="s">
        <v>46</v>
      </c>
      <c r="D29" s="47"/>
      <c r="E29" s="32"/>
      <c r="F29" s="31"/>
      <c r="G29" s="32"/>
      <c r="H29" s="31"/>
      <c r="I29" s="32"/>
      <c r="J29" s="31"/>
      <c r="K29" s="32"/>
      <c r="L29" s="31"/>
      <c r="M29" s="32"/>
      <c r="N29" s="31"/>
      <c r="O29" s="32"/>
      <c r="P29" s="31"/>
      <c r="Q29" s="32"/>
      <c r="R29" s="31"/>
      <c r="S29" s="32"/>
      <c r="T29" s="31"/>
      <c r="U29" s="32"/>
      <c r="V29" s="31"/>
      <c r="W29" s="32"/>
      <c r="X29" s="31"/>
      <c r="Y29" s="32"/>
      <c r="Z29" s="31"/>
      <c r="AA29" s="32"/>
      <c r="AB29" s="31"/>
      <c r="AC29" s="32"/>
    </row>
    <row r="30" spans="2:29">
      <c r="B30" s="45">
        <v>3001</v>
      </c>
      <c r="C30" s="57" t="s">
        <v>110</v>
      </c>
      <c r="D30" s="47"/>
      <c r="E30" s="33"/>
      <c r="F30" s="31"/>
      <c r="G30" s="33"/>
      <c r="H30" s="31"/>
      <c r="I30" s="33"/>
      <c r="J30" s="31"/>
      <c r="K30" s="33"/>
      <c r="L30" s="31"/>
      <c r="M30" s="33"/>
      <c r="N30" s="31"/>
      <c r="O30" s="33"/>
      <c r="P30" s="31"/>
      <c r="Q30" s="33"/>
      <c r="R30" s="31"/>
      <c r="S30" s="33"/>
      <c r="T30" s="31"/>
      <c r="U30" s="33"/>
      <c r="V30" s="31"/>
      <c r="W30" s="33"/>
      <c r="X30" s="31"/>
      <c r="Y30" s="33"/>
      <c r="Z30" s="31"/>
      <c r="AA30" s="33"/>
      <c r="AB30" s="31"/>
      <c r="AC30" s="33"/>
    </row>
    <row r="31" spans="2:29">
      <c r="B31" s="45">
        <v>3001</v>
      </c>
      <c r="C31" s="55" t="s">
        <v>111</v>
      </c>
      <c r="D31" s="47">
        <f>SUMIFS('Data Sheet Actuals'!$D:$D,'Data Sheet Actuals'!$C:$C,Unit!$B31,'Data Sheet Actuals'!$B:$B,Unit!$D$3,'Data Sheet Actuals'!$A:$A,Unit!D$4)</f>
        <v>6527.22</v>
      </c>
      <c r="E31" s="33">
        <f t="shared" ref="E31:G34" si="47">IFERROR(D31/D$14,"")</f>
        <v>0.11153663838843106</v>
      </c>
      <c r="F31" s="31">
        <f>SUMIFS('Data Sheet Actuals'!$D:$D,'Data Sheet Actuals'!$C:$C,Unit!$B31,'Data Sheet Actuals'!$B:$B,Unit!$D$3,'Data Sheet Actuals'!$A:$A,Unit!F$4)</f>
        <v>5215.07</v>
      </c>
      <c r="G31" s="33">
        <f t="shared" si="47"/>
        <v>8.5032576088867065E-2</v>
      </c>
      <c r="H31" s="31">
        <f>SUMIFS('Data Sheet Actuals'!$D:$D,'Data Sheet Actuals'!$C:$C,Unit!$B31,'Data Sheet Actuals'!$B:$B,Unit!$D$3,'Data Sheet Actuals'!$A:$A,Unit!H$4)</f>
        <v>4724.8500000000004</v>
      </c>
      <c r="I31" s="33">
        <f t="shared" ref="I31" si="48">IFERROR(H31/H$14,"")</f>
        <v>8.7228590470458583E-2</v>
      </c>
      <c r="J31" s="31">
        <f>SUMIFS('Data Sheet Actuals'!$D:$D,'Data Sheet Actuals'!$C:$C,Unit!$B31,'Data Sheet Actuals'!$B:$B,Unit!$D$3,'Data Sheet Actuals'!$A:$A,Unit!J$4)</f>
        <v>5469.4</v>
      </c>
      <c r="K31" s="33">
        <f t="shared" ref="K31" si="49">IFERROR(J31/J$14,"")</f>
        <v>0.10382022514566321</v>
      </c>
      <c r="L31" s="31">
        <f>SUMIFS('Data Sheet Actuals'!$D:$D,'Data Sheet Actuals'!$C:$C,Unit!$B31,'Data Sheet Actuals'!$B:$B,Unit!$D$3,'Data Sheet Actuals'!$A:$A,Unit!L$4)</f>
        <v>2735.47</v>
      </c>
      <c r="M31" s="33">
        <f t="shared" ref="M31" si="50">IFERROR(L31/L$14,"")</f>
        <v>5.6118973939831104E-2</v>
      </c>
      <c r="N31" s="31">
        <f>SUMIFS('Data Sheet Actuals'!$D:$D,'Data Sheet Actuals'!$C:$C,Unit!$B31,'Data Sheet Actuals'!$B:$B,Unit!$D$3,'Data Sheet Actuals'!$A:$A,Unit!N$4)</f>
        <v>4304.8100000000004</v>
      </c>
      <c r="O31" s="33">
        <f t="shared" ref="O31" si="51">IFERROR(N31/N$14,"")</f>
        <v>7.7163630145298104E-2</v>
      </c>
      <c r="P31" s="31">
        <f>SUMIFS('Data Sheet Actuals'!$D:$D,'Data Sheet Actuals'!$C:$C,Unit!$B31,'Data Sheet Actuals'!$B:$B,Unit!$D$3,'Data Sheet Actuals'!$A:$A,Unit!P$4)</f>
        <v>3310.91</v>
      </c>
      <c r="Q31" s="33">
        <f t="shared" ref="Q31" si="52">IFERROR(P31/P$14,"")</f>
        <v>5.657657799287296E-2</v>
      </c>
      <c r="R31" s="31">
        <f>SUMIFS('Data Sheet Actuals'!$D:$D,'Data Sheet Actuals'!$C:$C,Unit!$B31,'Data Sheet Actuals'!$B:$B,Unit!$D$3,'Data Sheet Actuals'!$A:$A,Unit!R$4)</f>
        <v>4571.6099999999997</v>
      </c>
      <c r="S31" s="33">
        <f t="shared" ref="S31" si="53">IFERROR(R31/R$14,"")</f>
        <v>7.454085471021972E-2</v>
      </c>
      <c r="T31" s="31">
        <f>SUMIFS('Data Sheet Actuals'!$D:$D,'Data Sheet Actuals'!$C:$C,Unit!$B31,'Data Sheet Actuals'!$B:$B,Unit!$D$3,'Data Sheet Actuals'!$A:$A,Unit!T$4)</f>
        <v>5203.9399999999996</v>
      </c>
      <c r="U31" s="33">
        <f t="shared" ref="U31" si="54">IFERROR(T31/T$14,"")</f>
        <v>9.6073388804478063E-2</v>
      </c>
      <c r="V31" s="31">
        <f>SUMIFS('Data Sheet Actuals'!$D:$D,'Data Sheet Actuals'!$C:$C,Unit!$B31,'Data Sheet Actuals'!$B:$B,Unit!$D$3,'Data Sheet Actuals'!$A:$A,Unit!V$4)</f>
        <v>3052.84</v>
      </c>
      <c r="W31" s="33">
        <f t="shared" ref="W31" si="55">IFERROR(V31/V$14,"")</f>
        <v>5.7949050377314973E-2</v>
      </c>
      <c r="X31" s="31">
        <f>SUMIFS('Data Sheet Actuals'!$D:$D,'Data Sheet Actuals'!$C:$C,Unit!$B31,'Data Sheet Actuals'!$B:$B,Unit!$D$3,'Data Sheet Actuals'!$A:$A,Unit!X$4)</f>
        <v>4497.18</v>
      </c>
      <c r="Y31" s="33">
        <f t="shared" ref="Y31" si="56">IFERROR(X31/X$14,"")</f>
        <v>9.226097424673993E-2</v>
      </c>
      <c r="Z31" s="31">
        <f>SUMIFS('Data Sheet Actuals'!$D:$D,'Data Sheet Actuals'!$C:$C,Unit!$B31,'Data Sheet Actuals'!$B:$B,Unit!$D$3,'Data Sheet Actuals'!$A:$A,Unit!Z$4)</f>
        <v>3215.04</v>
      </c>
      <c r="AA31" s="33">
        <f t="shared" ref="AA31" si="57">IFERROR(Z31/Z$14,"")</f>
        <v>5.9474085437761733E-2</v>
      </c>
      <c r="AB31" s="31">
        <f t="shared" ref="AB31:AB34" si="58">SUM(D31,F31,H31,J31,L31,N31,P31,R31,T31,V31,X31,Z31)</f>
        <v>52828.340000000011</v>
      </c>
      <c r="AC31" s="33">
        <f t="shared" ref="AC31" si="59">IFERROR(AB31/AB$14,"")</f>
        <v>7.9954277368907964E-2</v>
      </c>
    </row>
    <row r="32" spans="2:29">
      <c r="B32" s="45">
        <v>3002</v>
      </c>
      <c r="C32" s="55" t="s">
        <v>113</v>
      </c>
      <c r="D32" s="47">
        <f>SUMIFS('Data Sheet Actuals'!$D:$D,'Data Sheet Actuals'!$C:$C,Unit!$B32,'Data Sheet Actuals'!$B:$B,Unit!$D$3,'Data Sheet Actuals'!$A:$A,Unit!D$4)</f>
        <v>5757.5</v>
      </c>
      <c r="E32" s="33">
        <f t="shared" si="47"/>
        <v>9.8383721633619178E-2</v>
      </c>
      <c r="F32" s="31">
        <f>SUMIFS('Data Sheet Actuals'!$D:$D,'Data Sheet Actuals'!$C:$C,Unit!$B32,'Data Sheet Actuals'!$B:$B,Unit!$D$3,'Data Sheet Actuals'!$A:$A,Unit!F$4)</f>
        <v>5081.51</v>
      </c>
      <c r="G32" s="33">
        <f t="shared" si="47"/>
        <v>8.2854858270615533E-2</v>
      </c>
      <c r="H32" s="31">
        <f>SUMIFS('Data Sheet Actuals'!$D:$D,'Data Sheet Actuals'!$C:$C,Unit!$B32,'Data Sheet Actuals'!$B:$B,Unit!$D$3,'Data Sheet Actuals'!$A:$A,Unit!H$4)</f>
        <v>4107.3999999999996</v>
      </c>
      <c r="I32" s="33">
        <f t="shared" ref="I32" si="60">IFERROR(H32/H$14,"")</f>
        <v>7.5829436383877055E-2</v>
      </c>
      <c r="J32" s="31">
        <f>SUMIFS('Data Sheet Actuals'!$D:$D,'Data Sheet Actuals'!$C:$C,Unit!$B32,'Data Sheet Actuals'!$B:$B,Unit!$D$3,'Data Sheet Actuals'!$A:$A,Unit!J$4)</f>
        <v>3537.28</v>
      </c>
      <c r="K32" s="33">
        <f t="shared" ref="K32" si="61">IFERROR(J32/J$14,"")</f>
        <v>6.7144697042317555E-2</v>
      </c>
      <c r="L32" s="31">
        <f>SUMIFS('Data Sheet Actuals'!$D:$D,'Data Sheet Actuals'!$C:$C,Unit!$B32,'Data Sheet Actuals'!$B:$B,Unit!$D$3,'Data Sheet Actuals'!$A:$A,Unit!L$4)</f>
        <v>2092.64</v>
      </c>
      <c r="M32" s="33">
        <f t="shared" ref="M32" si="62">IFERROR(L32/L$14,"")</f>
        <v>4.2931126872328397E-2</v>
      </c>
      <c r="N32" s="31">
        <f>SUMIFS('Data Sheet Actuals'!$D:$D,'Data Sheet Actuals'!$C:$C,Unit!$B32,'Data Sheet Actuals'!$B:$B,Unit!$D$3,'Data Sheet Actuals'!$A:$A,Unit!N$4)</f>
        <v>3060.33</v>
      </c>
      <c r="O32" s="33">
        <f t="shared" ref="O32" si="63">IFERROR(N32/N$14,"")</f>
        <v>5.4856351904627634E-2</v>
      </c>
      <c r="P32" s="31">
        <f>SUMIFS('Data Sheet Actuals'!$D:$D,'Data Sheet Actuals'!$C:$C,Unit!$B32,'Data Sheet Actuals'!$B:$B,Unit!$D$3,'Data Sheet Actuals'!$A:$A,Unit!P$4)</f>
        <v>3698.76</v>
      </c>
      <c r="Q32" s="33">
        <f t="shared" ref="Q32" si="64">IFERROR(P32/P$14,"")</f>
        <v>6.3204129262625322E-2</v>
      </c>
      <c r="R32" s="31">
        <f>SUMIFS('Data Sheet Actuals'!$D:$D,'Data Sheet Actuals'!$C:$C,Unit!$B32,'Data Sheet Actuals'!$B:$B,Unit!$D$3,'Data Sheet Actuals'!$A:$A,Unit!R$4)</f>
        <v>2893.73</v>
      </c>
      <c r="S32" s="33">
        <f t="shared" ref="S32" si="65">IFERROR(R32/R$14,"")</f>
        <v>4.7182744700576845E-2</v>
      </c>
      <c r="T32" s="31">
        <f>SUMIFS('Data Sheet Actuals'!$D:$D,'Data Sheet Actuals'!$C:$C,Unit!$B32,'Data Sheet Actuals'!$B:$B,Unit!$D$3,'Data Sheet Actuals'!$A:$A,Unit!T$4)</f>
        <v>5013.13</v>
      </c>
      <c r="U32" s="33">
        <f t="shared" ref="U32" si="66">IFERROR(T32/T$14,"")</f>
        <v>9.2550718804865761E-2</v>
      </c>
      <c r="V32" s="31">
        <f>SUMIFS('Data Sheet Actuals'!$D:$D,'Data Sheet Actuals'!$C:$C,Unit!$B32,'Data Sheet Actuals'!$B:$B,Unit!$D$3,'Data Sheet Actuals'!$A:$A,Unit!V$4)</f>
        <v>3072.92</v>
      </c>
      <c r="W32" s="33">
        <f t="shared" ref="W32" si="67">IFERROR(V32/V$14,"")</f>
        <v>5.8330209210262815E-2</v>
      </c>
      <c r="X32" s="31">
        <f>SUMIFS('Data Sheet Actuals'!$D:$D,'Data Sheet Actuals'!$C:$C,Unit!$B32,'Data Sheet Actuals'!$B:$B,Unit!$D$3,'Data Sheet Actuals'!$A:$A,Unit!X$4)</f>
        <v>2849.58</v>
      </c>
      <c r="Y32" s="33">
        <f t="shared" ref="Y32" si="68">IFERROR(X32/X$14,"")</f>
        <v>5.8459974249201754E-2</v>
      </c>
      <c r="Z32" s="31">
        <f>SUMIFS('Data Sheet Actuals'!$D:$D,'Data Sheet Actuals'!$C:$C,Unit!$B32,'Data Sheet Actuals'!$B:$B,Unit!$D$3,'Data Sheet Actuals'!$A:$A,Unit!Z$4)</f>
        <v>3013.07</v>
      </c>
      <c r="AA32" s="33">
        <f t="shared" ref="AA32" si="69">IFERROR(Z32/Z$14,"")</f>
        <v>5.5737901428895675E-2</v>
      </c>
      <c r="AB32" s="31">
        <f t="shared" si="58"/>
        <v>44177.85</v>
      </c>
      <c r="AC32" s="33">
        <f t="shared" ref="AC32" si="70">IFERROR(AB32/AB$14,"")</f>
        <v>6.6861992492325328E-2</v>
      </c>
    </row>
    <row r="33" spans="2:29">
      <c r="B33" s="45">
        <v>3003</v>
      </c>
      <c r="C33" s="55" t="s">
        <v>112</v>
      </c>
      <c r="D33" s="47">
        <f>SUMIFS('Data Sheet Actuals'!$D:$D,'Data Sheet Actuals'!$C:$C,Unit!$B33,'Data Sheet Actuals'!$B:$B,Unit!$D$3,'Data Sheet Actuals'!$A:$A,Unit!D$4)</f>
        <v>3559.18</v>
      </c>
      <c r="E33" s="33">
        <f t="shared" si="47"/>
        <v>6.0818996850012103E-2</v>
      </c>
      <c r="F33" s="31">
        <f>SUMIFS('Data Sheet Actuals'!$D:$D,'Data Sheet Actuals'!$C:$C,Unit!$B33,'Data Sheet Actuals'!$B:$B,Unit!$D$3,'Data Sheet Actuals'!$A:$A,Unit!F$4)</f>
        <v>4135.49</v>
      </c>
      <c r="G33" s="33">
        <f t="shared" si="47"/>
        <v>6.7429846212946107E-2</v>
      </c>
      <c r="H33" s="31">
        <f>SUMIFS('Data Sheet Actuals'!$D:$D,'Data Sheet Actuals'!$C:$C,Unit!$B33,'Data Sheet Actuals'!$B:$B,Unit!$D$3,'Data Sheet Actuals'!$A:$A,Unit!H$4)</f>
        <v>4034.38</v>
      </c>
      <c r="I33" s="33">
        <f t="shared" ref="I33" si="71">IFERROR(H33/H$14,"")</f>
        <v>7.4481365720014112E-2</v>
      </c>
      <c r="J33" s="31">
        <f>SUMIFS('Data Sheet Actuals'!$D:$D,'Data Sheet Actuals'!$C:$C,Unit!$B33,'Data Sheet Actuals'!$B:$B,Unit!$D$3,'Data Sheet Actuals'!$A:$A,Unit!J$4)</f>
        <v>4638.88</v>
      </c>
      <c r="K33" s="33">
        <f t="shared" ref="K33" si="72">IFERROR(J33/J$14,"")</f>
        <v>8.8055283216388308E-2</v>
      </c>
      <c r="L33" s="31">
        <f>SUMIFS('Data Sheet Actuals'!$D:$D,'Data Sheet Actuals'!$C:$C,Unit!$B33,'Data Sheet Actuals'!$B:$B,Unit!$D$3,'Data Sheet Actuals'!$A:$A,Unit!L$4)</f>
        <v>2124.61</v>
      </c>
      <c r="M33" s="33">
        <f t="shared" ref="M33" si="73">IFERROR(L33/L$14,"")</f>
        <v>4.3587000852615666E-2</v>
      </c>
      <c r="N33" s="31">
        <f>SUMIFS('Data Sheet Actuals'!$D:$D,'Data Sheet Actuals'!$C:$C,Unit!$B33,'Data Sheet Actuals'!$B:$B,Unit!$D$3,'Data Sheet Actuals'!$A:$A,Unit!N$4)</f>
        <v>2827.48</v>
      </c>
      <c r="O33" s="33">
        <f t="shared" ref="O33" si="74">IFERROR(N33/N$14,"")</f>
        <v>5.0682520474359484E-2</v>
      </c>
      <c r="P33" s="31">
        <f>SUMIFS('Data Sheet Actuals'!$D:$D,'Data Sheet Actuals'!$C:$C,Unit!$B33,'Data Sheet Actuals'!$B:$B,Unit!$D$3,'Data Sheet Actuals'!$A:$A,Unit!P$4)</f>
        <v>2870.56</v>
      </c>
      <c r="Q33" s="33">
        <f t="shared" ref="Q33" si="75">IFERROR(P33/P$14,"")</f>
        <v>4.9051910720382431E-2</v>
      </c>
      <c r="R33" s="31">
        <f>SUMIFS('Data Sheet Actuals'!$D:$D,'Data Sheet Actuals'!$C:$C,Unit!$B33,'Data Sheet Actuals'!$B:$B,Unit!$D$3,'Data Sheet Actuals'!$A:$A,Unit!R$4)</f>
        <v>2740.77</v>
      </c>
      <c r="S33" s="33">
        <f t="shared" ref="S33" si="76">IFERROR(R33/R$14,"")</f>
        <v>4.4688706684106676E-2</v>
      </c>
      <c r="T33" s="31">
        <f>SUMIFS('Data Sheet Actuals'!$D:$D,'Data Sheet Actuals'!$C:$C,Unit!$B33,'Data Sheet Actuals'!$B:$B,Unit!$D$3,'Data Sheet Actuals'!$A:$A,Unit!T$4)</f>
        <v>4595.37</v>
      </c>
      <c r="U33" s="33">
        <f t="shared" ref="U33" si="77">IFERROR(T33/T$14,"")</f>
        <v>8.4838174289179807E-2</v>
      </c>
      <c r="V33" s="31">
        <f>SUMIFS('Data Sheet Actuals'!$D:$D,'Data Sheet Actuals'!$C:$C,Unit!$B33,'Data Sheet Actuals'!$B:$B,Unit!$D$3,'Data Sheet Actuals'!$A:$A,Unit!V$4)</f>
        <v>2786.12</v>
      </c>
      <c r="W33" s="33">
        <f t="shared" ref="W33" si="78">IFERROR(V33/V$14,"")</f>
        <v>5.2886167711784692E-2</v>
      </c>
      <c r="X33" s="31">
        <f>SUMIFS('Data Sheet Actuals'!$D:$D,'Data Sheet Actuals'!$C:$C,Unit!$B33,'Data Sheet Actuals'!$B:$B,Unit!$D$3,'Data Sheet Actuals'!$A:$A,Unit!X$4)</f>
        <v>3071.98</v>
      </c>
      <c r="Y33" s="33">
        <f t="shared" ref="Y33" si="79">IFERROR(X33/X$14,"")</f>
        <v>6.3022575851200108E-2</v>
      </c>
      <c r="Z33" s="31">
        <f>SUMIFS('Data Sheet Actuals'!$D:$D,'Data Sheet Actuals'!$C:$C,Unit!$B33,'Data Sheet Actuals'!$B:$B,Unit!$D$3,'Data Sheet Actuals'!$A:$A,Unit!Z$4)</f>
        <v>2501.54</v>
      </c>
      <c r="AA33" s="33">
        <f t="shared" ref="AA33" si="80">IFERROR(Z33/Z$14,"")</f>
        <v>4.6275257441891392E-2</v>
      </c>
      <c r="AB33" s="31">
        <f t="shared" si="58"/>
        <v>39886.360000000008</v>
      </c>
      <c r="AC33" s="33">
        <f t="shared" ref="AC33" si="81">IFERROR(AB33/AB$14,"")</f>
        <v>6.0366937342269618E-2</v>
      </c>
    </row>
    <row r="34" spans="2:29">
      <c r="B34" s="45">
        <v>3004</v>
      </c>
      <c r="C34" s="55" t="s">
        <v>114</v>
      </c>
      <c r="D34" s="47">
        <f>SUMIFS('Data Sheet Actuals'!$D:$D,'Data Sheet Actuals'!$C:$C,Unit!$B34,'Data Sheet Actuals'!$B:$B,Unit!$D$3,'Data Sheet Actuals'!$A:$A,Unit!D$4)</f>
        <v>605.05999999999995</v>
      </c>
      <c r="E34" s="33">
        <f t="shared" si="47"/>
        <v>1.0339219211747741E-2</v>
      </c>
      <c r="F34" s="31">
        <f>SUMIFS('Data Sheet Actuals'!$D:$D,'Data Sheet Actuals'!$C:$C,Unit!$B34,'Data Sheet Actuals'!$B:$B,Unit!$D$3,'Data Sheet Actuals'!$A:$A,Unit!F$4)</f>
        <v>390.57</v>
      </c>
      <c r="G34" s="33">
        <f t="shared" si="47"/>
        <v>6.3683082380541029E-3</v>
      </c>
      <c r="H34" s="31">
        <f>SUMIFS('Data Sheet Actuals'!$D:$D,'Data Sheet Actuals'!$C:$C,Unit!$B34,'Data Sheet Actuals'!$B:$B,Unit!$D$3,'Data Sheet Actuals'!$A:$A,Unit!H$4)</f>
        <v>527.57000000000005</v>
      </c>
      <c r="I34" s="33">
        <f t="shared" ref="I34" si="82">IFERROR(H34/H$14,"")</f>
        <v>9.73981977724157E-3</v>
      </c>
      <c r="J34" s="31">
        <f>SUMIFS('Data Sheet Actuals'!$D:$D,'Data Sheet Actuals'!$C:$C,Unit!$B34,'Data Sheet Actuals'!$B:$B,Unit!$D$3,'Data Sheet Actuals'!$A:$A,Unit!J$4)</f>
        <v>584.16</v>
      </c>
      <c r="K34" s="33">
        <f t="shared" ref="K34" si="83">IFERROR(J34/J$14,"")</f>
        <v>1.1088533060498522E-2</v>
      </c>
      <c r="L34" s="31">
        <f>SUMIFS('Data Sheet Actuals'!$D:$D,'Data Sheet Actuals'!$C:$C,Unit!$B34,'Data Sheet Actuals'!$B:$B,Unit!$D$3,'Data Sheet Actuals'!$A:$A,Unit!L$4)</f>
        <v>419.98</v>
      </c>
      <c r="M34" s="33">
        <f t="shared" ref="M34" si="84">IFERROR(L34/L$14,"")</f>
        <v>8.616013582766497E-3</v>
      </c>
      <c r="N34" s="31">
        <f>SUMIFS('Data Sheet Actuals'!$D:$D,'Data Sheet Actuals'!$C:$C,Unit!$B34,'Data Sheet Actuals'!$B:$B,Unit!$D$3,'Data Sheet Actuals'!$A:$A,Unit!N$4)</f>
        <v>336.47</v>
      </c>
      <c r="O34" s="33">
        <f t="shared" ref="O34" si="85">IFERROR(N34/N$14,"")</f>
        <v>6.0312177854512624E-3</v>
      </c>
      <c r="P34" s="31">
        <f>SUMIFS('Data Sheet Actuals'!$D:$D,'Data Sheet Actuals'!$C:$C,Unit!$B34,'Data Sheet Actuals'!$B:$B,Unit!$D$3,'Data Sheet Actuals'!$A:$A,Unit!P$4)</f>
        <v>522.85</v>
      </c>
      <c r="Q34" s="33">
        <f t="shared" ref="Q34" si="86">IFERROR(P34/P$14,"")</f>
        <v>8.9344209910790784E-3</v>
      </c>
      <c r="R34" s="31">
        <f>SUMIFS('Data Sheet Actuals'!$D:$D,'Data Sheet Actuals'!$C:$C,Unit!$B34,'Data Sheet Actuals'!$B:$B,Unit!$D$3,'Data Sheet Actuals'!$A:$A,Unit!R$4)</f>
        <v>537.61</v>
      </c>
      <c r="S34" s="33">
        <f t="shared" ref="S34" si="87">IFERROR(R34/R$14,"")</f>
        <v>8.7658196785730252E-3</v>
      </c>
      <c r="T34" s="31">
        <f>SUMIFS('Data Sheet Actuals'!$D:$D,'Data Sheet Actuals'!$C:$C,Unit!$B34,'Data Sheet Actuals'!$B:$B,Unit!$D$3,'Data Sheet Actuals'!$A:$A,Unit!T$4)</f>
        <v>355.1</v>
      </c>
      <c r="U34" s="33">
        <f t="shared" ref="U34" si="88">IFERROR(T34/T$14,"")</f>
        <v>6.5557366849867916E-3</v>
      </c>
      <c r="V34" s="31">
        <f>SUMIFS('Data Sheet Actuals'!$D:$D,'Data Sheet Actuals'!$C:$C,Unit!$B34,'Data Sheet Actuals'!$B:$B,Unit!$D$3,'Data Sheet Actuals'!$A:$A,Unit!V$4)</f>
        <v>394.7</v>
      </c>
      <c r="W34" s="33">
        <f t="shared" ref="W34" si="89">IFERROR(V34/V$14,"")</f>
        <v>7.4922007651649671E-3</v>
      </c>
      <c r="X34" s="31">
        <f>SUMIFS('Data Sheet Actuals'!$D:$D,'Data Sheet Actuals'!$C:$C,Unit!$B34,'Data Sheet Actuals'!$B:$B,Unit!$D$3,'Data Sheet Actuals'!$A:$A,Unit!X$4)</f>
        <v>351.51</v>
      </c>
      <c r="Y34" s="33">
        <f t="shared" ref="Y34" si="90">IFERROR(X34/X$14,"")</f>
        <v>7.2113313359642153E-3</v>
      </c>
      <c r="Z34" s="31">
        <f>SUMIFS('Data Sheet Actuals'!$D:$D,'Data Sheet Actuals'!$C:$C,Unit!$B34,'Data Sheet Actuals'!$B:$B,Unit!$D$3,'Data Sheet Actuals'!$A:$A,Unit!Z$4)</f>
        <v>455.64</v>
      </c>
      <c r="AA34" s="33">
        <f t="shared" ref="AA34" si="91">IFERROR(Z34/Z$14,"")</f>
        <v>8.4287512095842527E-3</v>
      </c>
      <c r="AB34" s="31">
        <f t="shared" si="58"/>
        <v>5481.22</v>
      </c>
      <c r="AC34" s="33">
        <f t="shared" ref="AC34" si="92">IFERROR(AB34/AB$14,"")</f>
        <v>8.2956796333181326E-3</v>
      </c>
    </row>
    <row r="35" spans="2:29">
      <c r="B35" s="45"/>
      <c r="C35" s="54"/>
      <c r="D35" s="48" t="s">
        <v>42</v>
      </c>
      <c r="E35" s="36" t="s">
        <v>42</v>
      </c>
      <c r="F35" s="35" t="s">
        <v>42</v>
      </c>
      <c r="G35" s="36" t="s">
        <v>42</v>
      </c>
      <c r="H35" s="35" t="s">
        <v>42</v>
      </c>
      <c r="I35" s="36" t="s">
        <v>42</v>
      </c>
      <c r="J35" s="35" t="s">
        <v>42</v>
      </c>
      <c r="K35" s="36" t="s">
        <v>42</v>
      </c>
      <c r="L35" s="35" t="s">
        <v>42</v>
      </c>
      <c r="M35" s="36" t="s">
        <v>42</v>
      </c>
      <c r="N35" s="35" t="s">
        <v>42</v>
      </c>
      <c r="O35" s="36" t="s">
        <v>42</v>
      </c>
      <c r="P35" s="35" t="s">
        <v>42</v>
      </c>
      <c r="Q35" s="36" t="s">
        <v>42</v>
      </c>
      <c r="R35" s="35" t="s">
        <v>42</v>
      </c>
      <c r="S35" s="36" t="s">
        <v>42</v>
      </c>
      <c r="T35" s="35" t="s">
        <v>42</v>
      </c>
      <c r="U35" s="36" t="s">
        <v>42</v>
      </c>
      <c r="V35" s="35" t="s">
        <v>42</v>
      </c>
      <c r="W35" s="36" t="s">
        <v>42</v>
      </c>
      <c r="X35" s="35" t="s">
        <v>42</v>
      </c>
      <c r="Y35" s="36" t="s">
        <v>42</v>
      </c>
      <c r="Z35" s="35" t="s">
        <v>42</v>
      </c>
      <c r="AA35" s="36" t="s">
        <v>42</v>
      </c>
      <c r="AB35" s="35" t="s">
        <v>42</v>
      </c>
      <c r="AC35" s="36" t="s">
        <v>42</v>
      </c>
    </row>
    <row r="36" spans="2:29">
      <c r="B36" s="45"/>
      <c r="C36" s="57" t="s">
        <v>115</v>
      </c>
      <c r="D36" s="64">
        <f>SUM(D30:D35)</f>
        <v>16448.960000000003</v>
      </c>
      <c r="E36" s="65">
        <f>IFERROR(D36/D$14,"")</f>
        <v>0.28107857608381015</v>
      </c>
      <c r="F36" s="64">
        <f>SUM(F30:F35)</f>
        <v>14822.64</v>
      </c>
      <c r="G36" s="65">
        <f>IFERROR(F36/F$14,"")</f>
        <v>0.2416855888104828</v>
      </c>
      <c r="H36" s="64">
        <f>SUM(H30:H35)</f>
        <v>13394.2</v>
      </c>
      <c r="I36" s="65">
        <f>IFERROR(H36/H$14,"")</f>
        <v>0.24727921235159134</v>
      </c>
      <c r="J36" s="64">
        <f>SUM(J30:J35)</f>
        <v>14229.720000000001</v>
      </c>
      <c r="K36" s="65">
        <f>IFERROR(J36/J$14,"")</f>
        <v>0.2701087384648676</v>
      </c>
      <c r="L36" s="64">
        <f>SUM(L30:L35)</f>
        <v>7372.6999999999989</v>
      </c>
      <c r="M36" s="65">
        <f>IFERROR(L36/L$14,"")</f>
        <v>0.15125311524754165</v>
      </c>
      <c r="N36" s="64">
        <f>SUM(N30:N35)</f>
        <v>10529.09</v>
      </c>
      <c r="O36" s="65">
        <f>IFERROR(N36/N$14,"")</f>
        <v>0.18873372030973648</v>
      </c>
      <c r="P36" s="64">
        <f>SUM(P30:P35)</f>
        <v>10403.08</v>
      </c>
      <c r="Q36" s="65">
        <f>IFERROR(P36/P$14,"")</f>
        <v>0.17776703896695978</v>
      </c>
      <c r="R36" s="64">
        <f>SUM(R30:R35)</f>
        <v>10743.720000000001</v>
      </c>
      <c r="S36" s="65">
        <f>IFERROR(R36/R$14,"")</f>
        <v>0.1751781257734763</v>
      </c>
      <c r="T36" s="64">
        <f>SUM(T30:T35)</f>
        <v>15167.539999999999</v>
      </c>
      <c r="U36" s="65">
        <f>IFERROR(T36/T$14,"")</f>
        <v>0.28001801858351044</v>
      </c>
      <c r="V36" s="64">
        <f>SUM(V30:V35)</f>
        <v>9306.5800000000017</v>
      </c>
      <c r="W36" s="65">
        <f>IFERROR(V36/V$14,"")</f>
        <v>0.17665762806452748</v>
      </c>
      <c r="X36" s="64">
        <f>SUM(X30:X35)</f>
        <v>10770.25</v>
      </c>
      <c r="Y36" s="65">
        <f>IFERROR(X36/X$14,"")</f>
        <v>0.22095485568310599</v>
      </c>
      <c r="Z36" s="64">
        <f>SUM(Z30:Z35)</f>
        <v>9185.2900000000009</v>
      </c>
      <c r="AA36" s="65">
        <f>IFERROR(Z36/Z$14,"")</f>
        <v>0.16991599551813308</v>
      </c>
      <c r="AB36" s="64">
        <f>SUM(AB30:AB35)</f>
        <v>142373.77000000002</v>
      </c>
      <c r="AC36" s="65">
        <f>IFERROR(AB36/AB$14,"")</f>
        <v>0.21547888683682104</v>
      </c>
    </row>
    <row r="37" spans="2:29">
      <c r="B37" s="45"/>
      <c r="C37" s="54"/>
      <c r="D37" s="48" t="s">
        <v>42</v>
      </c>
      <c r="E37" s="36" t="s">
        <v>42</v>
      </c>
      <c r="F37" s="35" t="s">
        <v>42</v>
      </c>
      <c r="G37" s="36" t="s">
        <v>42</v>
      </c>
      <c r="H37" s="35" t="s">
        <v>42</v>
      </c>
      <c r="I37" s="36" t="s">
        <v>42</v>
      </c>
      <c r="J37" s="35" t="s">
        <v>42</v>
      </c>
      <c r="K37" s="36" t="s">
        <v>42</v>
      </c>
      <c r="L37" s="35" t="s">
        <v>42</v>
      </c>
      <c r="M37" s="36" t="s">
        <v>42</v>
      </c>
      <c r="N37" s="35" t="s">
        <v>42</v>
      </c>
      <c r="O37" s="36" t="s">
        <v>42</v>
      </c>
      <c r="P37" s="35" t="s">
        <v>42</v>
      </c>
      <c r="Q37" s="36" t="s">
        <v>42</v>
      </c>
      <c r="R37" s="35" t="s">
        <v>42</v>
      </c>
      <c r="S37" s="36" t="s">
        <v>42</v>
      </c>
      <c r="T37" s="35" t="s">
        <v>42</v>
      </c>
      <c r="U37" s="36" t="s">
        <v>42</v>
      </c>
      <c r="V37" s="35" t="s">
        <v>42</v>
      </c>
      <c r="W37" s="36" t="s">
        <v>42</v>
      </c>
      <c r="X37" s="35" t="s">
        <v>42</v>
      </c>
      <c r="Y37" s="36" t="s">
        <v>42</v>
      </c>
      <c r="Z37" s="35" t="s">
        <v>42</v>
      </c>
      <c r="AA37" s="36" t="s">
        <v>42</v>
      </c>
      <c r="AB37" s="35" t="s">
        <v>42</v>
      </c>
      <c r="AC37" s="36" t="s">
        <v>42</v>
      </c>
    </row>
    <row r="38" spans="2:29">
      <c r="B38" s="45"/>
      <c r="C38" s="54"/>
      <c r="D38" s="47"/>
      <c r="E38" s="32"/>
      <c r="F38" s="31"/>
      <c r="G38" s="32"/>
      <c r="H38" s="31"/>
      <c r="I38" s="32"/>
      <c r="J38" s="31"/>
      <c r="K38" s="32"/>
      <c r="L38" s="31"/>
      <c r="M38" s="32"/>
      <c r="N38" s="31"/>
      <c r="O38" s="32"/>
      <c r="P38" s="31"/>
      <c r="Q38" s="32"/>
      <c r="R38" s="31"/>
      <c r="S38" s="32"/>
      <c r="T38" s="31"/>
      <c r="U38" s="32"/>
      <c r="V38" s="31"/>
      <c r="W38" s="32"/>
      <c r="X38" s="31"/>
      <c r="Y38" s="32"/>
      <c r="Z38" s="31"/>
      <c r="AA38" s="32"/>
      <c r="AB38" s="31"/>
      <c r="AC38" s="32"/>
    </row>
    <row r="39" spans="2:29">
      <c r="B39" s="45" t="e">
        <v>#N/A</v>
      </c>
      <c r="C39" s="57" t="s">
        <v>116</v>
      </c>
      <c r="D39" s="47"/>
      <c r="E39" s="32"/>
      <c r="F39" s="31"/>
      <c r="G39" s="32"/>
      <c r="H39" s="31"/>
      <c r="I39" s="32"/>
      <c r="J39" s="31"/>
      <c r="K39" s="32"/>
      <c r="L39" s="31"/>
      <c r="M39" s="32"/>
      <c r="N39" s="31"/>
      <c r="O39" s="32"/>
      <c r="P39" s="31"/>
      <c r="Q39" s="32"/>
      <c r="R39" s="31"/>
      <c r="S39" s="32"/>
      <c r="T39" s="31"/>
      <c r="U39" s="32"/>
      <c r="V39" s="31"/>
      <c r="W39" s="32"/>
      <c r="X39" s="31"/>
      <c r="Y39" s="32"/>
      <c r="Z39" s="31"/>
      <c r="AA39" s="32"/>
      <c r="AB39" s="31"/>
      <c r="AC39" s="32"/>
    </row>
    <row r="40" spans="2:29">
      <c r="B40" s="45">
        <v>4010</v>
      </c>
      <c r="C40" s="55" t="s">
        <v>117</v>
      </c>
      <c r="D40" s="47">
        <f>SUMIFS('Data Sheet Actuals'!$D:$D,'Data Sheet Actuals'!$C:$C,Unit!$B40,'Data Sheet Actuals'!$B:$B,Unit!$D$3,'Data Sheet Actuals'!$A:$A,Unit!D$4)</f>
        <v>0</v>
      </c>
      <c r="E40" s="33">
        <f t="shared" ref="E40:E52" si="93">IFERROR(D40/D$14,"")</f>
        <v>0</v>
      </c>
      <c r="F40" s="31">
        <f>SUMIFS('Data Sheet Actuals'!$D:$D,'Data Sheet Actuals'!$C:$C,Unit!$B40,'Data Sheet Actuals'!$B:$B,Unit!$D$3,'Data Sheet Actuals'!$A:$A,Unit!F$4)</f>
        <v>0</v>
      </c>
      <c r="G40" s="33">
        <f t="shared" ref="G40" si="94">IFERROR(F40/F$14,"")</f>
        <v>0</v>
      </c>
      <c r="H40" s="31">
        <f>SUMIFS('Data Sheet Actuals'!$D:$D,'Data Sheet Actuals'!$C:$C,Unit!$B40,'Data Sheet Actuals'!$B:$B,Unit!$D$3,'Data Sheet Actuals'!$A:$A,Unit!H$4)</f>
        <v>0</v>
      </c>
      <c r="I40" s="33">
        <f t="shared" ref="I40" si="95">IFERROR(H40/H$14,"")</f>
        <v>0</v>
      </c>
      <c r="J40" s="31">
        <f>SUMIFS('Data Sheet Actuals'!$D:$D,'Data Sheet Actuals'!$C:$C,Unit!$B40,'Data Sheet Actuals'!$B:$B,Unit!$D$3,'Data Sheet Actuals'!$A:$A,Unit!J$4)</f>
        <v>0</v>
      </c>
      <c r="K40" s="33">
        <f t="shared" ref="K40" si="96">IFERROR(J40/J$14,"")</f>
        <v>0</v>
      </c>
      <c r="L40" s="31">
        <f>SUMIFS('Data Sheet Actuals'!$D:$D,'Data Sheet Actuals'!$C:$C,Unit!$B40,'Data Sheet Actuals'!$B:$B,Unit!$D$3,'Data Sheet Actuals'!$A:$A,Unit!L$4)</f>
        <v>0</v>
      </c>
      <c r="M40" s="33">
        <f t="shared" ref="M40" si="97">IFERROR(L40/L$14,"")</f>
        <v>0</v>
      </c>
      <c r="N40" s="31">
        <f>SUMIFS('Data Sheet Actuals'!$D:$D,'Data Sheet Actuals'!$C:$C,Unit!$B40,'Data Sheet Actuals'!$B:$B,Unit!$D$3,'Data Sheet Actuals'!$A:$A,Unit!N$4)</f>
        <v>0</v>
      </c>
      <c r="O40" s="33">
        <f t="shared" ref="O40" si="98">IFERROR(N40/N$14,"")</f>
        <v>0</v>
      </c>
      <c r="P40" s="31">
        <f>SUMIFS('Data Sheet Actuals'!$D:$D,'Data Sheet Actuals'!$C:$C,Unit!$B40,'Data Sheet Actuals'!$B:$B,Unit!$D$3,'Data Sheet Actuals'!$A:$A,Unit!P$4)</f>
        <v>0</v>
      </c>
      <c r="Q40" s="33">
        <f t="shared" ref="Q40" si="99">IFERROR(P40/P$14,"")</f>
        <v>0</v>
      </c>
      <c r="R40" s="31">
        <f>SUMIFS('Data Sheet Actuals'!$D:$D,'Data Sheet Actuals'!$C:$C,Unit!$B40,'Data Sheet Actuals'!$B:$B,Unit!$D$3,'Data Sheet Actuals'!$A:$A,Unit!R$4)</f>
        <v>0</v>
      </c>
      <c r="S40" s="33">
        <f t="shared" ref="S40" si="100">IFERROR(R40/R$14,"")</f>
        <v>0</v>
      </c>
      <c r="T40" s="31">
        <f>SUMIFS('Data Sheet Actuals'!$D:$D,'Data Sheet Actuals'!$C:$C,Unit!$B40,'Data Sheet Actuals'!$B:$B,Unit!$D$3,'Data Sheet Actuals'!$A:$A,Unit!T$4)</f>
        <v>0</v>
      </c>
      <c r="U40" s="33">
        <f t="shared" ref="U40" si="101">IFERROR(T40/T$14,"")</f>
        <v>0</v>
      </c>
      <c r="V40" s="31">
        <f>SUMIFS('Data Sheet Actuals'!$D:$D,'Data Sheet Actuals'!$C:$C,Unit!$B40,'Data Sheet Actuals'!$B:$B,Unit!$D$3,'Data Sheet Actuals'!$A:$A,Unit!V$4)</f>
        <v>0</v>
      </c>
      <c r="W40" s="33">
        <f t="shared" ref="W40" si="102">IFERROR(V40/V$14,"")</f>
        <v>0</v>
      </c>
      <c r="X40" s="31">
        <f>SUMIFS('Data Sheet Actuals'!$D:$D,'Data Sheet Actuals'!$C:$C,Unit!$B40,'Data Sheet Actuals'!$B:$B,Unit!$D$3,'Data Sheet Actuals'!$A:$A,Unit!X$4)</f>
        <v>0</v>
      </c>
      <c r="Y40" s="33">
        <f t="shared" ref="Y40" si="103">IFERROR(X40/X$14,"")</f>
        <v>0</v>
      </c>
      <c r="Z40" s="31">
        <f>SUMIFS('Data Sheet Actuals'!$D:$D,'Data Sheet Actuals'!$C:$C,Unit!$B40,'Data Sheet Actuals'!$B:$B,Unit!$D$3,'Data Sheet Actuals'!$A:$A,Unit!Z$4)</f>
        <v>0</v>
      </c>
      <c r="AA40" s="33">
        <f t="shared" ref="AA40" si="104">IFERROR(Z40/Z$14,"")</f>
        <v>0</v>
      </c>
      <c r="AB40" s="31">
        <f t="shared" ref="AB40:AB52" si="105">SUM(D40,F40,H40,J40,L40,N40,P40,R40,T40,V40,X40,Z40)</f>
        <v>0</v>
      </c>
      <c r="AC40" s="33">
        <f t="shared" ref="AC40" si="106">IFERROR(AB40/AB$14,"")</f>
        <v>0</v>
      </c>
    </row>
    <row r="41" spans="2:29">
      <c r="B41" s="45">
        <v>4011</v>
      </c>
      <c r="C41" s="55" t="s">
        <v>120</v>
      </c>
      <c r="D41" s="51">
        <f>SUMIFS('Data Sheet Actuals'!$D:$D,'Data Sheet Actuals'!$C:$C,Unit!$B41,'Data Sheet Actuals'!$B:$B,Unit!$D$3,'Data Sheet Actuals'!$A:$A,Unit!D$4)</f>
        <v>484.34</v>
      </c>
      <c r="E41" s="33">
        <f t="shared" si="93"/>
        <v>8.2763650431658033E-3</v>
      </c>
      <c r="F41" s="39">
        <f>SUMIFS('Data Sheet Actuals'!$D:$D,'Data Sheet Actuals'!$C:$C,Unit!$B41,'Data Sheet Actuals'!$B:$B,Unit!$D$3,'Data Sheet Actuals'!$A:$A,Unit!F$4)</f>
        <v>452.68</v>
      </c>
      <c r="G41" s="33">
        <f t="shared" ref="G41" si="107">IFERROR(F41/F$14,"")</f>
        <v>7.381022027299412E-3</v>
      </c>
      <c r="H41" s="39">
        <f>SUMIFS('Data Sheet Actuals'!$D:$D,'Data Sheet Actuals'!$C:$C,Unit!$B41,'Data Sheet Actuals'!$B:$B,Unit!$D$3,'Data Sheet Actuals'!$A:$A,Unit!H$4)</f>
        <v>590.35</v>
      </c>
      <c r="I41" s="33">
        <f t="shared" ref="I41" si="108">IFERROR(H41/H$14,"")</f>
        <v>1.0898843007552669E-2</v>
      </c>
      <c r="J41" s="39">
        <f>SUMIFS('Data Sheet Actuals'!$D:$D,'Data Sheet Actuals'!$C:$C,Unit!$B41,'Data Sheet Actuals'!$B:$B,Unit!$D$3,'Data Sheet Actuals'!$A:$A,Unit!J$4)</f>
        <v>478.16</v>
      </c>
      <c r="K41" s="33">
        <f t="shared" ref="K41" si="109">IFERROR(J41/J$14,"")</f>
        <v>9.0764396196384121E-3</v>
      </c>
      <c r="L41" s="39">
        <f>SUMIFS('Data Sheet Actuals'!$D:$D,'Data Sheet Actuals'!$C:$C,Unit!$B41,'Data Sheet Actuals'!$B:$B,Unit!$D$3,'Data Sheet Actuals'!$A:$A,Unit!L$4)</f>
        <v>438.01</v>
      </c>
      <c r="M41" s="33">
        <f t="shared" ref="M41" si="110">IFERROR(L41/L$14,"")</f>
        <v>8.9859043511299422E-3</v>
      </c>
      <c r="N41" s="39">
        <f>SUMIFS('Data Sheet Actuals'!$D:$D,'Data Sheet Actuals'!$C:$C,Unit!$B41,'Data Sheet Actuals'!$B:$B,Unit!$D$3,'Data Sheet Actuals'!$A:$A,Unit!N$4)</f>
        <v>473.26</v>
      </c>
      <c r="O41" s="33">
        <f t="shared" ref="O41" si="111">IFERROR(N41/N$14,"")</f>
        <v>8.483175704052855E-3</v>
      </c>
      <c r="P41" s="39">
        <f>SUMIFS('Data Sheet Actuals'!$D:$D,'Data Sheet Actuals'!$C:$C,Unit!$B41,'Data Sheet Actuals'!$B:$B,Unit!$D$3,'Data Sheet Actuals'!$A:$A,Unit!P$4)</f>
        <v>456.34</v>
      </c>
      <c r="Q41" s="33">
        <f t="shared" ref="Q41" si="112">IFERROR(P41/P$14,"")</f>
        <v>7.7979031750387796E-3</v>
      </c>
      <c r="R41" s="39">
        <f>SUMIFS('Data Sheet Actuals'!$D:$D,'Data Sheet Actuals'!$C:$C,Unit!$B41,'Data Sheet Actuals'!$B:$B,Unit!$D$3,'Data Sheet Actuals'!$A:$A,Unit!R$4)</f>
        <v>456.58</v>
      </c>
      <c r="S41" s="33">
        <f t="shared" ref="S41" si="113">IFERROR(R41/R$14,"")</f>
        <v>7.4446121702402704E-3</v>
      </c>
      <c r="T41" s="39">
        <f>SUMIFS('Data Sheet Actuals'!$D:$D,'Data Sheet Actuals'!$C:$C,Unit!$B41,'Data Sheet Actuals'!$B:$B,Unit!$D$3,'Data Sheet Actuals'!$A:$A,Unit!T$4)</f>
        <v>422.6</v>
      </c>
      <c r="U41" s="33">
        <f t="shared" ref="U41" si="114">IFERROR(T41/T$14,"")</f>
        <v>7.8018989667006985E-3</v>
      </c>
      <c r="V41" s="39">
        <f>SUMIFS('Data Sheet Actuals'!$D:$D,'Data Sheet Actuals'!$C:$C,Unit!$B41,'Data Sheet Actuals'!$B:$B,Unit!$D$3,'Data Sheet Actuals'!$A:$A,Unit!V$4)</f>
        <v>412.43</v>
      </c>
      <c r="W41" s="33">
        <f t="shared" ref="W41" si="115">IFERROR(V41/V$14,"")</f>
        <v>7.8287518661692111E-3</v>
      </c>
      <c r="X41" s="39">
        <f>SUMIFS('Data Sheet Actuals'!$D:$D,'Data Sheet Actuals'!$C:$C,Unit!$B41,'Data Sheet Actuals'!$B:$B,Unit!$D$3,'Data Sheet Actuals'!$A:$A,Unit!X$4)</f>
        <v>416.11</v>
      </c>
      <c r="Y41" s="33">
        <f t="shared" ref="Y41" si="116">IFERROR(X41/X$14,"")</f>
        <v>8.5366193912209311E-3</v>
      </c>
      <c r="Z41" s="39">
        <f>SUMIFS('Data Sheet Actuals'!$D:$D,'Data Sheet Actuals'!$C:$C,Unit!$B41,'Data Sheet Actuals'!$B:$B,Unit!$D$3,'Data Sheet Actuals'!$A:$A,Unit!Z$4)</f>
        <v>481.85</v>
      </c>
      <c r="AA41" s="33">
        <f t="shared" ref="AA41" si="117">IFERROR(Z41/Z$14,"")</f>
        <v>8.9136023403085171E-3</v>
      </c>
      <c r="AB41" s="31">
        <f t="shared" si="105"/>
        <v>5562.7100000000009</v>
      </c>
      <c r="AC41" s="33">
        <f t="shared" ref="AC41" si="118">IFERROR(AB41/AB$14,"")</f>
        <v>8.419012565278371E-3</v>
      </c>
    </row>
    <row r="42" spans="2:29">
      <c r="B42" s="45">
        <v>4012</v>
      </c>
      <c r="C42" s="55" t="s">
        <v>118</v>
      </c>
      <c r="D42" s="51">
        <f>SUMIFS('Data Sheet Actuals'!$D:$D,'Data Sheet Actuals'!$C:$C,Unit!$B42,'Data Sheet Actuals'!$B:$B,Unit!$D$3,'Data Sheet Actuals'!$A:$A,Unit!D$4)</f>
        <v>96.87</v>
      </c>
      <c r="E42" s="33">
        <f t="shared" si="93"/>
        <v>1.6553071844808841E-3</v>
      </c>
      <c r="F42" s="39">
        <f>SUMIFS('Data Sheet Actuals'!$D:$D,'Data Sheet Actuals'!$C:$C,Unit!$B42,'Data Sheet Actuals'!$B:$B,Unit!$D$3,'Data Sheet Actuals'!$A:$A,Unit!F$4)</f>
        <v>90.54</v>
      </c>
      <c r="G42" s="33">
        <f t="shared" ref="G42" si="119">IFERROR(F42/F$14,"")</f>
        <v>1.4762696261193091E-3</v>
      </c>
      <c r="H42" s="39">
        <f>SUMIFS('Data Sheet Actuals'!$D:$D,'Data Sheet Actuals'!$C:$C,Unit!$B42,'Data Sheet Actuals'!$B:$B,Unit!$D$3,'Data Sheet Actuals'!$A:$A,Unit!H$4)</f>
        <v>118.07</v>
      </c>
      <c r="I42" s="33">
        <f t="shared" ref="I42" si="120">IFERROR(H42/H$14,"")</f>
        <v>2.1797686015105336E-3</v>
      </c>
      <c r="J42" s="39">
        <f>SUMIFS('Data Sheet Actuals'!$D:$D,'Data Sheet Actuals'!$C:$C,Unit!$B42,'Data Sheet Actuals'!$B:$B,Unit!$D$3,'Data Sheet Actuals'!$A:$A,Unit!J$4)</f>
        <v>95.63</v>
      </c>
      <c r="K42" s="33">
        <f t="shared" ref="K42" si="121">IFERROR(J42/J$14,"")</f>
        <v>1.815249959900496E-3</v>
      </c>
      <c r="L42" s="39">
        <f>SUMIFS('Data Sheet Actuals'!$D:$D,'Data Sheet Actuals'!$C:$C,Unit!$B42,'Data Sheet Actuals'!$B:$B,Unit!$D$3,'Data Sheet Actuals'!$A:$A,Unit!L$4)</f>
        <v>87.6</v>
      </c>
      <c r="M42" s="33">
        <f t="shared" ref="M42" si="122">IFERROR(L42/L$14,"")</f>
        <v>1.7971398396360422E-3</v>
      </c>
      <c r="N42" s="39">
        <f>SUMIFS('Data Sheet Actuals'!$D:$D,'Data Sheet Actuals'!$C:$C,Unit!$B42,'Data Sheet Actuals'!$B:$B,Unit!$D$3,'Data Sheet Actuals'!$A:$A,Unit!N$4)</f>
        <v>94.65</v>
      </c>
      <c r="O42" s="33">
        <f t="shared" ref="O42" si="123">IFERROR(N42/N$14,"")</f>
        <v>1.6965992908519691E-3</v>
      </c>
      <c r="P42" s="39">
        <f>SUMIFS('Data Sheet Actuals'!$D:$D,'Data Sheet Actuals'!$C:$C,Unit!$B42,'Data Sheet Actuals'!$B:$B,Unit!$D$3,'Data Sheet Actuals'!$A:$A,Unit!P$4)</f>
        <v>91.27</v>
      </c>
      <c r="Q42" s="33">
        <f t="shared" ref="Q42" si="124">IFERROR(P42/P$14,"")</f>
        <v>1.5596148108554793E-3</v>
      </c>
      <c r="R42" s="39">
        <f>SUMIFS('Data Sheet Actuals'!$D:$D,'Data Sheet Actuals'!$C:$C,Unit!$B42,'Data Sheet Actuals'!$B:$B,Unit!$D$3,'Data Sheet Actuals'!$A:$A,Unit!R$4)</f>
        <v>91.32</v>
      </c>
      <c r="S42" s="33">
        <f t="shared" ref="S42" si="125">IFERROR(R42/R$14,"")</f>
        <v>1.4889876547074805E-3</v>
      </c>
      <c r="T42" s="39">
        <f>SUMIFS('Data Sheet Actuals'!$D:$D,'Data Sheet Actuals'!$C:$C,Unit!$B42,'Data Sheet Actuals'!$B:$B,Unit!$D$3,'Data Sheet Actuals'!$A:$A,Unit!T$4)</f>
        <v>84.52</v>
      </c>
      <c r="U42" s="33">
        <f t="shared" ref="U42" si="126">IFERROR(T42/T$14,"")</f>
        <v>1.5603797933401397E-3</v>
      </c>
      <c r="V42" s="39">
        <f>SUMIFS('Data Sheet Actuals'!$D:$D,'Data Sheet Actuals'!$C:$C,Unit!$B42,'Data Sheet Actuals'!$B:$B,Unit!$D$3,'Data Sheet Actuals'!$A:$A,Unit!V$4)</f>
        <v>82.49</v>
      </c>
      <c r="W42" s="33">
        <f t="shared" ref="W42" si="127">IFERROR(V42/V$14,"")</f>
        <v>1.5658263012882142E-3</v>
      </c>
      <c r="X42" s="39">
        <f>SUMIFS('Data Sheet Actuals'!$D:$D,'Data Sheet Actuals'!$C:$C,Unit!$B42,'Data Sheet Actuals'!$B:$B,Unit!$D$3,'Data Sheet Actuals'!$A:$A,Unit!X$4)</f>
        <v>83.22</v>
      </c>
      <c r="Y42" s="33">
        <f t="shared" ref="Y42" si="128">IFERROR(X42/X$14,"")</f>
        <v>1.7072828476542403E-3</v>
      </c>
      <c r="Z42" s="39">
        <f>SUMIFS('Data Sheet Actuals'!$D:$D,'Data Sheet Actuals'!$C:$C,Unit!$B42,'Data Sheet Actuals'!$B:$B,Unit!$D$3,'Data Sheet Actuals'!$A:$A,Unit!Z$4)</f>
        <v>96.37</v>
      </c>
      <c r="AA42" s="33">
        <f t="shared" ref="AA42" si="129">IFERROR(Z42/Z$14,"")</f>
        <v>1.7827204680617033E-3</v>
      </c>
      <c r="AB42" s="31">
        <f t="shared" si="105"/>
        <v>1112.5500000000002</v>
      </c>
      <c r="AC42" s="33">
        <f t="shared" ref="AC42" si="130">IFERROR(AB42/AB$14,"")</f>
        <v>1.6838146208413619E-3</v>
      </c>
    </row>
    <row r="43" spans="2:29">
      <c r="B43" s="45">
        <v>4013</v>
      </c>
      <c r="C43" s="55" t="s">
        <v>119</v>
      </c>
      <c r="D43" s="49">
        <f>SUMIFS('Data Sheet Actuals'!$D:$D,'Data Sheet Actuals'!$C:$C,Unit!$B43,'Data Sheet Actuals'!$B:$B,Unit!$D$3,'Data Sheet Actuals'!$A:$A,Unit!D$4)</f>
        <v>563.57000000000005</v>
      </c>
      <c r="E43" s="33">
        <f t="shared" si="93"/>
        <v>9.6302412507266628E-3</v>
      </c>
      <c r="F43" s="37">
        <f>SUMIFS('Data Sheet Actuals'!$D:$D,'Data Sheet Actuals'!$C:$C,Unit!$B43,'Data Sheet Actuals'!$B:$B,Unit!$D$3,'Data Sheet Actuals'!$A:$A,Unit!F$4)</f>
        <v>526.73</v>
      </c>
      <c r="G43" s="33">
        <f t="shared" ref="G43" si="131">IFERROR(F43/F$14,"")</f>
        <v>8.5884194849328872E-3</v>
      </c>
      <c r="H43" s="37">
        <f>SUMIFS('Data Sheet Actuals'!$D:$D,'Data Sheet Actuals'!$C:$C,Unit!$B43,'Data Sheet Actuals'!$B:$B,Unit!$D$3,'Data Sheet Actuals'!$A:$A,Unit!H$4)</f>
        <v>686.93</v>
      </c>
      <c r="I43" s="33">
        <f t="shared" ref="I43" si="132">IFERROR(H43/H$14,"")</f>
        <v>1.2681870461892357E-2</v>
      </c>
      <c r="J43" s="37">
        <f>SUMIFS('Data Sheet Actuals'!$D:$D,'Data Sheet Actuals'!$C:$C,Unit!$B43,'Data Sheet Actuals'!$B:$B,Unit!$D$3,'Data Sheet Actuals'!$A:$A,Unit!J$4)</f>
        <v>556.38</v>
      </c>
      <c r="K43" s="33">
        <f t="shared" ref="K43" si="133">IFERROR(J43/J$14,"")</f>
        <v>1.056121272288443E-2</v>
      </c>
      <c r="L43" s="37">
        <f>SUMIFS('Data Sheet Actuals'!$D:$D,'Data Sheet Actuals'!$C:$C,Unit!$B43,'Data Sheet Actuals'!$B:$B,Unit!$D$3,'Data Sheet Actuals'!$A:$A,Unit!L$4)</f>
        <v>509.67</v>
      </c>
      <c r="M43" s="33">
        <f t="shared" ref="M43" si="134">IFERROR(L43/L$14,"")</f>
        <v>1.0456030388896139E-2</v>
      </c>
      <c r="N43" s="37">
        <f>SUMIFS('Data Sheet Actuals'!$D:$D,'Data Sheet Actuals'!$C:$C,Unit!$B43,'Data Sheet Actuals'!$B:$B,Unit!$D$3,'Data Sheet Actuals'!$A:$A,Unit!N$4)</f>
        <v>550.67999999999995</v>
      </c>
      <c r="O43" s="33">
        <f t="shared" ref="O43" si="135">IFERROR(N43/N$14,"")</f>
        <v>9.8709276015463508E-3</v>
      </c>
      <c r="P43" s="37">
        <f>SUMIFS('Data Sheet Actuals'!$D:$D,'Data Sheet Actuals'!$C:$C,Unit!$B43,'Data Sheet Actuals'!$B:$B,Unit!$D$3,'Data Sheet Actuals'!$A:$A,Unit!P$4)</f>
        <v>531</v>
      </c>
      <c r="Q43" s="33">
        <f t="shared" ref="Q43" si="136">IFERROR(P43/P$14,"")</f>
        <v>9.0736875705517642E-3</v>
      </c>
      <c r="R43" s="37">
        <f>SUMIFS('Data Sheet Actuals'!$D:$D,'Data Sheet Actuals'!$C:$C,Unit!$B43,'Data Sheet Actuals'!$B:$B,Unit!$D$3,'Data Sheet Actuals'!$A:$A,Unit!R$4)</f>
        <v>531.27</v>
      </c>
      <c r="S43" s="33">
        <f t="shared" ref="S43" si="137">IFERROR(R43/R$14,"")</f>
        <v>8.6624449333819881E-3</v>
      </c>
      <c r="T43" s="37">
        <f>SUMIFS('Data Sheet Actuals'!$D:$D,'Data Sheet Actuals'!$C:$C,Unit!$B43,'Data Sheet Actuals'!$B:$B,Unit!$D$3,'Data Sheet Actuals'!$A:$A,Unit!T$4)</f>
        <v>491.73</v>
      </c>
      <c r="U43" s="33">
        <f t="shared" ref="U43" si="138">IFERROR(T43/T$14,"")</f>
        <v>9.0781537598100676E-3</v>
      </c>
      <c r="V43" s="37">
        <f>SUMIFS('Data Sheet Actuals'!$D:$D,'Data Sheet Actuals'!$C:$C,Unit!$B43,'Data Sheet Actuals'!$B:$B,Unit!$D$3,'Data Sheet Actuals'!$A:$A,Unit!V$4)</f>
        <v>479.89</v>
      </c>
      <c r="W43" s="33">
        <f t="shared" ref="W43" si="139">IFERROR(V43/V$14,"")</f>
        <v>9.1092785031543343E-3</v>
      </c>
      <c r="X43" s="37">
        <f>SUMIFS('Data Sheet Actuals'!$D:$D,'Data Sheet Actuals'!$C:$C,Unit!$B43,'Data Sheet Actuals'!$B:$B,Unit!$D$3,'Data Sheet Actuals'!$A:$A,Unit!X$4)</f>
        <v>484.17</v>
      </c>
      <c r="Y43" s="33">
        <f t="shared" ref="Y43" si="140">IFERROR(X43/X$14,"")</f>
        <v>9.9328903670842777E-3</v>
      </c>
      <c r="Z43" s="37">
        <f>SUMIFS('Data Sheet Actuals'!$D:$D,'Data Sheet Actuals'!$C:$C,Unit!$B43,'Data Sheet Actuals'!$B:$B,Unit!$D$3,'Data Sheet Actuals'!$A:$A,Unit!Z$4)</f>
        <v>560.66999999999996</v>
      </c>
      <c r="AA43" s="33">
        <f t="shared" ref="AA43" si="141">IFERROR(Z43/Z$14,"")</f>
        <v>1.0371670486958131E-2</v>
      </c>
      <c r="AB43" s="31">
        <f t="shared" si="105"/>
        <v>6472.69</v>
      </c>
      <c r="AC43" s="33">
        <f t="shared" ref="AC43" si="142">IFERROR(AB43/AB$14,"")</f>
        <v>9.7962429177777827E-3</v>
      </c>
    </row>
    <row r="44" spans="2:29">
      <c r="B44" s="45">
        <v>4014</v>
      </c>
      <c r="C44" s="55" t="s">
        <v>121</v>
      </c>
      <c r="D44" s="47">
        <f>SUMIFS('Data Sheet Actuals'!$D:$D,'Data Sheet Actuals'!$C:$C,Unit!$B44,'Data Sheet Actuals'!$B:$B,Unit!$D$3,'Data Sheet Actuals'!$A:$A,Unit!D$4)</f>
        <v>93</v>
      </c>
      <c r="E44" s="33">
        <f t="shared" si="93"/>
        <v>1.5891769191361848E-3</v>
      </c>
      <c r="F44" s="31">
        <f>SUMIFS('Data Sheet Actuals'!$D:$D,'Data Sheet Actuals'!$C:$C,Unit!$B44,'Data Sheet Actuals'!$B:$B,Unit!$D$3,'Data Sheet Actuals'!$A:$A,Unit!F$4)</f>
        <v>87</v>
      </c>
      <c r="G44" s="33">
        <f t="shared" ref="G44" si="143">IFERROR(F44/F$14,"")</f>
        <v>1.4185493425268377E-3</v>
      </c>
      <c r="H44" s="31">
        <f>SUMIFS('Data Sheet Actuals'!$D:$D,'Data Sheet Actuals'!$C:$C,Unit!$B44,'Data Sheet Actuals'!$B:$B,Unit!$D$3,'Data Sheet Actuals'!$A:$A,Unit!H$4)</f>
        <v>113.5</v>
      </c>
      <c r="I44" s="33">
        <f t="shared" ref="I44" si="144">IFERROR(H44/H$14,"")</f>
        <v>2.0953987996226438E-3</v>
      </c>
      <c r="J44" s="31">
        <f>SUMIFS('Data Sheet Actuals'!$D:$D,'Data Sheet Actuals'!$C:$C,Unit!$B44,'Data Sheet Actuals'!$B:$B,Unit!$D$3,'Data Sheet Actuals'!$A:$A,Unit!J$4)</f>
        <v>92</v>
      </c>
      <c r="K44" s="33">
        <f t="shared" ref="K44" si="145">IFERROR(J44/J$14,"")</f>
        <v>1.7463452505578339E-3</v>
      </c>
      <c r="L44" s="31">
        <f>SUMIFS('Data Sheet Actuals'!$D:$D,'Data Sheet Actuals'!$C:$C,Unit!$B44,'Data Sheet Actuals'!$B:$B,Unit!$D$3,'Data Sheet Actuals'!$A:$A,Unit!L$4)</f>
        <v>84</v>
      </c>
      <c r="M44" s="33">
        <f t="shared" ref="M44" si="146">IFERROR(L44/L$14,"")</f>
        <v>1.7232847777331913E-3</v>
      </c>
      <c r="N44" s="31">
        <f>SUMIFS('Data Sheet Actuals'!$D:$D,'Data Sheet Actuals'!$C:$C,Unit!$B44,'Data Sheet Actuals'!$B:$B,Unit!$D$3,'Data Sheet Actuals'!$A:$A,Unit!N$4)</f>
        <v>91</v>
      </c>
      <c r="O44" s="33">
        <f t="shared" ref="O44" si="147">IFERROR(N44/N$14,"")</f>
        <v>1.6311731164028438E-3</v>
      </c>
      <c r="P44" s="31">
        <f>SUMIFS('Data Sheet Actuals'!$D:$D,'Data Sheet Actuals'!$C:$C,Unit!$B44,'Data Sheet Actuals'!$B:$B,Unit!$D$3,'Data Sheet Actuals'!$A:$A,Unit!P$4)</f>
        <v>87.5</v>
      </c>
      <c r="Q44" s="33">
        <f t="shared" ref="Q44" si="148">IFERROR(P44/P$14,"")</f>
        <v>1.495193337896948E-3</v>
      </c>
      <c r="R44" s="31">
        <f>SUMIFS('Data Sheet Actuals'!$D:$D,'Data Sheet Actuals'!$C:$C,Unit!$B44,'Data Sheet Actuals'!$B:$B,Unit!$D$3,'Data Sheet Actuals'!$A:$A,Unit!R$4)</f>
        <v>87.5</v>
      </c>
      <c r="S44" s="33">
        <f t="shared" ref="S44" si="149">IFERROR(R44/R$14,"")</f>
        <v>1.4267019249551527E-3</v>
      </c>
      <c r="T44" s="31">
        <f>SUMIFS('Data Sheet Actuals'!$D:$D,'Data Sheet Actuals'!$C:$C,Unit!$B44,'Data Sheet Actuals'!$B:$B,Unit!$D$3,'Data Sheet Actuals'!$A:$A,Unit!T$4)</f>
        <v>81</v>
      </c>
      <c r="U44" s="33">
        <f t="shared" ref="U44" si="150">IFERROR(T44/T$14,"")</f>
        <v>1.4953947380566884E-3</v>
      </c>
      <c r="V44" s="31">
        <f>SUMIFS('Data Sheet Actuals'!$D:$D,'Data Sheet Actuals'!$C:$C,Unit!$B44,'Data Sheet Actuals'!$B:$B,Unit!$D$3,'Data Sheet Actuals'!$A:$A,Unit!V$4)</f>
        <v>79</v>
      </c>
      <c r="W44" s="33">
        <f t="shared" ref="W44" si="151">IFERROR(V44/V$14,"")</f>
        <v>1.4995790738485746E-3</v>
      </c>
      <c r="X44" s="31">
        <f>SUMIFS('Data Sheet Actuals'!$D:$D,'Data Sheet Actuals'!$C:$C,Unit!$B44,'Data Sheet Actuals'!$B:$B,Unit!$D$3,'Data Sheet Actuals'!$A:$A,Unit!X$4)</f>
        <v>80</v>
      </c>
      <c r="Y44" s="33">
        <f t="shared" ref="Y44" si="152">IFERROR(X44/X$14,"")</f>
        <v>1.6412235978411347E-3</v>
      </c>
      <c r="Z44" s="31">
        <f>SUMIFS('Data Sheet Actuals'!$D:$D,'Data Sheet Actuals'!$C:$C,Unit!$B44,'Data Sheet Actuals'!$B:$B,Unit!$D$3,'Data Sheet Actuals'!$A:$A,Unit!Z$4)</f>
        <v>92.5</v>
      </c>
      <c r="AA44" s="33">
        <f t="shared" ref="AA44" si="153">IFERROR(Z44/Z$14,"")</f>
        <v>1.7111304689810889E-3</v>
      </c>
      <c r="AB44" s="31">
        <f t="shared" si="105"/>
        <v>1068</v>
      </c>
      <c r="AC44" s="33">
        <f t="shared" ref="AC44" si="154">IFERROR(AB44/AB$14,"")</f>
        <v>1.6163893892935815E-3</v>
      </c>
    </row>
    <row r="45" spans="2:29">
      <c r="B45" s="45">
        <v>4018</v>
      </c>
      <c r="C45" s="55" t="s">
        <v>48</v>
      </c>
      <c r="D45" s="50">
        <f>SUMIFS('Data Sheet Actuals'!$D:$D,'Data Sheet Actuals'!$C:$C,Unit!$B45,'Data Sheet Actuals'!$B:$B,Unit!$D$3,'Data Sheet Actuals'!$A:$A,Unit!D$4)</f>
        <v>306.5</v>
      </c>
      <c r="E45" s="33">
        <f t="shared" si="93"/>
        <v>5.2374486636047376E-3</v>
      </c>
      <c r="F45" s="38">
        <f>SUMIFS('Data Sheet Actuals'!$D:$D,'Data Sheet Actuals'!$C:$C,Unit!$B45,'Data Sheet Actuals'!$B:$B,Unit!$D$3,'Data Sheet Actuals'!$A:$A,Unit!F$4)</f>
        <v>414.53</v>
      </c>
      <c r="G45" s="33">
        <f t="shared" ref="G45" si="155">IFERROR(F45/F$14,"")</f>
        <v>6.7589799880189653E-3</v>
      </c>
      <c r="H45" s="38">
        <f>SUMIFS('Data Sheet Actuals'!$D:$D,'Data Sheet Actuals'!$C:$C,Unit!$B45,'Data Sheet Actuals'!$B:$B,Unit!$D$3,'Data Sheet Actuals'!$A:$A,Unit!H$4)</f>
        <v>480.8</v>
      </c>
      <c r="I45" s="33">
        <f t="shared" ref="I45" si="156">IFERROR(H45/H$14,"")</f>
        <v>8.8763677784895779E-3</v>
      </c>
      <c r="J45" s="38">
        <f>SUMIFS('Data Sheet Actuals'!$D:$D,'Data Sheet Actuals'!$C:$C,Unit!$B45,'Data Sheet Actuals'!$B:$B,Unit!$D$3,'Data Sheet Actuals'!$A:$A,Unit!J$4)</f>
        <v>369.12</v>
      </c>
      <c r="K45" s="33">
        <f t="shared" ref="K45" si="157">IFERROR(J45/J$14,"")</f>
        <v>7.0066408574555178E-3</v>
      </c>
      <c r="L45" s="38">
        <f>SUMIFS('Data Sheet Actuals'!$D:$D,'Data Sheet Actuals'!$C:$C,Unit!$B45,'Data Sheet Actuals'!$B:$B,Unit!$D$3,'Data Sheet Actuals'!$A:$A,Unit!L$4)</f>
        <v>380.81</v>
      </c>
      <c r="M45" s="33">
        <f t="shared" ref="M45" si="158">IFERROR(L45/L$14,"")</f>
        <v>7.8124294786735314E-3</v>
      </c>
      <c r="N45" s="38">
        <f>SUMIFS('Data Sheet Actuals'!$D:$D,'Data Sheet Actuals'!$C:$C,Unit!$B45,'Data Sheet Actuals'!$B:$B,Unit!$D$3,'Data Sheet Actuals'!$A:$A,Unit!N$4)</f>
        <v>281.3</v>
      </c>
      <c r="O45" s="33">
        <f t="shared" ref="O45" si="159">IFERROR(N45/N$14,"")</f>
        <v>5.0422966774079118E-3</v>
      </c>
      <c r="P45" s="38">
        <f>SUMIFS('Data Sheet Actuals'!$D:$D,'Data Sheet Actuals'!$C:$C,Unit!$B45,'Data Sheet Actuals'!$B:$B,Unit!$D$3,'Data Sheet Actuals'!$A:$A,Unit!P$4)</f>
        <v>353.4</v>
      </c>
      <c r="Q45" s="33">
        <f t="shared" ref="Q45" si="160">IFERROR(P45/P$14,"")</f>
        <v>6.038872292717502E-3</v>
      </c>
      <c r="R45" s="38">
        <f>SUMIFS('Data Sheet Actuals'!$D:$D,'Data Sheet Actuals'!$C:$C,Unit!$B45,'Data Sheet Actuals'!$B:$B,Unit!$D$3,'Data Sheet Actuals'!$A:$A,Unit!R$4)</f>
        <v>370.37</v>
      </c>
      <c r="S45" s="33">
        <f t="shared" ref="S45" si="161">IFERROR(R45/R$14,"")</f>
        <v>6.0389439079501705E-3</v>
      </c>
      <c r="T45" s="38">
        <f>SUMIFS('Data Sheet Actuals'!$D:$D,'Data Sheet Actuals'!$C:$C,Unit!$B45,'Data Sheet Actuals'!$B:$B,Unit!$D$3,'Data Sheet Actuals'!$A:$A,Unit!T$4)</f>
        <v>327.10000000000002</v>
      </c>
      <c r="U45" s="33">
        <f t="shared" ref="U45" si="162">IFERROR(T45/T$14,"")</f>
        <v>6.0388101088684303E-3</v>
      </c>
      <c r="V45" s="38">
        <f>SUMIFS('Data Sheet Actuals'!$D:$D,'Data Sheet Actuals'!$C:$C,Unit!$B45,'Data Sheet Actuals'!$B:$B,Unit!$D$3,'Data Sheet Actuals'!$A:$A,Unit!V$4)</f>
        <v>318.14</v>
      </c>
      <c r="W45" s="33">
        <f t="shared" ref="W45" si="163">IFERROR(V45/V$14,"")</f>
        <v>6.0389378044833613E-3</v>
      </c>
      <c r="X45" s="38">
        <f>SUMIFS('Data Sheet Actuals'!$D:$D,'Data Sheet Actuals'!$C:$C,Unit!$B45,'Data Sheet Actuals'!$B:$B,Unit!$D$3,'Data Sheet Actuals'!$A:$A,Unit!X$4)</f>
        <v>294.36</v>
      </c>
      <c r="Y45" s="33">
        <f t="shared" ref="Y45" si="164">IFERROR(X45/X$14,"")</f>
        <v>6.0388822282564552E-3</v>
      </c>
      <c r="Z45" s="38">
        <f>SUMIFS('Data Sheet Actuals'!$D:$D,'Data Sheet Actuals'!$C:$C,Unit!$B45,'Data Sheet Actuals'!$B:$B,Unit!$D$3,'Data Sheet Actuals'!$A:$A,Unit!Z$4)</f>
        <v>326.45</v>
      </c>
      <c r="AA45" s="33">
        <f t="shared" ref="AA45" si="165">IFERROR(Z45/Z$14,"")</f>
        <v>6.0389031524202864E-3</v>
      </c>
      <c r="AB45" s="31">
        <f t="shared" si="105"/>
        <v>4222.88</v>
      </c>
      <c r="AC45" s="33">
        <f t="shared" ref="AC45" si="166">IFERROR(AB45/AB$14,"")</f>
        <v>6.3912157530525088E-3</v>
      </c>
    </row>
    <row r="46" spans="2:29">
      <c r="B46" s="45">
        <v>4019</v>
      </c>
      <c r="C46" s="55" t="s">
        <v>122</v>
      </c>
      <c r="D46" s="47">
        <f>SUMIFS('Data Sheet Actuals'!$D:$D,'Data Sheet Actuals'!$C:$C,Unit!$B46,'Data Sheet Actuals'!$B:$B,Unit!$D$3,'Data Sheet Actuals'!$A:$A,Unit!D$4)</f>
        <v>141.81</v>
      </c>
      <c r="E46" s="33">
        <f t="shared" si="93"/>
        <v>2.4232384828247566E-3</v>
      </c>
      <c r="F46" s="31">
        <f>SUMIFS('Data Sheet Actuals'!$D:$D,'Data Sheet Actuals'!$C:$C,Unit!$B46,'Data Sheet Actuals'!$B:$B,Unit!$D$3,'Data Sheet Actuals'!$A:$A,Unit!F$4)</f>
        <v>120.11</v>
      </c>
      <c r="G46" s="33">
        <f t="shared" ref="G46" si="167">IFERROR(F46/F$14,"")</f>
        <v>1.9584133509298672E-3</v>
      </c>
      <c r="H46" s="31">
        <f>SUMIFS('Data Sheet Actuals'!$D:$D,'Data Sheet Actuals'!$C:$C,Unit!$B46,'Data Sheet Actuals'!$B:$B,Unit!$D$3,'Data Sheet Actuals'!$A:$A,Unit!H$4)</f>
        <v>91.5</v>
      </c>
      <c r="I46" s="33">
        <f t="shared" ref="I46" si="168">IFERROR(H46/H$14,"")</f>
        <v>1.689242204101074E-3</v>
      </c>
      <c r="J46" s="31">
        <f>SUMIFS('Data Sheet Actuals'!$D:$D,'Data Sheet Actuals'!$C:$C,Unit!$B46,'Data Sheet Actuals'!$B:$B,Unit!$D$3,'Data Sheet Actuals'!$A:$A,Unit!J$4)</f>
        <v>136.91999999999999</v>
      </c>
      <c r="K46" s="33">
        <f t="shared" ref="K46" si="169">IFERROR(J46/J$14,"")</f>
        <v>2.599017301156289E-3</v>
      </c>
      <c r="L46" s="31">
        <f>SUMIFS('Data Sheet Actuals'!$D:$D,'Data Sheet Actuals'!$C:$C,Unit!$B46,'Data Sheet Actuals'!$B:$B,Unit!$D$3,'Data Sheet Actuals'!$A:$A,Unit!L$4)</f>
        <v>81.900000000000006</v>
      </c>
      <c r="M46" s="33">
        <f t="shared" ref="M46" si="170">IFERROR(L46/L$14,"")</f>
        <v>1.6802026582898616E-3</v>
      </c>
      <c r="N46" s="31">
        <f>SUMIFS('Data Sheet Actuals'!$D:$D,'Data Sheet Actuals'!$C:$C,Unit!$B46,'Data Sheet Actuals'!$B:$B,Unit!$D$3,'Data Sheet Actuals'!$A:$A,Unit!N$4)</f>
        <v>86.52</v>
      </c>
      <c r="O46" s="33">
        <f t="shared" ref="O46" si="171">IFERROR(N46/N$14,"")</f>
        <v>1.5508692091337807E-3</v>
      </c>
      <c r="P46" s="31">
        <f>SUMIFS('Data Sheet Actuals'!$D:$D,'Data Sheet Actuals'!$C:$C,Unit!$B46,'Data Sheet Actuals'!$B:$B,Unit!$D$3,'Data Sheet Actuals'!$A:$A,Unit!P$4)</f>
        <v>117.65</v>
      </c>
      <c r="Q46" s="33">
        <f t="shared" ref="Q46" si="172">IFERROR(P46/P$14,"")</f>
        <v>2.010394242326582E-3</v>
      </c>
      <c r="R46" s="31">
        <f>SUMIFS('Data Sheet Actuals'!$D:$D,'Data Sheet Actuals'!$C:$C,Unit!$B46,'Data Sheet Actuals'!$B:$B,Unit!$D$3,'Data Sheet Actuals'!$A:$A,Unit!R$4)</f>
        <v>114.25</v>
      </c>
      <c r="S46" s="33">
        <f t="shared" ref="S46" si="173">IFERROR(R46/R$14,"")</f>
        <v>1.8628650848700138E-3</v>
      </c>
      <c r="T46" s="31">
        <f>SUMIFS('Data Sheet Actuals'!$D:$D,'Data Sheet Actuals'!$C:$C,Unit!$B46,'Data Sheet Actuals'!$B:$B,Unit!$D$3,'Data Sheet Actuals'!$A:$A,Unit!T$4)</f>
        <v>103.87</v>
      </c>
      <c r="U46" s="33">
        <f t="shared" ref="U46" si="174">IFERROR(T46/T$14,"")</f>
        <v>1.9176129807647931E-3</v>
      </c>
      <c r="V46" s="31">
        <f>SUMIFS('Data Sheet Actuals'!$D:$D,'Data Sheet Actuals'!$C:$C,Unit!$B46,'Data Sheet Actuals'!$B:$B,Unit!$D$3,'Data Sheet Actuals'!$A:$A,Unit!V$4)</f>
        <v>81.41</v>
      </c>
      <c r="W46" s="33">
        <f t="shared" ref="W46" si="175">IFERROR(V46/V$14,"")</f>
        <v>1.5453257266077527E-3</v>
      </c>
      <c r="X46" s="31">
        <f>SUMIFS('Data Sheet Actuals'!$D:$D,'Data Sheet Actuals'!$C:$C,Unit!$B46,'Data Sheet Actuals'!$B:$B,Unit!$D$3,'Data Sheet Actuals'!$A:$A,Unit!X$4)</f>
        <v>88.51</v>
      </c>
      <c r="Y46" s="33">
        <f t="shared" ref="Y46" si="176">IFERROR(X46/X$14,"")</f>
        <v>1.8158087580614855E-3</v>
      </c>
      <c r="Z46" s="31">
        <f>SUMIFS('Data Sheet Actuals'!$D:$D,'Data Sheet Actuals'!$C:$C,Unit!$B46,'Data Sheet Actuals'!$B:$B,Unit!$D$3,'Data Sheet Actuals'!$A:$A,Unit!Z$4)</f>
        <v>79.739999999999995</v>
      </c>
      <c r="AA46" s="33">
        <f t="shared" ref="AA46" si="177">IFERROR(Z46/Z$14,"")</f>
        <v>1.4750869578005624E-3</v>
      </c>
      <c r="AB46" s="31">
        <f t="shared" si="105"/>
        <v>1244.19</v>
      </c>
      <c r="AC46" s="33">
        <f t="shared" ref="AC46" si="178">IFERROR(AB46/AB$14,"")</f>
        <v>1.8830482343306942E-3</v>
      </c>
    </row>
    <row r="47" spans="2:29">
      <c r="B47" s="45">
        <v>4020</v>
      </c>
      <c r="C47" s="55" t="s">
        <v>47</v>
      </c>
      <c r="D47" s="47">
        <f>SUMIFS('Data Sheet Actuals'!$D:$D,'Data Sheet Actuals'!$C:$C,Unit!$B47,'Data Sheet Actuals'!$B:$B,Unit!$D$3,'Data Sheet Actuals'!$A:$A,Unit!D$4)</f>
        <v>85</v>
      </c>
      <c r="E47" s="33">
        <f t="shared" si="93"/>
        <v>1.4524735282427496E-3</v>
      </c>
      <c r="F47" s="31">
        <f>SUMIFS('Data Sheet Actuals'!$D:$D,'Data Sheet Actuals'!$C:$C,Unit!$B47,'Data Sheet Actuals'!$B:$B,Unit!$D$3,'Data Sheet Actuals'!$A:$A,Unit!F$4)</f>
        <v>79</v>
      </c>
      <c r="G47" s="33">
        <f t="shared" ref="G47" si="179">IFERROR(F47/F$14,"")</f>
        <v>1.288108023673795E-3</v>
      </c>
      <c r="H47" s="31">
        <f>SUMIFS('Data Sheet Actuals'!$D:$D,'Data Sheet Actuals'!$C:$C,Unit!$B47,'Data Sheet Actuals'!$B:$B,Unit!$D$3,'Data Sheet Actuals'!$A:$A,Unit!H$4)</f>
        <v>103</v>
      </c>
      <c r="I47" s="33">
        <f t="shared" ref="I47" si="180">IFERROR(H47/H$14,"")</f>
        <v>1.9015513335782581E-3</v>
      </c>
      <c r="J47" s="31">
        <f>SUMIFS('Data Sheet Actuals'!$D:$D,'Data Sheet Actuals'!$C:$C,Unit!$B47,'Data Sheet Actuals'!$B:$B,Unit!$D$3,'Data Sheet Actuals'!$A:$A,Unit!J$4)</f>
        <v>83</v>
      </c>
      <c r="K47" s="33">
        <f t="shared" ref="K47" si="181">IFERROR(J47/J$14,"")</f>
        <v>1.5755071282206544E-3</v>
      </c>
      <c r="L47" s="31">
        <f>SUMIFS('Data Sheet Actuals'!$D:$D,'Data Sheet Actuals'!$C:$C,Unit!$B47,'Data Sheet Actuals'!$B:$B,Unit!$D$3,'Data Sheet Actuals'!$A:$A,Unit!L$4)</f>
        <v>76</v>
      </c>
      <c r="M47" s="33">
        <f t="shared" ref="M47" si="182">IFERROR(L47/L$14,"")</f>
        <v>1.5591624179490779E-3</v>
      </c>
      <c r="N47" s="31">
        <f>SUMIFS('Data Sheet Actuals'!$D:$D,'Data Sheet Actuals'!$C:$C,Unit!$B47,'Data Sheet Actuals'!$B:$B,Unit!$D$3,'Data Sheet Actuals'!$A:$A,Unit!N$4)</f>
        <v>83</v>
      </c>
      <c r="O47" s="33">
        <f t="shared" ref="O47" si="183">IFERROR(N47/N$14,"")</f>
        <v>1.4877732819938026E-3</v>
      </c>
      <c r="P47" s="31">
        <f>SUMIFS('Data Sheet Actuals'!$D:$D,'Data Sheet Actuals'!$C:$C,Unit!$B47,'Data Sheet Actuals'!$B:$B,Unit!$D$3,'Data Sheet Actuals'!$A:$A,Unit!P$4)</f>
        <v>80</v>
      </c>
      <c r="Q47" s="33">
        <f t="shared" ref="Q47" si="184">IFERROR(P47/P$14,"")</f>
        <v>1.3670339089343524E-3</v>
      </c>
      <c r="R47" s="31">
        <f>SUMIFS('Data Sheet Actuals'!$D:$D,'Data Sheet Actuals'!$C:$C,Unit!$B47,'Data Sheet Actuals'!$B:$B,Unit!$D$3,'Data Sheet Actuals'!$A:$A,Unit!R$4)</f>
        <v>80</v>
      </c>
      <c r="S47" s="33">
        <f t="shared" ref="S47" si="185">IFERROR(R47/R$14,"")</f>
        <v>1.3044131885304254E-3</v>
      </c>
      <c r="T47" s="31">
        <f>SUMIFS('Data Sheet Actuals'!$D:$D,'Data Sheet Actuals'!$C:$C,Unit!$B47,'Data Sheet Actuals'!$B:$B,Unit!$D$3,'Data Sheet Actuals'!$A:$A,Unit!T$4)</f>
        <v>74</v>
      </c>
      <c r="U47" s="33">
        <f t="shared" ref="U47" si="186">IFERROR(T47/T$14,"")</f>
        <v>1.3661630940270981E-3</v>
      </c>
      <c r="V47" s="31">
        <f>SUMIFS('Data Sheet Actuals'!$D:$D,'Data Sheet Actuals'!$C:$C,Unit!$B47,'Data Sheet Actuals'!$B:$B,Unit!$D$3,'Data Sheet Actuals'!$A:$A,Unit!V$4)</f>
        <v>72</v>
      </c>
      <c r="W47" s="33">
        <f t="shared" ref="W47" si="187">IFERROR(V47/V$14,"")</f>
        <v>1.3667049786974352E-3</v>
      </c>
      <c r="X47" s="31">
        <f>SUMIFS('Data Sheet Actuals'!$D:$D,'Data Sheet Actuals'!$C:$C,Unit!$B47,'Data Sheet Actuals'!$B:$B,Unit!$D$3,'Data Sheet Actuals'!$A:$A,Unit!X$4)</f>
        <v>73</v>
      </c>
      <c r="Y47" s="33">
        <f t="shared" ref="Y47" si="188">IFERROR(X47/X$14,"")</f>
        <v>1.4976165330300353E-3</v>
      </c>
      <c r="Z47" s="31">
        <f>SUMIFS('Data Sheet Actuals'!$D:$D,'Data Sheet Actuals'!$C:$C,Unit!$B47,'Data Sheet Actuals'!$B:$B,Unit!$D$3,'Data Sheet Actuals'!$A:$A,Unit!Z$4)</f>
        <v>84</v>
      </c>
      <c r="AA47" s="33">
        <f t="shared" ref="AA47" si="189">IFERROR(Z47/Z$14,"")</f>
        <v>1.5538914529125566E-3</v>
      </c>
      <c r="AB47" s="31">
        <f t="shared" si="105"/>
        <v>972</v>
      </c>
      <c r="AC47" s="33">
        <f t="shared" ref="AC47" si="190">IFERROR(AB47/AB$14,"")</f>
        <v>1.471095961042473E-3</v>
      </c>
    </row>
    <row r="48" spans="2:29">
      <c r="B48" s="45">
        <v>4021</v>
      </c>
      <c r="C48" s="55" t="s">
        <v>123</v>
      </c>
      <c r="D48" s="47">
        <f>SUMIFS('Data Sheet Actuals'!$D:$D,'Data Sheet Actuals'!$C:$C,Unit!$B48,'Data Sheet Actuals'!$B:$B,Unit!$D$3,'Data Sheet Actuals'!$A:$A,Unit!D$4)</f>
        <v>186</v>
      </c>
      <c r="E48" s="33">
        <f t="shared" si="93"/>
        <v>3.1783538382723696E-3</v>
      </c>
      <c r="F48" s="31">
        <f>SUMIFS('Data Sheet Actuals'!$D:$D,'Data Sheet Actuals'!$C:$C,Unit!$B48,'Data Sheet Actuals'!$B:$B,Unit!$D$3,'Data Sheet Actuals'!$A:$A,Unit!F$4)</f>
        <v>174</v>
      </c>
      <c r="G48" s="33">
        <f t="shared" ref="G48" si="191">IFERROR(F48/F$14,"")</f>
        <v>2.8370986850536754E-3</v>
      </c>
      <c r="H48" s="31">
        <f>SUMIFS('Data Sheet Actuals'!$D:$D,'Data Sheet Actuals'!$C:$C,Unit!$B48,'Data Sheet Actuals'!$B:$B,Unit!$D$3,'Data Sheet Actuals'!$A:$A,Unit!H$4)</f>
        <v>227</v>
      </c>
      <c r="I48" s="33">
        <f t="shared" ref="I48" si="192">IFERROR(H48/H$14,"")</f>
        <v>4.1907975992452875E-3</v>
      </c>
      <c r="J48" s="31">
        <f>SUMIFS('Data Sheet Actuals'!$D:$D,'Data Sheet Actuals'!$C:$C,Unit!$B48,'Data Sheet Actuals'!$B:$B,Unit!$D$3,'Data Sheet Actuals'!$A:$A,Unit!J$4)</f>
        <v>406.90999999999997</v>
      </c>
      <c r="K48" s="33">
        <f t="shared" ref="K48" si="193">IFERROR(J48/J$14,"")</f>
        <v>7.7239711511357398E-3</v>
      </c>
      <c r="L48" s="31">
        <f>SUMIFS('Data Sheet Actuals'!$D:$D,'Data Sheet Actuals'!$C:$C,Unit!$B48,'Data Sheet Actuals'!$B:$B,Unit!$D$3,'Data Sheet Actuals'!$A:$A,Unit!L$4)</f>
        <v>390.90999999999997</v>
      </c>
      <c r="M48" s="33">
        <f t="shared" ref="M48" si="194">IFERROR(L48/L$14,"")</f>
        <v>8.0196339579009738E-3</v>
      </c>
      <c r="N48" s="31">
        <f>SUMIFS('Data Sheet Actuals'!$D:$D,'Data Sheet Actuals'!$C:$C,Unit!$B48,'Data Sheet Actuals'!$B:$B,Unit!$D$3,'Data Sheet Actuals'!$A:$A,Unit!N$4)</f>
        <v>182</v>
      </c>
      <c r="O48" s="33">
        <f t="shared" ref="O48" si="195">IFERROR(N48/N$14,"")</f>
        <v>3.2623462328056877E-3</v>
      </c>
      <c r="P48" s="31">
        <f>SUMIFS('Data Sheet Actuals'!$D:$D,'Data Sheet Actuals'!$C:$C,Unit!$B48,'Data Sheet Actuals'!$B:$B,Unit!$D$3,'Data Sheet Actuals'!$A:$A,Unit!P$4)</f>
        <v>175</v>
      </c>
      <c r="Q48" s="33">
        <f t="shared" ref="Q48" si="196">IFERROR(P48/P$14,"")</f>
        <v>2.9903866757938959E-3</v>
      </c>
      <c r="R48" s="31">
        <f>SUMIFS('Data Sheet Actuals'!$D:$D,'Data Sheet Actuals'!$C:$C,Unit!$B48,'Data Sheet Actuals'!$B:$B,Unit!$D$3,'Data Sheet Actuals'!$A:$A,Unit!R$4)</f>
        <v>175</v>
      </c>
      <c r="S48" s="33">
        <f t="shared" ref="S48" si="197">IFERROR(R48/R$14,"")</f>
        <v>2.8534038499103053E-3</v>
      </c>
      <c r="T48" s="31">
        <f>SUMIFS('Data Sheet Actuals'!$D:$D,'Data Sheet Actuals'!$C:$C,Unit!$B48,'Data Sheet Actuals'!$B:$B,Unit!$D$3,'Data Sheet Actuals'!$A:$A,Unit!T$4)</f>
        <v>162</v>
      </c>
      <c r="U48" s="33">
        <f t="shared" ref="U48" si="198">IFERROR(T48/T$14,"")</f>
        <v>2.9907894761133768E-3</v>
      </c>
      <c r="V48" s="31">
        <f>SUMIFS('Data Sheet Actuals'!$D:$D,'Data Sheet Actuals'!$C:$C,Unit!$B48,'Data Sheet Actuals'!$B:$B,Unit!$D$3,'Data Sheet Actuals'!$A:$A,Unit!V$4)</f>
        <v>380.90999999999997</v>
      </c>
      <c r="W48" s="33">
        <f t="shared" ref="W48" si="199">IFERROR(V48/V$14,"")</f>
        <v>7.2304387977172218E-3</v>
      </c>
      <c r="X48" s="31">
        <f>SUMIFS('Data Sheet Actuals'!$D:$D,'Data Sheet Actuals'!$C:$C,Unit!$B48,'Data Sheet Actuals'!$B:$B,Unit!$D$3,'Data Sheet Actuals'!$A:$A,Unit!X$4)</f>
        <v>382.90999999999997</v>
      </c>
      <c r="Y48" s="33">
        <f t="shared" ref="Y48" si="200">IFERROR(X48/X$14,"")</f>
        <v>7.8555115981168606E-3</v>
      </c>
      <c r="Z48" s="31">
        <f>SUMIFS('Data Sheet Actuals'!$D:$D,'Data Sheet Actuals'!$C:$C,Unit!$B48,'Data Sheet Actuals'!$B:$B,Unit!$D$3,'Data Sheet Actuals'!$A:$A,Unit!Z$4)</f>
        <v>185</v>
      </c>
      <c r="AA48" s="33">
        <f t="shared" ref="AA48" si="201">IFERROR(Z48/Z$14,"")</f>
        <v>3.4222609379621779E-3</v>
      </c>
      <c r="AB48" s="31">
        <f t="shared" si="105"/>
        <v>3027.6399999999994</v>
      </c>
      <c r="AC48" s="33">
        <f t="shared" ref="AC48" si="202">IFERROR(AB48/AB$14,"")</f>
        <v>4.5822520323977696E-3</v>
      </c>
    </row>
    <row r="49" spans="2:29">
      <c r="B49" s="45">
        <v>4022</v>
      </c>
      <c r="C49" s="55" t="s">
        <v>124</v>
      </c>
      <c r="D49" s="52">
        <f>SUMIFS('Data Sheet Actuals'!$D:$D,'Data Sheet Actuals'!$C:$C,Unit!$B49,'Data Sheet Actuals'!$B:$B,Unit!$D$3,'Data Sheet Actuals'!$A:$A,Unit!D$4)</f>
        <v>74.92</v>
      </c>
      <c r="E49" s="33">
        <f t="shared" si="93"/>
        <v>1.280227255717021E-3</v>
      </c>
      <c r="F49" s="40">
        <f>SUMIFS('Data Sheet Actuals'!$D:$D,'Data Sheet Actuals'!$C:$C,Unit!$B49,'Data Sheet Actuals'!$B:$B,Unit!$D$3,'Data Sheet Actuals'!$A:$A,Unit!F$4)</f>
        <v>128.97</v>
      </c>
      <c r="G49" s="33">
        <f t="shared" ref="G49" si="203">IFERROR(F49/F$14,"")</f>
        <v>2.1028771115596122E-3</v>
      </c>
      <c r="H49" s="40">
        <f>SUMIFS('Data Sheet Actuals'!$D:$D,'Data Sheet Actuals'!$C:$C,Unit!$B49,'Data Sheet Actuals'!$B:$B,Unit!$D$3,'Data Sheet Actuals'!$A:$A,Unit!H$4)</f>
        <v>149.58000000000001</v>
      </c>
      <c r="I49" s="33">
        <f t="shared" ref="I49" si="204">IFERROR(H49/H$14,"")</f>
        <v>2.7614956162780183E-3</v>
      </c>
      <c r="J49" s="40">
        <f>SUMIFS('Data Sheet Actuals'!$D:$D,'Data Sheet Actuals'!$C:$C,Unit!$B49,'Data Sheet Actuals'!$B:$B,Unit!$D$3,'Data Sheet Actuals'!$A:$A,Unit!J$4)</f>
        <v>90.23</v>
      </c>
      <c r="K49" s="33">
        <f t="shared" ref="K49" si="205">IFERROR(J49/J$14,"")</f>
        <v>1.7127470864981885E-3</v>
      </c>
      <c r="L49" s="40">
        <f>SUMIFS('Data Sheet Actuals'!$D:$D,'Data Sheet Actuals'!$C:$C,Unit!$B49,'Data Sheet Actuals'!$B:$B,Unit!$D$3,'Data Sheet Actuals'!$A:$A,Unit!L$4)</f>
        <v>84.63</v>
      </c>
      <c r="M49" s="33">
        <f t="shared" ref="M49" si="206">IFERROR(L49/L$14,"")</f>
        <v>1.7362094135661903E-3</v>
      </c>
      <c r="N49" s="40">
        <f>SUMIFS('Data Sheet Actuals'!$D:$D,'Data Sheet Actuals'!$C:$C,Unit!$B49,'Data Sheet Actuals'!$B:$B,Unit!$D$3,'Data Sheet Actuals'!$A:$A,Unit!N$4)</f>
        <v>62.51</v>
      </c>
      <c r="O49" s="33">
        <f t="shared" ref="O49" si="207">IFERROR(N49/N$14,"")</f>
        <v>1.1204904561136458E-3</v>
      </c>
      <c r="P49" s="40">
        <f>SUMIFS('Data Sheet Actuals'!$D:$D,'Data Sheet Actuals'!$C:$C,Unit!$B49,'Data Sheet Actuals'!$B:$B,Unit!$D$3,'Data Sheet Actuals'!$A:$A,Unit!P$4)</f>
        <v>78.53</v>
      </c>
      <c r="Q49" s="33">
        <f t="shared" ref="Q49" si="208">IFERROR(P49/P$14,"")</f>
        <v>1.3419146608576837E-3</v>
      </c>
      <c r="R49" s="40">
        <f>SUMIFS('Data Sheet Actuals'!$D:$D,'Data Sheet Actuals'!$C:$C,Unit!$B49,'Data Sheet Actuals'!$B:$B,Unit!$D$3,'Data Sheet Actuals'!$A:$A,Unit!R$4)</f>
        <v>82.3</v>
      </c>
      <c r="S49" s="33">
        <f t="shared" ref="S49" si="209">IFERROR(R49/R$14,"")</f>
        <v>1.3419150677006751E-3</v>
      </c>
      <c r="T49" s="40">
        <f>SUMIFS('Data Sheet Actuals'!$D:$D,'Data Sheet Actuals'!$C:$C,Unit!$B49,'Data Sheet Actuals'!$B:$B,Unit!$D$3,'Data Sheet Actuals'!$A:$A,Unit!T$4)</f>
        <v>72.69</v>
      </c>
      <c r="U49" s="33">
        <f t="shared" ref="U49" si="210">IFERROR(T49/T$14,"")</f>
        <v>1.3419783149301319E-3</v>
      </c>
      <c r="V49" s="40">
        <f>SUMIFS('Data Sheet Actuals'!$D:$D,'Data Sheet Actuals'!$C:$C,Unit!$B49,'Data Sheet Actuals'!$B:$B,Unit!$D$3,'Data Sheet Actuals'!$A:$A,Unit!V$4)</f>
        <v>77.77</v>
      </c>
      <c r="W49" s="33">
        <f t="shared" ref="W49" si="211">IFERROR(V49/V$14,"")</f>
        <v>1.4762311971291602E-3</v>
      </c>
      <c r="X49" s="40">
        <f>SUMIFS('Data Sheet Actuals'!$D:$D,'Data Sheet Actuals'!$C:$C,Unit!$B49,'Data Sheet Actuals'!$B:$B,Unit!$D$3,'Data Sheet Actuals'!$A:$A,Unit!X$4)</f>
        <v>104.66</v>
      </c>
      <c r="Y49" s="33">
        <f t="shared" ref="Y49" si="212">IFERROR(X49/X$14,"")</f>
        <v>2.1471307718756642E-3</v>
      </c>
      <c r="Z49" s="40">
        <f>SUMIFS('Data Sheet Actuals'!$D:$D,'Data Sheet Actuals'!$C:$C,Unit!$B49,'Data Sheet Actuals'!$B:$B,Unit!$D$3,'Data Sheet Actuals'!$A:$A,Unit!Z$4)</f>
        <v>108.82</v>
      </c>
      <c r="AA49" s="33">
        <f t="shared" ref="AA49" si="213">IFERROR(Z49/Z$14,"")</f>
        <v>2.0130293798326713E-3</v>
      </c>
      <c r="AB49" s="31">
        <f t="shared" si="105"/>
        <v>1115.6099999999999</v>
      </c>
      <c r="AC49" s="33">
        <f t="shared" ref="AC49" si="214">IFERROR(AB49/AB$14,"")</f>
        <v>1.6884458488668655E-3</v>
      </c>
    </row>
    <row r="50" spans="2:29">
      <c r="B50" s="45">
        <v>4023</v>
      </c>
      <c r="C50" s="55" t="s">
        <v>125</v>
      </c>
      <c r="D50" s="50">
        <f>SUMIFS('Data Sheet Actuals'!$D:$D,'Data Sheet Actuals'!$C:$C,Unit!$B50,'Data Sheet Actuals'!$B:$B,Unit!$D$3,'Data Sheet Actuals'!$A:$A,Unit!D$4)</f>
        <v>136.22</v>
      </c>
      <c r="E50" s="33">
        <f t="shared" si="93"/>
        <v>2.3277169884379687E-3</v>
      </c>
      <c r="F50" s="38">
        <f>SUMIFS('Data Sheet Actuals'!$D:$D,'Data Sheet Actuals'!$C:$C,Unit!$B50,'Data Sheet Actuals'!$B:$B,Unit!$D$3,'Data Sheet Actuals'!$A:$A,Unit!F$4)</f>
        <v>184.24</v>
      </c>
      <c r="G50" s="33">
        <f t="shared" ref="G50" si="215">IFERROR(F50/F$14,"")</f>
        <v>3.0040635731855697E-3</v>
      </c>
      <c r="H50" s="38">
        <f>SUMIFS('Data Sheet Actuals'!$D:$D,'Data Sheet Actuals'!$C:$C,Unit!$B50,'Data Sheet Actuals'!$B:$B,Unit!$D$3,'Data Sheet Actuals'!$A:$A,Unit!H$4)</f>
        <v>213.69</v>
      </c>
      <c r="I50" s="33">
        <f t="shared" ref="I50" si="216">IFERROR(H50/H$14,"")</f>
        <v>3.9450728589547381E-3</v>
      </c>
      <c r="J50" s="38">
        <f>SUMIFS('Data Sheet Actuals'!$D:$D,'Data Sheet Actuals'!$C:$C,Unit!$B50,'Data Sheet Actuals'!$B:$B,Unit!$D$3,'Data Sheet Actuals'!$A:$A,Unit!J$4)</f>
        <v>164.05</v>
      </c>
      <c r="K50" s="33">
        <f t="shared" ref="K50" si="217">IFERROR(J50/J$14,"")</f>
        <v>3.1139993299349202E-3</v>
      </c>
      <c r="L50" s="38">
        <f>SUMIFS('Data Sheet Actuals'!$D:$D,'Data Sheet Actuals'!$C:$C,Unit!$B50,'Data Sheet Actuals'!$B:$B,Unit!$D$3,'Data Sheet Actuals'!$A:$A,Unit!L$4)</f>
        <v>169.25</v>
      </c>
      <c r="M50" s="33">
        <f t="shared" ref="M50" si="218">IFERROR(L50/L$14,"")</f>
        <v>3.4722136741826503E-3</v>
      </c>
      <c r="N50" s="38">
        <f>SUMIFS('Data Sheet Actuals'!$D:$D,'Data Sheet Actuals'!$C:$C,Unit!$B50,'Data Sheet Actuals'!$B:$B,Unit!$D$3,'Data Sheet Actuals'!$A:$A,Unit!N$4)</f>
        <v>125.02</v>
      </c>
      <c r="O50" s="33">
        <f t="shared" ref="O50" si="219">IFERROR(N50/N$14,"")</f>
        <v>2.2409809122272916E-3</v>
      </c>
      <c r="P50" s="38">
        <f>SUMIFS('Data Sheet Actuals'!$D:$D,'Data Sheet Actuals'!$C:$C,Unit!$B50,'Data Sheet Actuals'!$B:$B,Unit!$D$3,'Data Sheet Actuals'!$A:$A,Unit!P$4)</f>
        <v>157.07</v>
      </c>
      <c r="Q50" s="33">
        <f t="shared" ref="Q50" si="220">IFERROR(P50/P$14,"")</f>
        <v>2.6840002009539841E-3</v>
      </c>
      <c r="R50" s="38">
        <f>SUMIFS('Data Sheet Actuals'!$D:$D,'Data Sheet Actuals'!$C:$C,Unit!$B50,'Data Sheet Actuals'!$B:$B,Unit!$D$3,'Data Sheet Actuals'!$A:$A,Unit!R$4)</f>
        <v>164.61</v>
      </c>
      <c r="S50" s="33">
        <f t="shared" ref="S50" si="221">IFERROR(R50/R$14,"")</f>
        <v>2.6839931870499168E-3</v>
      </c>
      <c r="T50" s="38">
        <f>SUMIFS('Data Sheet Actuals'!$D:$D,'Data Sheet Actuals'!$C:$C,Unit!$B50,'Data Sheet Actuals'!$B:$B,Unit!$D$3,'Data Sheet Actuals'!$A:$A,Unit!T$4)</f>
        <v>145.38</v>
      </c>
      <c r="U50" s="33">
        <f t="shared" ref="U50" si="222">IFERROR(T50/T$14,"")</f>
        <v>2.6839566298602637E-3</v>
      </c>
      <c r="V50" s="38">
        <f>SUMIFS('Data Sheet Actuals'!$D:$D,'Data Sheet Actuals'!$C:$C,Unit!$B50,'Data Sheet Actuals'!$B:$B,Unit!$D$3,'Data Sheet Actuals'!$A:$A,Unit!V$4)</f>
        <v>141.38999999999999</v>
      </c>
      <c r="W50" s="33">
        <f t="shared" ref="W50" si="223">IFERROR(V50/V$14,"")</f>
        <v>2.6838669019170879E-3</v>
      </c>
      <c r="X50" s="38">
        <f>SUMIFS('Data Sheet Actuals'!$D:$D,'Data Sheet Actuals'!$C:$C,Unit!$B50,'Data Sheet Actuals'!$B:$B,Unit!$D$3,'Data Sheet Actuals'!$A:$A,Unit!X$4)</f>
        <v>130.83000000000001</v>
      </c>
      <c r="Y50" s="33">
        <f t="shared" ref="Y50" si="224">IFERROR(X50/X$14,"")</f>
        <v>2.6840160413194457E-3</v>
      </c>
      <c r="Z50" s="38">
        <f>SUMIFS('Data Sheet Actuals'!$D:$D,'Data Sheet Actuals'!$C:$C,Unit!$B50,'Data Sheet Actuals'!$B:$B,Unit!$D$3,'Data Sheet Actuals'!$A:$A,Unit!Z$4)</f>
        <v>145.09</v>
      </c>
      <c r="AA50" s="33">
        <f t="shared" ref="AA50" si="225">IFERROR(Z50/Z$14,"")</f>
        <v>2.6839775107509859E-3</v>
      </c>
      <c r="AB50" s="31">
        <f t="shared" si="105"/>
        <v>1876.84</v>
      </c>
      <c r="AC50" s="33">
        <f t="shared" ref="AC50" si="226">IFERROR(AB50/AB$14,"")</f>
        <v>2.840547061237608E-3</v>
      </c>
    </row>
    <row r="51" spans="2:29">
      <c r="B51" s="45">
        <v>4025</v>
      </c>
      <c r="C51" s="55" t="s">
        <v>126</v>
      </c>
      <c r="D51" s="47">
        <f>SUMIFS('Data Sheet Actuals'!$D:$D,'Data Sheet Actuals'!$C:$C,Unit!$B51,'Data Sheet Actuals'!$B:$B,Unit!$D$3,'Data Sheet Actuals'!$A:$A,Unit!D$4)</f>
        <v>70.91</v>
      </c>
      <c r="E51" s="33">
        <f t="shared" si="93"/>
        <v>1.2117046810316866E-3</v>
      </c>
      <c r="F51" s="31">
        <f>SUMIFS('Data Sheet Actuals'!$D:$D,'Data Sheet Actuals'!$C:$C,Unit!$B51,'Data Sheet Actuals'!$B:$B,Unit!$D$3,'Data Sheet Actuals'!$A:$A,Unit!F$4)</f>
        <v>60.06</v>
      </c>
      <c r="G51" s="33">
        <f t="shared" ref="G51" si="227">IFERROR(F51/F$14,"")</f>
        <v>9.7928820128921688E-4</v>
      </c>
      <c r="H51" s="31">
        <f>SUMIFS('Data Sheet Actuals'!$D:$D,'Data Sheet Actuals'!$C:$C,Unit!$B51,'Data Sheet Actuals'!$B:$B,Unit!$D$3,'Data Sheet Actuals'!$A:$A,Unit!H$4)</f>
        <v>45.75</v>
      </c>
      <c r="I51" s="33">
        <f t="shared" ref="I51" si="228">IFERROR(H51/H$14,"")</f>
        <v>8.4462110205053701E-4</v>
      </c>
      <c r="J51" s="31">
        <f>SUMIFS('Data Sheet Actuals'!$D:$D,'Data Sheet Actuals'!$C:$C,Unit!$B51,'Data Sheet Actuals'!$B:$B,Unit!$D$3,'Data Sheet Actuals'!$A:$A,Unit!J$4)</f>
        <v>68.459999999999994</v>
      </c>
      <c r="K51" s="33">
        <f t="shared" ref="K51" si="229">IFERROR(J51/J$14,"")</f>
        <v>1.2995086505781445E-3</v>
      </c>
      <c r="L51" s="31">
        <f>SUMIFS('Data Sheet Actuals'!$D:$D,'Data Sheet Actuals'!$C:$C,Unit!$B51,'Data Sheet Actuals'!$B:$B,Unit!$D$3,'Data Sheet Actuals'!$A:$A,Unit!L$4)</f>
        <v>40.950000000000003</v>
      </c>
      <c r="M51" s="33">
        <f t="shared" ref="M51" si="230">IFERROR(L51/L$14,"")</f>
        <v>8.4010132914493082E-4</v>
      </c>
      <c r="N51" s="31">
        <f>SUMIFS('Data Sheet Actuals'!$D:$D,'Data Sheet Actuals'!$C:$C,Unit!$B51,'Data Sheet Actuals'!$B:$B,Unit!$D$3,'Data Sheet Actuals'!$A:$A,Unit!N$4)</f>
        <v>43.26</v>
      </c>
      <c r="O51" s="33">
        <f t="shared" ref="O51" si="231">IFERROR(N51/N$14,"")</f>
        <v>7.7543460456689034E-4</v>
      </c>
      <c r="P51" s="31">
        <f>SUMIFS('Data Sheet Actuals'!$D:$D,'Data Sheet Actuals'!$C:$C,Unit!$B51,'Data Sheet Actuals'!$B:$B,Unit!$D$3,'Data Sheet Actuals'!$A:$A,Unit!P$4)</f>
        <v>58.83</v>
      </c>
      <c r="Q51" s="33">
        <f t="shared" ref="Q51" si="232">IFERROR(P51/P$14,"")</f>
        <v>1.0052825607825993E-3</v>
      </c>
      <c r="R51" s="31">
        <f>SUMIFS('Data Sheet Actuals'!$D:$D,'Data Sheet Actuals'!$C:$C,Unit!$B51,'Data Sheet Actuals'!$B:$B,Unit!$D$3,'Data Sheet Actuals'!$A:$A,Unit!R$4)</f>
        <v>57.13</v>
      </c>
      <c r="S51" s="33">
        <f t="shared" ref="S51" si="233">IFERROR(R51/R$14,"")</f>
        <v>9.3151406825929008E-4</v>
      </c>
      <c r="T51" s="31">
        <f>SUMIFS('Data Sheet Actuals'!$D:$D,'Data Sheet Actuals'!$C:$C,Unit!$B51,'Data Sheet Actuals'!$B:$B,Unit!$D$3,'Data Sheet Actuals'!$A:$A,Unit!T$4)</f>
        <v>51.94</v>
      </c>
      <c r="U51" s="33">
        <f t="shared" ref="U51" si="234">IFERROR(T51/T$14,"")</f>
        <v>9.588987986995605E-4</v>
      </c>
      <c r="V51" s="31">
        <f>SUMIFS('Data Sheet Actuals'!$D:$D,'Data Sheet Actuals'!$C:$C,Unit!$B51,'Data Sheet Actuals'!$B:$B,Unit!$D$3,'Data Sheet Actuals'!$A:$A,Unit!V$4)</f>
        <v>40.71</v>
      </c>
      <c r="W51" s="33">
        <f t="shared" ref="W51" si="235">IFERROR(V51/V$14,"")</f>
        <v>7.727577733718415E-4</v>
      </c>
      <c r="X51" s="31">
        <f>SUMIFS('Data Sheet Actuals'!$D:$D,'Data Sheet Actuals'!$C:$C,Unit!$B51,'Data Sheet Actuals'!$B:$B,Unit!$D$3,'Data Sheet Actuals'!$A:$A,Unit!X$4)</f>
        <v>44.26</v>
      </c>
      <c r="Y51" s="33">
        <f t="shared" ref="Y51" si="236">IFERROR(X51/X$14,"")</f>
        <v>9.0800695550560773E-4</v>
      </c>
      <c r="Z51" s="31">
        <f>SUMIFS('Data Sheet Actuals'!$D:$D,'Data Sheet Actuals'!$C:$C,Unit!$B51,'Data Sheet Actuals'!$B:$B,Unit!$D$3,'Data Sheet Actuals'!$A:$A,Unit!Z$4)</f>
        <v>39.869999999999997</v>
      </c>
      <c r="AA51" s="33">
        <f t="shared" ref="AA51" si="237">IFERROR(Z51/Z$14,"")</f>
        <v>7.375434789002812E-4</v>
      </c>
      <c r="AB51" s="31">
        <f t="shared" si="105"/>
        <v>622.13</v>
      </c>
      <c r="AC51" s="33">
        <f t="shared" ref="AC51" si="238">IFERROR(AB51/AB$14,"")</f>
        <v>9.4157708872773022E-4</v>
      </c>
    </row>
    <row r="52" spans="2:29">
      <c r="B52" s="45">
        <v>4026</v>
      </c>
      <c r="C52" s="55" t="s">
        <v>127</v>
      </c>
      <c r="D52" s="47">
        <f>SUMIFS('Data Sheet Actuals'!$D:$D,'Data Sheet Actuals'!$C:$C,Unit!$B52,'Data Sheet Actuals'!$B:$B,Unit!$D$3,'Data Sheet Actuals'!$A:$A,Unit!D$4)</f>
        <v>75.64</v>
      </c>
      <c r="E52" s="33">
        <f t="shared" si="93"/>
        <v>1.2925305608974303E-3</v>
      </c>
      <c r="F52" s="31">
        <f>SUMIFS('Data Sheet Actuals'!$D:$D,'Data Sheet Actuals'!$C:$C,Unit!$B52,'Data Sheet Actuals'!$B:$B,Unit!$D$3,'Data Sheet Actuals'!$A:$A,Unit!F$4)</f>
        <v>64.069999999999993</v>
      </c>
      <c r="G52" s="33">
        <f t="shared" ref="G52" si="239">IFERROR(F52/F$14,"")</f>
        <v>1.0446719123643044E-3</v>
      </c>
      <c r="H52" s="31">
        <f>SUMIFS('Data Sheet Actuals'!$D:$D,'Data Sheet Actuals'!$C:$C,Unit!$B52,'Data Sheet Actuals'!$B:$B,Unit!$D$3,'Data Sheet Actuals'!$A:$A,Unit!H$4)</f>
        <v>48.8</v>
      </c>
      <c r="I52" s="33">
        <f t="shared" ref="I52" si="240">IFERROR(H52/H$14,"")</f>
        <v>9.0092917552057276E-4</v>
      </c>
      <c r="J52" s="31">
        <f>SUMIFS('Data Sheet Actuals'!$D:$D,'Data Sheet Actuals'!$C:$C,Unit!$B52,'Data Sheet Actuals'!$B:$B,Unit!$D$3,'Data Sheet Actuals'!$A:$A,Unit!J$4)</f>
        <v>73.03</v>
      </c>
      <c r="K52" s="33">
        <f t="shared" ref="K52" si="241">IFERROR(J52/J$14,"")</f>
        <v>1.3862564526982456E-3</v>
      </c>
      <c r="L52" s="31">
        <f>SUMIFS('Data Sheet Actuals'!$D:$D,'Data Sheet Actuals'!$C:$C,Unit!$B52,'Data Sheet Actuals'!$B:$B,Unit!$D$3,'Data Sheet Actuals'!$A:$A,Unit!L$4)</f>
        <v>43.68</v>
      </c>
      <c r="M52" s="33">
        <f t="shared" ref="M52" si="242">IFERROR(L52/L$14,"")</f>
        <v>8.9610808442125954E-4</v>
      </c>
      <c r="N52" s="31">
        <f>SUMIFS('Data Sheet Actuals'!$D:$D,'Data Sheet Actuals'!$C:$C,Unit!$B52,'Data Sheet Actuals'!$B:$B,Unit!$D$3,'Data Sheet Actuals'!$A:$A,Unit!N$4)</f>
        <v>46.15</v>
      </c>
      <c r="O52" s="33">
        <f t="shared" ref="O52" si="243">IFERROR(N52/N$14,"")</f>
        <v>8.2723779474715652E-4</v>
      </c>
      <c r="P52" s="31">
        <f>SUMIFS('Data Sheet Actuals'!$D:$D,'Data Sheet Actuals'!$C:$C,Unit!$B52,'Data Sheet Actuals'!$B:$B,Unit!$D$3,'Data Sheet Actuals'!$A:$A,Unit!P$4)</f>
        <v>62.75</v>
      </c>
      <c r="Q52" s="33">
        <f t="shared" ref="Q52" si="244">IFERROR(P52/P$14,"")</f>
        <v>1.0722672223203826E-3</v>
      </c>
      <c r="R52" s="31">
        <f>SUMIFS('Data Sheet Actuals'!$D:$D,'Data Sheet Actuals'!$C:$C,Unit!$B52,'Data Sheet Actuals'!$B:$B,Unit!$D$3,'Data Sheet Actuals'!$A:$A,Unit!R$4)</f>
        <v>60.93</v>
      </c>
      <c r="S52" s="33">
        <f t="shared" ref="S52" si="245">IFERROR(R52/R$14,"")</f>
        <v>9.934736947144853E-4</v>
      </c>
      <c r="T52" s="31">
        <f>SUMIFS('Data Sheet Actuals'!$D:$D,'Data Sheet Actuals'!$C:$C,Unit!$B52,'Data Sheet Actuals'!$B:$B,Unit!$D$3,'Data Sheet Actuals'!$A:$A,Unit!T$4)</f>
        <v>55.4</v>
      </c>
      <c r="U52" s="33">
        <f t="shared" ref="U52" si="246">IFERROR(T52/T$14,"")</f>
        <v>1.0227761541770437E-3</v>
      </c>
      <c r="V52" s="31">
        <f>SUMIFS('Data Sheet Actuals'!$D:$D,'Data Sheet Actuals'!$C:$C,Unit!$B52,'Data Sheet Actuals'!$B:$B,Unit!$D$3,'Data Sheet Actuals'!$A:$A,Unit!V$4)</f>
        <v>43.43</v>
      </c>
      <c r="W52" s="33">
        <f t="shared" ref="W52" si="247">IFERROR(V52/V$14,"")</f>
        <v>8.2438885034485563E-4</v>
      </c>
      <c r="X52" s="31">
        <f>SUMIFS('Data Sheet Actuals'!$D:$D,'Data Sheet Actuals'!$C:$C,Unit!$B52,'Data Sheet Actuals'!$B:$B,Unit!$D$3,'Data Sheet Actuals'!$A:$A,Unit!X$4)</f>
        <v>47.21</v>
      </c>
      <c r="Y52" s="33">
        <f t="shared" ref="Y52" si="248">IFERROR(X52/X$14,"")</f>
        <v>9.685270756759996E-4</v>
      </c>
      <c r="Z52" s="31">
        <f>SUMIFS('Data Sheet Actuals'!$D:$D,'Data Sheet Actuals'!$C:$C,Unit!$B52,'Data Sheet Actuals'!$B:$B,Unit!$D$3,'Data Sheet Actuals'!$A:$A,Unit!Z$4)</f>
        <v>42.53</v>
      </c>
      <c r="AA52" s="33">
        <f t="shared" ref="AA52" si="249">IFERROR(Z52/Z$14,"")</f>
        <v>7.8675004157584565E-4</v>
      </c>
      <c r="AB52" s="31">
        <f t="shared" si="105"/>
        <v>663.61999999999989</v>
      </c>
      <c r="AC52" s="33">
        <f t="shared" ref="AC52" si="250">IFERROR(AB52/AB$14,"")</f>
        <v>1.004371092250006E-3</v>
      </c>
    </row>
    <row r="53" spans="2:29">
      <c r="B53" s="45"/>
      <c r="C53" s="54"/>
      <c r="D53" s="48" t="s">
        <v>42</v>
      </c>
      <c r="E53" s="36" t="s">
        <v>42</v>
      </c>
      <c r="F53" s="35" t="s">
        <v>42</v>
      </c>
      <c r="G53" s="36" t="s">
        <v>42</v>
      </c>
      <c r="H53" s="35" t="s">
        <v>42</v>
      </c>
      <c r="I53" s="36" t="s">
        <v>42</v>
      </c>
      <c r="J53" s="35" t="s">
        <v>42</v>
      </c>
      <c r="K53" s="36" t="s">
        <v>42</v>
      </c>
      <c r="L53" s="35" t="s">
        <v>42</v>
      </c>
      <c r="M53" s="36" t="s">
        <v>42</v>
      </c>
      <c r="N53" s="35" t="s">
        <v>42</v>
      </c>
      <c r="O53" s="36" t="s">
        <v>42</v>
      </c>
      <c r="P53" s="35" t="s">
        <v>42</v>
      </c>
      <c r="Q53" s="36" t="s">
        <v>42</v>
      </c>
      <c r="R53" s="35" t="s">
        <v>42</v>
      </c>
      <c r="S53" s="36" t="s">
        <v>42</v>
      </c>
      <c r="T53" s="35" t="s">
        <v>42</v>
      </c>
      <c r="U53" s="36" t="s">
        <v>42</v>
      </c>
      <c r="V53" s="35" t="s">
        <v>42</v>
      </c>
      <c r="W53" s="36" t="s">
        <v>42</v>
      </c>
      <c r="X53" s="35" t="s">
        <v>42</v>
      </c>
      <c r="Y53" s="36" t="s">
        <v>42</v>
      </c>
      <c r="Z53" s="35" t="s">
        <v>42</v>
      </c>
      <c r="AA53" s="36" t="s">
        <v>42</v>
      </c>
      <c r="AB53" s="35" t="s">
        <v>42</v>
      </c>
      <c r="AC53" s="36" t="s">
        <v>42</v>
      </c>
    </row>
    <row r="54" spans="2:29">
      <c r="B54" s="45"/>
      <c r="C54" s="57" t="s">
        <v>128</v>
      </c>
      <c r="D54" s="64">
        <f>SUM(D40:D53)</f>
        <v>2314.7799999999997</v>
      </c>
      <c r="E54" s="65">
        <f>IFERROR(D54/D$14,"")</f>
        <v>3.9554784396538249E-2</v>
      </c>
      <c r="F54" s="64">
        <f>SUM(F40:F53)</f>
        <v>2381.9300000000003</v>
      </c>
      <c r="G54" s="65">
        <f>IFERROR(F54/F$14,"")</f>
        <v>3.8837761326953456E-2</v>
      </c>
      <c r="H54" s="64">
        <f>SUM(H40:H53)</f>
        <v>2868.97</v>
      </c>
      <c r="I54" s="65">
        <f>IFERROR(H54/H$14,"")</f>
        <v>5.2965958538796265E-2</v>
      </c>
      <c r="J54" s="64">
        <f>SUM(J40:J53)</f>
        <v>2613.8900000000003</v>
      </c>
      <c r="K54" s="65">
        <f>IFERROR(J54/J$14,"")</f>
        <v>4.9616895510658877E-2</v>
      </c>
      <c r="L54" s="64">
        <f>SUM(L40:L53)</f>
        <v>2387.41</v>
      </c>
      <c r="M54" s="65">
        <f>IFERROR(L54/L$14,"")</f>
        <v>4.8978420371523786E-2</v>
      </c>
      <c r="N54" s="64">
        <f>SUM(N40:N53)</f>
        <v>2119.35</v>
      </c>
      <c r="O54" s="65">
        <f>IFERROR(N54/N$14,"")</f>
        <v>3.7989304881850185E-2</v>
      </c>
      <c r="P54" s="64">
        <f>SUM(P40:P53)</f>
        <v>2249.34</v>
      </c>
      <c r="Q54" s="65">
        <f>IFERROR(P54/P$14,"")</f>
        <v>3.8436550659029955E-2</v>
      </c>
      <c r="R54" s="64">
        <f>SUM(R40:R53)</f>
        <v>2271.2599999999998</v>
      </c>
      <c r="S54" s="65">
        <f>IFERROR(R54/R$14,"")</f>
        <v>3.7033268732270169E-2</v>
      </c>
      <c r="T54" s="64">
        <f>SUM(T40:T53)</f>
        <v>2072.23</v>
      </c>
      <c r="U54" s="65">
        <f>IFERROR(T54/T$14,"")</f>
        <v>3.825681281534829E-2</v>
      </c>
      <c r="V54" s="64">
        <f>SUM(V40:V53)</f>
        <v>2209.5699999999997</v>
      </c>
      <c r="W54" s="65">
        <f>IFERROR(V54/V$14,"")</f>
        <v>4.1942087774729048E-2</v>
      </c>
      <c r="X54" s="64">
        <f>SUM(X40:X53)</f>
        <v>2229.2400000000007</v>
      </c>
      <c r="Y54" s="65">
        <f>IFERROR(X54/X$14,"")</f>
        <v>4.5733516165642155E-2</v>
      </c>
      <c r="Z54" s="64">
        <f>SUM(Z40:Z53)</f>
        <v>2242.89</v>
      </c>
      <c r="AA54" s="65">
        <f>IFERROR(Z54/Z$14,"")</f>
        <v>4.1490566676464807E-2</v>
      </c>
      <c r="AB54" s="64">
        <f>SUM(AB40:AB53)</f>
        <v>27960.86</v>
      </c>
      <c r="AC54" s="65">
        <f>IFERROR(AB54/AB$14,"")</f>
        <v>4.2318012565096756E-2</v>
      </c>
    </row>
    <row r="55" spans="2:29">
      <c r="B55" s="45"/>
      <c r="C55" s="54"/>
      <c r="D55" s="48" t="s">
        <v>42</v>
      </c>
      <c r="E55" s="36" t="s">
        <v>42</v>
      </c>
      <c r="F55" s="35" t="s">
        <v>42</v>
      </c>
      <c r="G55" s="36" t="s">
        <v>42</v>
      </c>
      <c r="H55" s="35" t="s">
        <v>42</v>
      </c>
      <c r="I55" s="36" t="s">
        <v>42</v>
      </c>
      <c r="J55" s="35" t="s">
        <v>42</v>
      </c>
      <c r="K55" s="36" t="s">
        <v>42</v>
      </c>
      <c r="L55" s="35" t="s">
        <v>42</v>
      </c>
      <c r="M55" s="36" t="s">
        <v>42</v>
      </c>
      <c r="N55" s="35" t="s">
        <v>42</v>
      </c>
      <c r="O55" s="36" t="s">
        <v>42</v>
      </c>
      <c r="P55" s="35" t="s">
        <v>42</v>
      </c>
      <c r="Q55" s="36" t="s">
        <v>42</v>
      </c>
      <c r="R55" s="35" t="s">
        <v>42</v>
      </c>
      <c r="S55" s="36" t="s">
        <v>42</v>
      </c>
      <c r="T55" s="35" t="s">
        <v>42</v>
      </c>
      <c r="U55" s="36" t="s">
        <v>42</v>
      </c>
      <c r="V55" s="35" t="s">
        <v>42</v>
      </c>
      <c r="W55" s="36" t="s">
        <v>42</v>
      </c>
      <c r="X55" s="35" t="s">
        <v>42</v>
      </c>
      <c r="Y55" s="36" t="s">
        <v>42</v>
      </c>
      <c r="Z55" s="35" t="s">
        <v>42</v>
      </c>
      <c r="AA55" s="36" t="s">
        <v>42</v>
      </c>
      <c r="AB55" s="35" t="s">
        <v>42</v>
      </c>
      <c r="AC55" s="36" t="s">
        <v>42</v>
      </c>
    </row>
    <row r="56" spans="2:29">
      <c r="B56" s="45"/>
      <c r="C56" s="54"/>
      <c r="D56" s="47"/>
      <c r="E56" s="32"/>
      <c r="F56" s="31"/>
      <c r="G56" s="32"/>
      <c r="H56" s="31"/>
      <c r="I56" s="32"/>
      <c r="J56" s="31"/>
      <c r="K56" s="32"/>
      <c r="L56" s="31"/>
      <c r="M56" s="32"/>
      <c r="N56" s="31"/>
      <c r="O56" s="32"/>
      <c r="P56" s="31"/>
      <c r="Q56" s="32"/>
      <c r="R56" s="31"/>
      <c r="S56" s="32"/>
      <c r="T56" s="31"/>
      <c r="U56" s="32"/>
      <c r="V56" s="31"/>
      <c r="W56" s="32"/>
      <c r="X56" s="31"/>
      <c r="Y56" s="32"/>
      <c r="Z56" s="31"/>
      <c r="AA56" s="32"/>
      <c r="AB56" s="31"/>
      <c r="AC56" s="32"/>
    </row>
    <row r="57" spans="2:29">
      <c r="B57" s="45"/>
      <c r="C57" s="57" t="s">
        <v>130</v>
      </c>
      <c r="D57" s="64">
        <f>+D36+D54</f>
        <v>18763.740000000002</v>
      </c>
      <c r="E57" s="65">
        <f>IFERROR(D57/D$14,"")</f>
        <v>0.32063336048034835</v>
      </c>
      <c r="F57" s="64">
        <f>+F36+F54</f>
        <v>17204.57</v>
      </c>
      <c r="G57" s="65">
        <f>IFERROR(F57/F$14,"")</f>
        <v>0.28052335013743623</v>
      </c>
      <c r="H57" s="64">
        <f>+H36+H54</f>
        <v>16263.17</v>
      </c>
      <c r="I57" s="65">
        <f>IFERROR(H57/H$14,"")</f>
        <v>0.3002451708903876</v>
      </c>
      <c r="J57" s="64">
        <f>+J36+J54</f>
        <v>16843.61</v>
      </c>
      <c r="K57" s="65">
        <f>IFERROR(J57/J$14,"")</f>
        <v>0.3197256339755265</v>
      </c>
      <c r="L57" s="64">
        <f>+L36+L54</f>
        <v>9760.1099999999988</v>
      </c>
      <c r="M57" s="65">
        <f>IFERROR(L57/L$14,"")</f>
        <v>0.20023153561906543</v>
      </c>
      <c r="N57" s="64">
        <f>+N36+N54</f>
        <v>12648.44</v>
      </c>
      <c r="O57" s="65">
        <f>IFERROR(N57/N$14,"")</f>
        <v>0.22672302519158666</v>
      </c>
      <c r="P57" s="64">
        <f>+P36+P54</f>
        <v>12652.42</v>
      </c>
      <c r="Q57" s="65">
        <f>IFERROR(P57/P$14,"")</f>
        <v>0.21620358962598973</v>
      </c>
      <c r="R57" s="64">
        <f>+R36+R54</f>
        <v>13014.980000000001</v>
      </c>
      <c r="S57" s="65">
        <f>IFERROR(R57/R$14,"")</f>
        <v>0.21221139450574647</v>
      </c>
      <c r="T57" s="64">
        <f>+T36+T54</f>
        <v>17239.77</v>
      </c>
      <c r="U57" s="65">
        <f>IFERROR(T57/T$14,"")</f>
        <v>0.31827483139885876</v>
      </c>
      <c r="V57" s="64">
        <f>+V36+V54</f>
        <v>11516.150000000001</v>
      </c>
      <c r="W57" s="65">
        <f>IFERROR(V57/V$14,"")</f>
        <v>0.21859971583925653</v>
      </c>
      <c r="X57" s="64">
        <f>+X36+X54</f>
        <v>12999.490000000002</v>
      </c>
      <c r="Y57" s="65">
        <f>IFERROR(X57/X$14,"")</f>
        <v>0.26668837184874816</v>
      </c>
      <c r="Z57" s="64">
        <f>+Z36+Z54</f>
        <v>11428.18</v>
      </c>
      <c r="AA57" s="65">
        <f>IFERROR(Z57/Z$14,"")</f>
        <v>0.21140656219459786</v>
      </c>
      <c r="AB57" s="64">
        <f>+AB36+AB54</f>
        <v>170334.63</v>
      </c>
      <c r="AC57" s="65">
        <f>IFERROR(AB57/AB$14,"")</f>
        <v>0.25779689940191775</v>
      </c>
    </row>
    <row r="58" spans="2:29">
      <c r="B58" s="45"/>
      <c r="C58" s="54"/>
      <c r="D58" s="47"/>
      <c r="E58" s="32"/>
      <c r="F58" s="31"/>
      <c r="G58" s="32"/>
      <c r="H58" s="31"/>
      <c r="I58" s="32"/>
      <c r="J58" s="31"/>
      <c r="K58" s="32"/>
      <c r="L58" s="31"/>
      <c r="M58" s="32"/>
      <c r="N58" s="31"/>
      <c r="O58" s="32"/>
      <c r="P58" s="31"/>
      <c r="Q58" s="32"/>
      <c r="R58" s="31"/>
      <c r="S58" s="32"/>
      <c r="T58" s="31"/>
      <c r="U58" s="32"/>
      <c r="V58" s="31"/>
      <c r="W58" s="32"/>
      <c r="X58" s="31"/>
      <c r="Y58" s="32"/>
      <c r="Z58" s="31"/>
      <c r="AA58" s="32"/>
      <c r="AB58" s="31"/>
      <c r="AC58" s="32"/>
    </row>
    <row r="59" spans="2:29">
      <c r="B59" s="45"/>
      <c r="C59" s="57" t="s">
        <v>129</v>
      </c>
      <c r="D59" s="64">
        <f>D27-D57</f>
        <v>4319.4800000000068</v>
      </c>
      <c r="E59" s="65">
        <f>IFERROR(D59/D$14,"")</f>
        <v>7.3810945362047076E-2</v>
      </c>
      <c r="F59" s="64">
        <f>F27-F57</f>
        <v>8128.5699999999924</v>
      </c>
      <c r="G59" s="65">
        <f>IFERROR(F59/F$14,"")</f>
        <v>0.13253767389865936</v>
      </c>
      <c r="H59" s="64">
        <f>H27-H57</f>
        <v>7030.5999999999967</v>
      </c>
      <c r="I59" s="65">
        <f>IFERROR(H59/H$14,"")</f>
        <v>0.12979657093063393</v>
      </c>
      <c r="J59" s="64">
        <f>J27-J57</f>
        <v>2552.4700000000012</v>
      </c>
      <c r="K59" s="65">
        <f>IFERROR(J59/J$14,"")</f>
        <v>4.8451020235775612E-2</v>
      </c>
      <c r="L59" s="64">
        <f>L27-L57</f>
        <v>20396.89</v>
      </c>
      <c r="M59" s="65">
        <f>IFERROR(L59/L$14,"")</f>
        <v>0.41844821488212325</v>
      </c>
      <c r="N59" s="64">
        <f>N27-N57</f>
        <v>21565.569999999992</v>
      </c>
      <c r="O59" s="65">
        <f>IFERROR(N59/N$14,"")</f>
        <v>0.38656239586707325</v>
      </c>
      <c r="P59" s="64">
        <f>P27-P57</f>
        <v>17977.970000000008</v>
      </c>
      <c r="Q59" s="65">
        <f>IFERROR(P59/P$14,"")</f>
        <v>0.30720618254755666</v>
      </c>
      <c r="R59" s="64">
        <f>R27-R57</f>
        <v>22375.479999999989</v>
      </c>
      <c r="S59" s="65">
        <f>IFERROR(R59/R$14,"")</f>
        <v>0.36483589014623435</v>
      </c>
      <c r="T59" s="64">
        <f>T27-T57</f>
        <v>4114.6199999999917</v>
      </c>
      <c r="U59" s="65">
        <f>IFERROR(T59/T$14,"")</f>
        <v>7.5962729593861716E-2</v>
      </c>
      <c r="V59" s="64">
        <f>V27-V57</f>
        <v>18799.490000000002</v>
      </c>
      <c r="W59" s="65">
        <f>IFERROR(V59/V$14,"")</f>
        <v>0.35685217472184233</v>
      </c>
      <c r="X59" s="64">
        <f>X27-X57</f>
        <v>14414.579999999991</v>
      </c>
      <c r="Y59" s="65">
        <f>IFERROR(X59/X$14,"")</f>
        <v>0.29571936061211057</v>
      </c>
      <c r="Z59" s="64">
        <f>Z27-Z57</f>
        <v>19113.400000000009</v>
      </c>
      <c r="AA59" s="65">
        <f>IFERROR(Z59/Z$14,"")</f>
        <v>0.35357320114403418</v>
      </c>
      <c r="AB59" s="64">
        <f>AB27-AB57</f>
        <v>160789.12</v>
      </c>
      <c r="AC59" s="65">
        <f>IFERROR(AB59/AB$14,"")</f>
        <v>0.24335002573207151</v>
      </c>
    </row>
    <row r="60" spans="2:29">
      <c r="B60" s="45"/>
      <c r="C60" s="54"/>
      <c r="D60" s="48" t="s">
        <v>49</v>
      </c>
      <c r="E60" s="36" t="s">
        <v>49</v>
      </c>
      <c r="F60" s="35" t="s">
        <v>49</v>
      </c>
      <c r="G60" s="36" t="s">
        <v>49</v>
      </c>
      <c r="H60" s="35" t="s">
        <v>49</v>
      </c>
      <c r="I60" s="36" t="s">
        <v>49</v>
      </c>
      <c r="J60" s="35" t="s">
        <v>49</v>
      </c>
      <c r="K60" s="36" t="s">
        <v>49</v>
      </c>
      <c r="L60" s="35" t="s">
        <v>49</v>
      </c>
      <c r="M60" s="36" t="s">
        <v>49</v>
      </c>
      <c r="N60" s="35" t="s">
        <v>49</v>
      </c>
      <c r="O60" s="36" t="s">
        <v>49</v>
      </c>
      <c r="P60" s="35" t="s">
        <v>49</v>
      </c>
      <c r="Q60" s="36" t="s">
        <v>49</v>
      </c>
      <c r="R60" s="35" t="s">
        <v>49</v>
      </c>
      <c r="S60" s="36" t="s">
        <v>49</v>
      </c>
      <c r="T60" s="35" t="s">
        <v>49</v>
      </c>
      <c r="U60" s="36" t="s">
        <v>49</v>
      </c>
      <c r="V60" s="35" t="s">
        <v>49</v>
      </c>
      <c r="W60" s="36" t="s">
        <v>49</v>
      </c>
      <c r="X60" s="35" t="s">
        <v>49</v>
      </c>
      <c r="Y60" s="36" t="s">
        <v>49</v>
      </c>
      <c r="Z60" s="35" t="s">
        <v>49</v>
      </c>
      <c r="AA60" s="36" t="s">
        <v>49</v>
      </c>
      <c r="AB60" s="35" t="s">
        <v>49</v>
      </c>
      <c r="AC60" s="36" t="s">
        <v>49</v>
      </c>
    </row>
    <row r="61" spans="2:29" ht="15" thickBot="1">
      <c r="B61" s="45"/>
      <c r="C61" s="56"/>
      <c r="D61" s="53"/>
      <c r="E61" s="42"/>
      <c r="F61" s="41"/>
      <c r="G61" s="42"/>
      <c r="H61" s="41"/>
      <c r="I61" s="42"/>
      <c r="J61" s="41"/>
      <c r="K61" s="42"/>
      <c r="L61" s="41"/>
      <c r="M61" s="42"/>
      <c r="N61" s="41"/>
      <c r="O61" s="42"/>
      <c r="P61" s="41"/>
      <c r="Q61" s="42"/>
      <c r="R61" s="41"/>
      <c r="S61" s="42"/>
      <c r="T61" s="41"/>
      <c r="U61" s="42"/>
      <c r="V61" s="41"/>
      <c r="W61" s="42"/>
      <c r="X61" s="41"/>
      <c r="Y61" s="42"/>
      <c r="Z61" s="41"/>
      <c r="AA61" s="42"/>
      <c r="AB61" s="41"/>
      <c r="AC61" s="42"/>
    </row>
  </sheetData>
  <mergeCells count="14">
    <mergeCell ref="C4:C5"/>
    <mergeCell ref="AB4:AC4"/>
    <mergeCell ref="P4:Q4"/>
    <mergeCell ref="R4:S4"/>
    <mergeCell ref="T4:U4"/>
    <mergeCell ref="V4:W4"/>
    <mergeCell ref="X4:Y4"/>
    <mergeCell ref="Z4:AA4"/>
    <mergeCell ref="N4:O4"/>
    <mergeCell ref="D4:E4"/>
    <mergeCell ref="F4:G4"/>
    <mergeCell ref="H4:I4"/>
    <mergeCell ref="J4:K4"/>
    <mergeCell ref="L4:M4"/>
  </mergeCells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8dcec875-1593-4233-b8b1-a96d276bd4ae}" enabled="1" method="Privileged" siteId="{cd62b7dd-4b48-44bd-90e7-e143a22c8ea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ParameterSheet</vt:lpstr>
      <vt:lpstr>My Permanent Sheets</vt:lpstr>
      <vt:lpstr>Profit Center Master</vt:lpstr>
      <vt:lpstr>Data Sheet Actuals</vt:lpstr>
      <vt:lpstr>Country Summary</vt:lpstr>
      <vt:lpstr>Client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Ganapathy Algeria</dc:creator>
  <cp:lastModifiedBy>Algeria Contractor</cp:lastModifiedBy>
  <cp:lastPrinted>2019-12-14T01:34:25Z</cp:lastPrinted>
  <dcterms:created xsi:type="dcterms:W3CDTF">2018-05-21T19:11:11Z</dcterms:created>
  <dcterms:modified xsi:type="dcterms:W3CDTF">2024-01-02T16:46:57Z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